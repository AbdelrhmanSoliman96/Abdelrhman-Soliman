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Summary" sheetId="2" state="visible" r:id="rId4"/>
    <sheet name="Market Research" sheetId="3" state="visible" r:id="rId5"/>
    <sheet name="Old Study Corrections" sheetId="4" state="visible" r:id="rId6"/>
    <sheet name="Input&gt;&gt;" sheetId="5" state="visible" r:id="rId7"/>
    <sheet name="Assumption Setting" sheetId="6" state="visible" r:id="rId8"/>
    <sheet name="Capital Expenditure" sheetId="7" state="visible" r:id="rId9"/>
    <sheet name="Actuals" sheetId="8" state="visible" r:id="rId10"/>
    <sheet name="Process&gt;&gt;" sheetId="9" state="visible" r:id="rId11"/>
    <sheet name="Timeline and FX" sheetId="10" state="visible" r:id="rId12"/>
    <sheet name="Acquisitions" sheetId="11" state="visible" r:id="rId13"/>
    <sheet name="GTM Capacity and Timing" sheetId="12" state="visible" r:id="rId14"/>
    <sheet name="Revenue Streams" sheetId="13" state="visible" r:id="rId15"/>
    <sheet name="Total Revenue" sheetId="14" state="visible" r:id="rId16"/>
    <sheet name="Payroll" sheetId="15" state="visible" r:id="rId17"/>
    <sheet name="Depreciation and Amortization" sheetId="16" state="visible" r:id="rId18"/>
    <sheet name="Expenses" sheetId="17" state="visible" r:id="rId19"/>
    <sheet name="Output&gt;&gt;" sheetId="18" state="visible" r:id="rId20"/>
    <sheet name="Income Statement" sheetId="19" state="visible" r:id="rId21"/>
    <sheet name="Balance Sheet" sheetId="20" state="visible" r:id="rId22"/>
    <sheet name="Cash Flow Statement" sheetId="21" state="visible" r:id="rId23"/>
    <sheet name="Financial Indicators" sheetId="22" state="visible" r:id="rId24"/>
    <sheet name="Funding and Use of Funds" sheetId="23" state="visible" r:id="rId25"/>
    <sheet name="Analysis&gt;&gt;" sheetId="24" state="visible" r:id="rId26"/>
    <sheet name="BEP Analysis" sheetId="25" state="visible" r:id="rId27"/>
    <sheet name="PB Analysis" sheetId="26" state="visible" r:id="rId28"/>
    <sheet name="Sensitivity" sheetId="27" state="visible" r:id="rId29"/>
    <sheet name="Stress Test" sheetId="28" state="visible" r:id="rId30"/>
    <sheet name="Exit Angel and VC" sheetId="29" state="visible" r:id="rId31"/>
    <sheet name="Valuation" sheetId="30" state="visible" r:id="rId3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<sst xmlns="http://schemas.openxmlformats.org/spreadsheetml/2006/main" count="4520" uniqueCount="1389">
  <si>
    <t xml:space="preserve">Coremerce</t>
  </si>
  <si>
    <t xml:space="preserve">Operational Financial Model and Valuation, 2027 to 2031</t>
  </si>
  <si>
    <t xml:space="preserve">ABOUT THIS MODEL</t>
  </si>
  <si>
    <t xml:space="preserve">Business name</t>
  </si>
  <si>
    <t xml:space="preserve">Industry</t>
  </si>
  <si>
    <t xml:space="preserve">Cloud commerce software: online stores, point of sale, inventory, payments and analytics for merchants</t>
  </si>
  <si>
    <t xml:space="preserve">Markets</t>
  </si>
  <si>
    <t xml:space="preserve">Egypt, with the platform built in English and Arabic</t>
  </si>
  <si>
    <t xml:space="preserve">Products</t>
  </si>
  <si>
    <t xml:space="preserve">Four plans: Launch (free), Starter, Pro and Enterprise, with a transaction fee on online payments</t>
  </si>
  <si>
    <t xml:space="preserve">Model currency</t>
  </si>
  <si>
    <t xml:space="preserve">USD, with Egyptian pound prices and costs converted at a monthly rate on the Timeline and FX sheet</t>
  </si>
  <si>
    <t xml:space="preserve">Model start</t>
  </si>
  <si>
    <t xml:space="preserve">date</t>
  </si>
  <si>
    <t xml:space="preserve">January 2027</t>
  </si>
  <si>
    <t xml:space="preserve">Months in a period</t>
  </si>
  <si>
    <t xml:space="preserve">months</t>
  </si>
  <si>
    <t xml:space="preserve">Forecast period</t>
  </si>
  <si>
    <t xml:space="preserve">years</t>
  </si>
  <si>
    <t xml:space="preserve">Total months modeled</t>
  </si>
  <si>
    <t xml:space="preserve">HOW TO READ IT</t>
  </si>
  <si>
    <t xml:space="preserve">Blue figures on a yellow fill are typed inputs. Change those and the whole model moves.</t>
  </si>
  <si>
    <t xml:space="preserve">Black figures are formulas on the same sheet. Green figures are links to another sheet.</t>
  </si>
  <si>
    <t xml:space="preserve">Red figures are checks. The balance sheet check must read nil in every column.</t>
  </si>
  <si>
    <t xml:space="preserve">On every time sheet the year total comes first, then that year's twelve months.</t>
  </si>
  <si>
    <t xml:space="preserve">No volume is typed. Free stores, paying accounts and transaction value are produced by the account engine, so cut the activity and the volume goes with it.</t>
  </si>
  <si>
    <t xml:space="preserve">The year one spend is an output of the Expenses sheet, not a ceiling anybody typed. The funding ask is built from all twelve months of it on the Funding and Use of Funds sheet.</t>
  </si>
  <si>
    <t xml:space="preserve">CONTENTS</t>
  </si>
  <si>
    <t xml:space="preserve">   Cover</t>
  </si>
  <si>
    <t xml:space="preserve">This page: what the model is and how to read it</t>
  </si>
  <si>
    <t xml:space="preserve">   Summary</t>
  </si>
  <si>
    <t xml:space="preserve">The whole model on one page</t>
  </si>
  <si>
    <t xml:space="preserve">   Market Research</t>
  </si>
  <si>
    <t xml:space="preserve">The market the model sells into, and who else is in it</t>
  </si>
  <si>
    <t xml:space="preserve">   Old Study Corrections</t>
  </si>
  <si>
    <t xml:space="preserve">What was wrong in the earlier feasibility study, and what this model does instead</t>
  </si>
  <si>
    <t xml:space="preserve">Input</t>
  </si>
  <si>
    <t xml:space="preserve">   Assumption Setting</t>
  </si>
  <si>
    <t xml:space="preserve">In the order the model runs: basis, opening position, acquisition, the funnels, capacity, pricing, expense</t>
  </si>
  <si>
    <t xml:space="preserve">   Capital Expenditure</t>
  </si>
  <si>
    <t xml:space="preserve">Assets driven by new hires, plus shared and intangible assets</t>
  </si>
  <si>
    <t xml:space="preserve">   Actuals</t>
  </si>
  <si>
    <t xml:space="preserve">The opening position and a grid to record each month</t>
  </si>
  <si>
    <t xml:space="preserve">Process</t>
  </si>
  <si>
    <t xml:space="preserve">   Timeline and FX</t>
  </si>
  <si>
    <t xml:space="preserve">The calendar, the pound rate and the cost indices</t>
  </si>
  <si>
    <t xml:space="preserve">   Acquisitions</t>
  </si>
  <si>
    <t xml:space="preserve">Spend to activity to signups to paying accounts, sixty months</t>
  </si>
  <si>
    <t xml:space="preserve">   GTM Capacity and Timing</t>
  </si>
  <si>
    <t xml:space="preserve">Who runs the activity, whether there are enough of them, and how long a deal takes</t>
  </si>
  <si>
    <t xml:space="preserve">   Revenue Streams</t>
  </si>
  <si>
    <t xml:space="preserve">Eight engines, every one of them an output of the account engine</t>
  </si>
  <si>
    <t xml:space="preserve">   Total Revenue</t>
  </si>
  <si>
    <t xml:space="preserve">Gathered into four families</t>
  </si>
  <si>
    <t xml:space="preserve">   Payroll</t>
  </si>
  <si>
    <t xml:space="preserve">Roles monthly, with heads set by year</t>
  </si>
  <si>
    <t xml:space="preserve">   Depreciation and Amortization</t>
  </si>
  <si>
    <t xml:space="preserve">Straight line by asset class</t>
  </si>
  <si>
    <t xml:space="preserve">   Expenses</t>
  </si>
  <si>
    <t xml:space="preserve">Direct cost, revenue share, operating cost, and the first twelve months in full</t>
  </si>
  <si>
    <t xml:space="preserve">Output</t>
  </si>
  <si>
    <t xml:space="preserve">   Income Statement</t>
  </si>
  <si>
    <t xml:space="preserve">Five years to 31 December</t>
  </si>
  <si>
    <t xml:space="preserve">   Balance Sheet</t>
  </si>
  <si>
    <t xml:space="preserve">Five years, with the balance check</t>
  </si>
  <si>
    <t xml:space="preserve">   Cash Flow Statement</t>
  </si>
  <si>
    <t xml:space="preserve">Monthly working and the annual statement</t>
  </si>
  <si>
    <t xml:space="preserve">   Financial Indicators</t>
  </si>
  <si>
    <t xml:space="preserve">Growth, profitability, unit economics, cash</t>
  </si>
  <si>
    <t xml:space="preserve">   Funding and Use of Funds</t>
  </si>
  <si>
    <t xml:space="preserve">The ask, what it buys, and the runway it produces</t>
  </si>
  <si>
    <t xml:space="preserve">Analysis</t>
  </si>
  <si>
    <t xml:space="preserve">   BEP Analysis</t>
  </si>
  <si>
    <t xml:space="preserve">Break even revenue and the month it turns</t>
  </si>
  <si>
    <t xml:space="preserve">   PB Analysis</t>
  </si>
  <si>
    <t xml:space="preserve">When the capital comes back, base and flexed</t>
  </si>
  <si>
    <t xml:space="preserve">   Sensitivity</t>
  </si>
  <si>
    <t xml:space="preserve">Three two way grids on the year five result</t>
  </si>
  <si>
    <t xml:space="preserve">   Stress Test</t>
  </si>
  <si>
    <t xml:space="preserve">Four scenarios on volume, price, cost and collection</t>
  </si>
  <si>
    <t xml:space="preserve">   Exit Angel and VC</t>
  </si>
  <si>
    <t xml:space="preserve">Angel and venture returns, and the routes out</t>
  </si>
  <si>
    <t xml:space="preserve">   Valuation</t>
  </si>
  <si>
    <t xml:space="preserve">Five methods, built up from the cost of capital, and what they conclude</t>
  </si>
  <si>
    <t xml:space="preserve">Summary</t>
  </si>
  <si>
    <t xml:space="preserve">The whole model on one page.</t>
  </si>
  <si>
    <t xml:space="preserve">HEADLINES</t>
  </si>
  <si>
    <t xml:space="preserve">Year 1</t>
  </si>
  <si>
    <t xml:space="preserve">Year 2</t>
  </si>
  <si>
    <t xml:space="preserve">Year 3</t>
  </si>
  <si>
    <t xml:space="preserve">Year 4</t>
  </si>
  <si>
    <t xml:space="preserve">Year 5</t>
  </si>
  <si>
    <t xml:space="preserve">Total revenue</t>
  </si>
  <si>
    <t xml:space="preserve">Gross profit</t>
  </si>
  <si>
    <t xml:space="preserve">Gross margin</t>
  </si>
  <si>
    <t xml:space="preserve">EBITDA</t>
  </si>
  <si>
    <t xml:space="preserve">Net profit</t>
  </si>
  <si>
    <t xml:space="preserve">Total expenses, direct and operating</t>
  </si>
  <si>
    <t xml:space="preserve">Cash at year end</t>
  </si>
  <si>
    <t xml:space="preserve">Lowest cash balance in the year</t>
  </si>
  <si>
    <t xml:space="preserve">Employees at year end</t>
  </si>
  <si>
    <t xml:space="preserve">Paying accounts at year end</t>
  </si>
  <si>
    <t xml:space="preserve">Launch (free) stores at year end</t>
  </si>
  <si>
    <t xml:space="preserve">Annualised recurring revenue at year end</t>
  </si>
  <si>
    <t xml:space="preserve">Online payment value processed</t>
  </si>
  <si>
    <t xml:space="preserve">Cost per new paying account, fully loaded</t>
  </si>
  <si>
    <t xml:space="preserve">LTV to CAC</t>
  </si>
  <si>
    <t xml:space="preserve">THE CHECKS THAT MATTER</t>
  </si>
  <si>
    <t xml:space="preserve">Year one total expense, produced not typed</t>
  </si>
  <si>
    <t xml:space="preserve">Balance sheet check, must read nil in every column</t>
  </si>
  <si>
    <t xml:space="preserve">Months with a capacity shortfall across the five years, must read nil</t>
  </si>
  <si>
    <t xml:space="preserve">Year one cost categories reconcile to the Expenses sheet, must read nil</t>
  </si>
  <si>
    <t xml:space="preserve">WHAT THIS MODEL OPENS ON</t>
  </si>
  <si>
    <t xml:space="preserve">Active Launch (free) stores</t>
  </si>
  <si>
    <t xml:space="preserve">on the platform at 31 December 2026</t>
  </si>
  <si>
    <t xml:space="preserve">Paying Starter accounts</t>
  </si>
  <si>
    <t xml:space="preserve">the honest starting point for the subscription engine</t>
  </si>
  <si>
    <t xml:space="preserve">Paying Pro accounts</t>
  </si>
  <si>
    <t xml:space="preserve">Paying Enterprise accounts</t>
  </si>
  <si>
    <t xml:space="preserve">Opening cash</t>
  </si>
  <si>
    <t xml:space="preserve">founder capital already contributed</t>
  </si>
  <si>
    <t xml:space="preserve">Founder capital spent on the product</t>
  </si>
  <si>
    <t xml:space="preserve">carried as an intangible</t>
  </si>
  <si>
    <t xml:space="preserve">THE ASK</t>
  </si>
  <si>
    <t xml:space="preserve">Seed round sought</t>
  </si>
  <si>
    <t xml:space="preserve">Total cash required in year one, expense and capital</t>
  </si>
  <si>
    <t xml:space="preserve">Months of year one spend this round funds</t>
  </si>
  <si>
    <t xml:space="preserve">Year one covered in full</t>
  </si>
  <si>
    <t xml:space="preserve">Second round needed after the seed</t>
  </si>
  <si>
    <t xml:space="preserve">Weighted pre money valuation</t>
  </si>
  <si>
    <t xml:space="preserve">Pre money valuation asked</t>
  </si>
  <si>
    <t xml:space="preserve">What the seed buys</t>
  </si>
  <si>
    <t xml:space="preserve">Market Research</t>
  </si>
  <si>
    <t xml:space="preserve">The sector the model sells into. No revenue in this model is attributed to any single name below. Figures are as reported by the sources named and have not been audited.</t>
  </si>
  <si>
    <t xml:space="preserve">THE MARKET THE MODEL SELLS INTO</t>
  </si>
  <si>
    <t xml:space="preserve">Measure</t>
  </si>
  <si>
    <t xml:space="preserve">Figure</t>
  </si>
  <si>
    <t xml:space="preserve">Basis</t>
  </si>
  <si>
    <t xml:space="preserve">Source</t>
  </si>
  <si>
    <t xml:space="preserve">Egypt ecommerce market size, 2025</t>
  </si>
  <si>
    <t xml:space="preserve">USD 9.9 billion; USD 2.3 billion on a narrower definition</t>
  </si>
  <si>
    <t xml:space="preserve">Counted, definitions differ by a factor of four</t>
  </si>
  <si>
    <t xml:space="preserve">ResearchAndMarkets via ValueSpectrum, January 2026; ECDB</t>
  </si>
  <si>
    <t xml:space="preserve">Egypt ecommerce market size, 2024</t>
  </si>
  <si>
    <t xml:space="preserve">USD 9.1 billion</t>
  </si>
  <si>
    <t xml:space="preserve">Counted</t>
  </si>
  <si>
    <t xml:space="preserve">PS Market Research</t>
  </si>
  <si>
    <t xml:space="preserve">Growth outlook</t>
  </si>
  <si>
    <t xml:space="preserve">About 10 per cent a year, to USD 14.5 billion by 2029</t>
  </si>
  <si>
    <t xml:space="preserve">Projected</t>
  </si>
  <si>
    <t xml:space="preserve">ResearchAndMarkets, 10.0 per cent CAGR; PS Market Research 10.2 per cent to 2032</t>
  </si>
  <si>
    <t xml:space="preserve">Cash on delivery share of online orders</t>
  </si>
  <si>
    <t xml:space="preserve">45 per cent of the payment market in 2024; 55 to 70 per cent of shoppers prefer it</t>
  </si>
  <si>
    <t xml:space="preserve">Counted, one source</t>
  </si>
  <si>
    <t xml:space="preserve">Financial inclusion</t>
  </si>
  <si>
    <t xml:space="preserve">74.8 per cent of eligible Egyptians at end 2024</t>
  </si>
  <si>
    <t xml:space="preserve">Reported in 2026 Egypt ecommerce statistics roundups, primary source not confirmed</t>
  </si>
  <si>
    <t xml:space="preserve">Micro, small and medium enterprises</t>
  </si>
  <si>
    <t xml:space="preserve">98 per cent of private enterprises</t>
  </si>
  <si>
    <t xml:space="preserve">Al Ahram, citing the United Nations</t>
  </si>
  <si>
    <t xml:space="preserve">Small and medium firms that sell online</t>
  </si>
  <si>
    <t xml:space="preserve">About 3 per cent, older government estimate</t>
  </si>
  <si>
    <t xml:space="preserve">Counted, undated</t>
  </si>
  <si>
    <t xml:space="preserve">Bank of Scotland Trade market potential page</t>
  </si>
  <si>
    <t xml:space="preserve">Social sellers in Egypt</t>
  </si>
  <si>
    <t xml:space="preserve">Nearly 1.3 million</t>
  </si>
  <si>
    <t xml:space="preserve">Counted, vendor survey, Q1 2022</t>
  </si>
  <si>
    <t xml:space="preserve">Market research summary of a global survey</t>
  </si>
  <si>
    <t xml:space="preserve">Facebook active accounts in Egypt</t>
  </si>
  <si>
    <t xml:space="preserve">More than 44 million, February 2022</t>
  </si>
  <si>
    <t xml:space="preserve">Academic paper citing Kemp 2022</t>
  </si>
  <si>
    <t xml:space="preserve">Urban consumer price inflation</t>
  </si>
  <si>
    <t xml:space="preserve">14.9 per cent in July 2026</t>
  </si>
  <si>
    <t xml:space="preserve">CAPMAS, reported by Daily News Egypt</t>
  </si>
  <si>
    <t xml:space="preserve">Egyptian pounds to the dollar</t>
  </si>
  <si>
    <t xml:space="preserve">50.96 to 52.5 across sources in mid 2026</t>
  </si>
  <si>
    <t xml:space="preserve">Pluang, Wise and CurrencyConvert snapshots</t>
  </si>
  <si>
    <t xml:space="preserve">Employer social insurance</t>
  </si>
  <si>
    <t xml:space="preserve">18.75 per cent; wage ceiling EGP 16,700 in 2026, about EGP 19,300 in 2027</t>
  </si>
  <si>
    <t xml:space="preserve">Counted, 2027 provisional</t>
  </si>
  <si>
    <t xml:space="preserve">Business Today Egypt, PwC tax summaries</t>
  </si>
  <si>
    <t xml:space="preserve">Regional startup funding, first half 2026</t>
  </si>
  <si>
    <t xml:space="preserve">USD 1.7 billion across MENA; Egypt USD 86 million in Q1</t>
  </si>
  <si>
    <t xml:space="preserve">Wamda, Arab News</t>
  </si>
  <si>
    <t xml:space="preserve">WHO ELSE IS IN THIS MARKET</t>
  </si>
  <si>
    <t xml:space="preserve">Company</t>
  </si>
  <si>
    <t xml:space="preserve">Position</t>
  </si>
  <si>
    <t xml:space="preserve">Funding</t>
  </si>
  <si>
    <t xml:space="preserve">What it means for Coremerce</t>
  </si>
  <si>
    <t xml:space="preserve">Shopify</t>
  </si>
  <si>
    <t xml:space="preserve">Global leader in hosted commerce, listed</t>
  </si>
  <si>
    <t xml:space="preserve">Listed, about 13.9 times revenue on one screener</t>
  </si>
  <si>
    <t xml:space="preserve">Sets the feature and price reference. Weak on Arabic, cash on delivery and local payments</t>
  </si>
  <si>
    <t xml:space="preserve">Salla</t>
  </si>
  <si>
    <t xml:space="preserve">Saudi commerce platform, over 80,000 active merchants at the 2024 round</t>
  </si>
  <si>
    <t xml:space="preserve">USD 130 million pre IPO round, March 2024, Investcorp and Sanabil</t>
  </si>
  <si>
    <t xml:space="preserve">The regional leader. The natural entrant into Egypt, and the natural buyer</t>
  </si>
  <si>
    <t xml:space="preserve">Zid</t>
  </si>
  <si>
    <t xml:space="preserve">Saudi commerce platform</t>
  </si>
  <si>
    <t xml:space="preserve">USD 7 million Series A, 2021; USD 50 million Series B led by IMPACT46</t>
  </si>
  <si>
    <t xml:space="preserve">A funded Gulf peer with the same plan structure</t>
  </si>
  <si>
    <t xml:space="preserve">ExpandCart</t>
  </si>
  <si>
    <t xml:space="preserve">Egyptian commerce platform</t>
  </si>
  <si>
    <t xml:space="preserve">USD 2.5 million Series A led by Sawari Ventures; a USD 2.7 million pre Series B led by Betatron is also reported</t>
  </si>
  <si>
    <t xml:space="preserve">The closest Egyptian like for like</t>
  </si>
  <si>
    <t xml:space="preserve">Wuilt</t>
  </si>
  <si>
    <t xml:space="preserve">Egyptian store builder</t>
  </si>
  <si>
    <t xml:space="preserve">USD 2 million, August 2025, Flat6Labs and MTF VC</t>
  </si>
  <si>
    <t xml:space="preserve">Dropped subscription fees in April 2025 and earns on shipping, payments and wallet. Proof that free is the pressure on the Launch to paid path</t>
  </si>
  <si>
    <t xml:space="preserve">Paymob</t>
  </si>
  <si>
    <t xml:space="preserve">Egyptian payments</t>
  </si>
  <si>
    <t xml:space="preserve">USD 50 million Series B, May 2022, Kora, PayPal Ventures and Clay Point</t>
  </si>
  <si>
    <t xml:space="preserve">The likely payments partner, and a possible acquirer of merchant volume</t>
  </si>
  <si>
    <t xml:space="preserve">Wix</t>
  </si>
  <si>
    <t xml:space="preserve">Website and commerce platform, listed</t>
  </si>
  <si>
    <t xml:space="preserve">Listed, about 4.7 times revenue in 2025</t>
  </si>
  <si>
    <t xml:space="preserve">A mature reference multiple</t>
  </si>
  <si>
    <t xml:space="preserve">Commerce.com, formerly BigCommerce</t>
  </si>
  <si>
    <t xml:space="preserve">Mid market commerce platform, listed</t>
  </si>
  <si>
    <t xml:space="preserve">Listed, about 0.7 times revenue in July 2026</t>
  </si>
  <si>
    <t xml:space="preserve">The floor multiple when growth stalls</t>
  </si>
  <si>
    <t xml:space="preserve">Coremerce's own site claims 10,000 plus businesses in 40 plus countries and 99.9 per cent uptime. These claims are not verified and drive nothing in this model.</t>
  </si>
  <si>
    <t xml:space="preserve">No revenue in this model is attributed to any one of these companies. They are listed so the competitive position is visible.</t>
  </si>
  <si>
    <t xml:space="preserve">Old Study Corrections</t>
  </si>
  <si>
    <t xml:space="preserve">What was wrong in the earlier feasibility study of the USD 200,000 round, the effect, and what this model does instead.</t>
  </si>
  <si>
    <t xml:space="preserve">ERRORS AND OMISSIONS FOUND</t>
  </si>
  <si>
    <t xml:space="preserve">No</t>
  </si>
  <si>
    <t xml:space="preserve">Where in the old study</t>
  </si>
  <si>
    <t xml:space="preserve">What was wrong</t>
  </si>
  <si>
    <t xml:space="preserve">Effect</t>
  </si>
  <si>
    <t xml:space="preserve">What this model does</t>
  </si>
  <si>
    <t xml:space="preserve">Prices and rate</t>
  </si>
  <si>
    <t xml:space="preserve">The annual Starter price of EGP 9,600 was divided by 48 to give USD 200, then every figure was converted back at 52.</t>
  </si>
  <si>
    <t xml:space="preserve">Pound revenue overstated by 8.3 per cent on every paying account.</t>
  </si>
  <si>
    <t xml:space="preserve">Prices are typed in pounds from the public price page and converted at one stated monthly rate.</t>
  </si>
  <si>
    <t xml:space="preserve">Revenue timing, year one</t>
  </si>
  <si>
    <t xml:space="preserve">Year one revenue was year end accounts times the full annual price, less one month.</t>
  </si>
  <si>
    <t xml:space="preserve">Treats every account as paying for the whole year. Accounts arrive through the year, so average accounts are about half the year end figure.</t>
  </si>
  <si>
    <t xml:space="preserve">Revenue is average accounts in each month times the monthly price, for sixty months.</t>
  </si>
  <si>
    <t xml:space="preserve">Revenue timing, later years</t>
  </si>
  <si>
    <t xml:space="preserve">Years two to five used year end accounts times the full price.</t>
  </si>
  <si>
    <t xml:space="preserve">Overstates revenue by the growth in accounts across the year, about 40 per cent in year two.</t>
  </si>
  <si>
    <t xml:space="preserve">Same monthly engine, so growth is recognised as it happens.</t>
  </si>
  <si>
    <t xml:space="preserve">Revenue lines missing</t>
  </si>
  <si>
    <t xml:space="preserve">Enterprise had no price and no revenue. Transaction fees of 2 and 1 per cent, extra stores and every add on were left out.</t>
  </si>
  <si>
    <t xml:space="preserve">Understates the upside and hides what the paid plans really earn.</t>
  </si>
  <si>
    <t xml:space="preserve">Enterprise, transaction fees, extra stores and three roadmap engines are modeled, each with an opening month.</t>
  </si>
  <si>
    <t xml:space="preserve">No cost of revenue</t>
  </si>
  <si>
    <t xml:space="preserve">Other expenses were set to zero. Hosting, AI inference, messaging, collection costs and partner shares were all missing.</t>
  </si>
  <si>
    <t xml:space="preserve">A gross margin of 100 per cent and a free tier that cost nothing to run.</t>
  </si>
  <si>
    <t xml:space="preserve">Ten direct cost lines driven by accounts and revenue, including the free stores.</t>
  </si>
  <si>
    <t xml:space="preserve">Salaries frozen</t>
  </si>
  <si>
    <t xml:space="preserve">Salary growth was zero for five years and the insurance ceiling stayed at EGP 16,700.</t>
  </si>
  <si>
    <t xml:space="preserve">Payroll understated every year as inflation runs near 15 per cent and the ceiling rises each January.</t>
  </si>
  <si>
    <t xml:space="preserve">Annual increase of 12 per cent and a ceiling that steps up each year, both inputs.</t>
  </si>
  <si>
    <t xml:space="preserve">Equipment</t>
  </si>
  <si>
    <t xml:space="preserve">EGP 1.53 million of kit was charged in full before launch and never depreciated.</t>
  </si>
  <si>
    <t xml:space="preserve">No balance sheet asset, no depreciation, and the kit was not tied to hiring.</t>
  </si>
  <si>
    <t xml:space="preserve">Kits follow each hire, and every asset class is depreciated straight line.</t>
  </si>
  <si>
    <t xml:space="preserve">No statements</t>
  </si>
  <si>
    <t xml:space="preserve">There was no balance sheet, no cash flow and no working capital.</t>
  </si>
  <si>
    <t xml:space="preserve">Cumulative profit was treated as cash. Receivables, payables and annual prepayments were ignored.</t>
  </si>
  <si>
    <t xml:space="preserve">Full income statement, balance sheet and monthly cash flow, with a check that must read nil.</t>
  </si>
  <si>
    <t xml:space="preserve">Marketing held flat</t>
  </si>
  <si>
    <t xml:space="preserve">Marketing stayed at USD 50,000 a year for five years while paying merchants grew sevenfold.</t>
  </si>
  <si>
    <t xml:space="preserve">Either the growth is unfunded or the budget is wrong.</t>
  </si>
  <si>
    <t xml:space="preserve">Channel budgets rise by year, and every channel has a cost per click and a conversion.</t>
  </si>
  <si>
    <t xml:space="preserve">Cost of acquiring a customer</t>
  </si>
  <si>
    <t xml:space="preserve">Cost per account was a simple average of four channels instead of a budget weighted average.</t>
  </si>
  <si>
    <t xml:space="preserve">Understated the weighted cost: 26.25 per cent of price instead of 30 per cent, and USD 4.50 instead of USD 5.20 per free account.</t>
  </si>
  <si>
    <t xml:space="preserve">Signups come from clicks and conversions per channel, and cost per new paying account is measured, not assumed.</t>
  </si>
  <si>
    <t xml:space="preserve">Budget split</t>
  </si>
  <si>
    <t xml:space="preserve">The marketing budget was split one third each across free, Starter and Pro regardless of channel mix.</t>
  </si>
  <si>
    <t xml:space="preserve">Allocation was arbitrary and fixed the mix of plans.</t>
  </si>
  <si>
    <t xml:space="preserve">Plan mix comes from trial starts, trial conversion, direct sales and upgrades.</t>
  </si>
  <si>
    <t xml:space="preserve">Churn and upgrades</t>
  </si>
  <si>
    <t xml:space="preserve">Churn and the 15 per cent upgrade rate were applied once a year to opening plus new accounts.</t>
  </si>
  <si>
    <t xml:space="preserve">Ignores when accounts join and leave.</t>
  </si>
  <si>
    <t xml:space="preserve">Monthly churn and upgrade rates by plan and by year.</t>
  </si>
  <si>
    <t xml:space="preserve">The investor share</t>
  </si>
  <si>
    <t xml:space="preserve">The investor's share of profit until payback was a typed plug of 28.0406 per cent.</t>
  </si>
  <si>
    <t xml:space="preserve">A number reverse engineered so payback landed at 3.0 years, not a term anyone would offer.</t>
  </si>
  <si>
    <t xml:space="preserve">Returns are shown as multiple of money and annualised return at exit, on stated multiples.</t>
  </si>
  <si>
    <t xml:space="preserve">The valuation</t>
  </si>
  <si>
    <t xml:space="preserve">Pre money value was the ask divided by 10 per cent less the ask. Year five value was net profit times five.</t>
  </si>
  <si>
    <t xml:space="preserve">The valuation was a target stake, not a valuation. The multiple of five had no source.</t>
  </si>
  <si>
    <t xml:space="preserve">Five methods built from a cost of equity, a survival haircut and a marketability discount.</t>
  </si>
  <si>
    <t xml:space="preserve">Sizing the ask</t>
  </si>
  <si>
    <t xml:space="preserve">The ask was the largest cumulative loss plus 20 per cent, rounded up to the next USD 200,000.</t>
  </si>
  <si>
    <t xml:space="preserve">The loss was netted against overstated revenue. Year one spend in the study was about USD 342,000, above the USD 200,000 asked.</t>
  </si>
  <si>
    <t xml:space="preserve">The ask is built from all twelve months of year one spend, plus a minimum cash buffer, less cash in hand.</t>
  </si>
  <si>
    <t xml:space="preserve">Breakeven</t>
  </si>
  <si>
    <t xml:space="preserve">Merchants needed to break even were total costs divided by revenue per merchant.</t>
  </si>
  <si>
    <t xml:space="preserve">Meaningless when variable costs are zero, and the revenue per merchant was inflated.</t>
  </si>
  <si>
    <t xml:space="preserve">Break even uses contribution margin and fixed operating cost, and the turning month is read from the monthly cash flow.</t>
  </si>
  <si>
    <t xml:space="preserve">Team budget items</t>
  </si>
  <si>
    <t xml:space="preserve">Product Manager at EGP 100,000 a month equals the CTO. The DevOps engineer carries no social insurance.</t>
  </si>
  <si>
    <t xml:space="preserve">Possible entry errors, not corrected here.</t>
  </si>
  <si>
    <t xml:space="preserve">Kept as the company's budget and flagged for confirmation on the Payroll sheet.</t>
  </si>
  <si>
    <t xml:space="preserve">Dates and symbols</t>
  </si>
  <si>
    <t xml:space="preserve">The start date was October 2026 and the text carried check marks, arrows, bullets and en dashes.</t>
  </si>
  <si>
    <t xml:space="preserve">The start has passed. Symbols do not belong in a model sent to investors.</t>
  </si>
  <si>
    <t xml:space="preserve">The model starts January 2027 and carries plain text only.</t>
  </si>
  <si>
    <t xml:space="preserve">HEADLINE COMPARISON, OLD STUDY AGAINST THIS MODEL</t>
  </si>
  <si>
    <t xml:space="preserve">Old study</t>
  </si>
  <si>
    <t xml:space="preserve">This model</t>
  </si>
  <si>
    <t xml:space="preserve">Comment</t>
  </si>
  <si>
    <t xml:space="preserve">Seed ask, USD</t>
  </si>
  <si>
    <t xml:space="preserve">The new ask covers all twelve months of year one spend</t>
  </si>
  <si>
    <t xml:space="preserve">Year one revenue, USD</t>
  </si>
  <si>
    <t xml:space="preserve">The old figure used year end accounts for the whole year</t>
  </si>
  <si>
    <t xml:space="preserve">Year five revenue, USD</t>
  </si>
  <si>
    <t xml:space="preserve">Year five net profit, USD</t>
  </si>
  <si>
    <t xml:space="preserve">The old figure had no cost of revenue and frozen salaries</t>
  </si>
  <si>
    <t xml:space="preserve">Paying merchants at the end of year five</t>
  </si>
  <si>
    <t xml:space="preserve">Pre money valuation, USD</t>
  </si>
  <si>
    <t xml:space="preserve">The old figure was the ask divided by 10 per cent less the ask</t>
  </si>
  <si>
    <t xml:space="preserve">Old study figures are typed as read from the earlier file. Net profit and paying merchants for the old study are from its sales and study sheets.</t>
  </si>
  <si>
    <t xml:space="preserve">Assumption Setting</t>
  </si>
  <si>
    <t xml:space="preserve">Capital Expenditure</t>
  </si>
  <si>
    <t xml:space="preserve">Actuals</t>
  </si>
  <si>
    <t xml:space="preserve">Everything typed in this model is on this sheet, apart from the establishment table on Payroll and the grid on Actuals. Nothing downstream is a typed number.</t>
  </si>
  <si>
    <t xml:space="preserve">1. MODEL BASIS</t>
  </si>
  <si>
    <t xml:space="preserve">Reporting currency</t>
  </si>
  <si>
    <t xml:space="preserve">USD</t>
  </si>
  <si>
    <t xml:space="preserve">First calendar month of the model</t>
  </si>
  <si>
    <t xml:space="preserve">Egyptian pounds to the dollar at the start</t>
  </si>
  <si>
    <t xml:space="preserve">EGP</t>
  </si>
  <si>
    <t xml:space="preserve">Spot sources in mid 2026 range from 50.96 to 52.5. Change it here and every pound input converts.</t>
  </si>
  <si>
    <t xml:space="preserve">Annual change in the pound against the dollar</t>
  </si>
  <si>
    <t xml:space="preserve">%</t>
  </si>
  <si>
    <t xml:space="preserve">A steady slide of 6 per cent a year. Pound prices and costs convert at the monthly rate this produces.</t>
  </si>
  <si>
    <t xml:space="preserve">Prices and revenue are stated net of VAT. VAT collected is passed to the tax authority and is not modeled. No interest is earned on cash and no dividends are paid.</t>
  </si>
  <si>
    <t xml:space="preserve">2. THE OPENING POSITION, WHAT IS ALREADY TRUE</t>
  </si>
  <si>
    <t xml:space="preserve">Placeholders to be replaced with the company's own figures at 31 December 2026. The site claims 10,000 plus businesses; this model does not rely on that claim and opens at zero.</t>
  </si>
  <si>
    <t xml:space="preserve">Active Launch (free) stores on the platform</t>
  </si>
  <si>
    <t xml:space="preserve">#</t>
  </si>
  <si>
    <t xml:space="preserve">Opening cash at 31 December 2026</t>
  </si>
  <si>
    <t xml:space="preserve">Paid in share capital at inception, cash, equal to opening cash</t>
  </si>
  <si>
    <t xml:space="preserve">Founder capital already spent building the product</t>
  </si>
  <si>
    <t xml:space="preserve">EGP 3.0 million, from the earlier feasibility study. Carried as an intangible and amortised.</t>
  </si>
  <si>
    <t xml:space="preserve">The same, in dollars at the opening rate</t>
  </si>
  <si>
    <t xml:space="preserve">3. ACQUISITION, ONLINE CHANNELS</t>
  </si>
  <si>
    <t xml:space="preserve">Budget divided by cost per click gives paid clicks. Organic and referral visits are a stated share of paid. Visits times click to signup gives free accounts created.</t>
  </si>
  <si>
    <t xml:space="preserve">Online channel, monthly budget</t>
  </si>
  <si>
    <t xml:space="preserve">Unit</t>
  </si>
  <si>
    <t xml:space="preserve">Budget Y1</t>
  </si>
  <si>
    <t xml:space="preserve">Y2</t>
  </si>
  <si>
    <t xml:space="preserve">Y3</t>
  </si>
  <si>
    <t xml:space="preserve">Y4</t>
  </si>
  <si>
    <t xml:space="preserve">Y5</t>
  </si>
  <si>
    <t xml:space="preserve">Cost per click</t>
  </si>
  <si>
    <t xml:space="preserve">Organic % of paid</t>
  </si>
  <si>
    <t xml:space="preserve">Referral % of paid</t>
  </si>
  <si>
    <t xml:space="preserve">Click to signup</t>
  </si>
  <si>
    <t xml:space="preserve">Meta and Instagram ads, merchants</t>
  </si>
  <si>
    <t xml:space="preserve">Google Search, store builder and POS intent</t>
  </si>
  <si>
    <t xml:space="preserve">TikTok and short video, sellers</t>
  </si>
  <si>
    <t xml:space="preserve">Retargeting, trial starters</t>
  </si>
  <si>
    <t xml:space="preserve">Content and SEO, Arabic commerce guides</t>
  </si>
  <si>
    <t xml:space="preserve">Merchant referral program credits</t>
  </si>
  <si>
    <t xml:space="preserve">Seller communities and social groups</t>
  </si>
  <si>
    <t xml:space="preserve">Online advertising cost</t>
  </si>
  <si>
    <t xml:space="preserve">Annual rise in cost per click as budgets scale</t>
  </si>
  <si>
    <t xml:space="preserve">Auction prices rise with spend and with Egyptian inflation</t>
  </si>
  <si>
    <t xml:space="preserve">Cumulative cost per click index</t>
  </si>
  <si>
    <t xml:space="preserve">x</t>
  </si>
  <si>
    <t xml:space="preserve">Signup quality and the self serve path</t>
  </si>
  <si>
    <t xml:space="preserve">Signups on the free path who create a store</t>
  </si>
  <si>
    <t xml:space="preserve">Signups who start a Starter trial</t>
  </si>
  <si>
    <t xml:space="preserve">Signups who start a Pro trial</t>
  </si>
  <si>
    <t xml:space="preserve">Signups who book a demo with sales</t>
  </si>
  <si>
    <t xml:space="preserve">Starter trial to paid, after the 14 day trial</t>
  </si>
  <si>
    <t xml:space="preserve">Pro trial to paid, after the 14 day trial</t>
  </si>
  <si>
    <t xml:space="preserve">Unconverted trials that stay on the free Launch plan</t>
  </si>
  <si>
    <t xml:space="preserve">4. ACQUISITION, OFFLINE ACTIVITY</t>
  </si>
  <si>
    <t xml:space="preserve">Everything the commercial team does in the field. Each activity has a cost, free signups it brings and qualified leads it hands to direct sales.</t>
  </si>
  <si>
    <t xml:space="preserve">Offline activity</t>
  </si>
  <si>
    <t xml:space="preserve">Per month Y1</t>
  </si>
  <si>
    <t xml:space="preserve">Cost per activity</t>
  </si>
  <si>
    <t xml:space="preserve">Signups each</t>
  </si>
  <si>
    <t xml:space="preserve">Direct sales leads each</t>
  </si>
  <si>
    <t xml:space="preserve">Product demos and webinars</t>
  </si>
  <si>
    <t xml:space="preserve">Seller community meetups and workshops</t>
  </si>
  <si>
    <t xml:space="preserve">Exhibitions and trade events attended</t>
  </si>
  <si>
    <t xml:space="preserve">Agency, web developer and accountant partner sessions</t>
  </si>
  <si>
    <t xml:space="preserve">Governorate roadshow, Alexandria, Delta and Upper Egypt</t>
  </si>
  <si>
    <t xml:space="preserve">Direct outreach by the sales team, contacts</t>
  </si>
  <si>
    <t xml:space="preserve">5. THE DIRECT SALES FUNNEL</t>
  </si>
  <si>
    <t xml:space="preserve">Qualified leads split between three segments, each with its own conversion and its own clock. A lead booked this month closes after the sales cycle.</t>
  </si>
  <si>
    <t xml:space="preserve">Segment</t>
  </si>
  <si>
    <t xml:space="preserve">Share of qualified leads</t>
  </si>
  <si>
    <t xml:space="preserve">Lead to demo</t>
  </si>
  <si>
    <t xml:space="preserve">Demo to paid</t>
  </si>
  <si>
    <t xml:space="preserve">Sales cycle, months</t>
  </si>
  <si>
    <t xml:space="preserve">Share taking Starter</t>
  </si>
  <si>
    <t xml:space="preserve">Share taking Pro</t>
  </si>
  <si>
    <t xml:space="preserve">Share taking Enterprise</t>
  </si>
  <si>
    <t xml:space="preserve">Social sellers and small shops, 1 to 3 staff</t>
  </si>
  <si>
    <t xml:space="preserve">Multi channel retailers and brands, 3 to 10 staff</t>
  </si>
  <si>
    <t xml:space="preserve">Chains, distributors and large brands, 3 plus stores</t>
  </si>
  <si>
    <t xml:space="preserve">Shares must total 100%</t>
  </si>
  <si>
    <t xml:space="preserve">Direct sales effectiveness</t>
  </si>
  <si>
    <t xml:space="preserve">Win rate uplift as references accumulate</t>
  </si>
  <si>
    <t xml:space="preserve">6. THE UPGRADE AND CHURN PATH, MONTHLY</t>
  </si>
  <si>
    <t xml:space="preserve">Applied to the opening balance of each plan every month. Free to paid is where the funnel earns its keep.</t>
  </si>
  <si>
    <t xml:space="preserve">Monthly rate</t>
  </si>
  <si>
    <t xml:space="preserve">Launch to Starter upgrade</t>
  </si>
  <si>
    <t xml:space="preserve">Launch to Pro upgrade</t>
  </si>
  <si>
    <t xml:space="preserve">Starter to Pro upgrade</t>
  </si>
  <si>
    <t xml:space="preserve">Pro to Enterprise upgrade</t>
  </si>
  <si>
    <t xml:space="preserve">Churn, Launch (free) stores</t>
  </si>
  <si>
    <t xml:space="preserve">Churn, Starter accounts</t>
  </si>
  <si>
    <t xml:space="preserve">Churn, Pro accounts</t>
  </si>
  <si>
    <t xml:space="preserve">Churn, Enterprise accounts</t>
  </si>
  <si>
    <t xml:space="preserve">7. CAPACITY, WHO RUNS THE ACTIVITY</t>
  </si>
  <si>
    <t xml:space="preserve">The plan above is only credible if somebody is free to do it. The sheet named GTM Capacity and Timing tests each line against the heads on the Payroll sheet.</t>
  </si>
  <si>
    <t xml:space="preserve">Demos one account executive can run per month</t>
  </si>
  <si>
    <t xml:space="preserve">New paying accounts one onboarding specialist can onboard per month</t>
  </si>
  <si>
    <t xml:space="preserve">Support tickets per paying account per month</t>
  </si>
  <si>
    <t xml:space="preserve">Support tickets per free store per month</t>
  </si>
  <si>
    <t xml:space="preserve">Tickets one support agent can close per month</t>
  </si>
  <si>
    <t xml:space="preserve">Paying accounts one merchant success manager can hold</t>
  </si>
  <si>
    <t xml:space="preserve">8. REVENUE, PRICING BY YEAR</t>
  </si>
  <si>
    <t xml:space="preserve">Priced in Egyptian pounds where an Egyptian merchant pays, and converted at the monthly rate. List prices are the public price page in October 2026.</t>
  </si>
  <si>
    <t xml:space="preserve">Starter plan, list price per month, Year 1</t>
  </si>
  <si>
    <t xml:space="preserve">Public price page</t>
  </si>
  <si>
    <t xml:space="preserve">Pro plan, list price per month, Year 1</t>
  </si>
  <si>
    <t xml:space="preserve">Enterprise plan, average contract per month, Year 1</t>
  </si>
  <si>
    <t xml:space="preserve">Custom quote on the site. The earlier study gave Enterprise no revenue. This is a placeholder to confirm.</t>
  </si>
  <si>
    <t xml:space="preserve">Discount for annual billing</t>
  </si>
  <si>
    <t xml:space="preserve">The price page says save up to 20 per cent</t>
  </si>
  <si>
    <t xml:space="preserve">Price path</t>
  </si>
  <si>
    <t xml:space="preserve">List price increase on 1 January</t>
  </si>
  <si>
    <t xml:space="preserve">Held below Egyptian inflation of about 15 per cent because free alternatives are spreading</t>
  </si>
  <si>
    <t xml:space="preserve">Cumulative price index</t>
  </si>
  <si>
    <t xml:space="preserve">Share of paying accounts billed annually in advance</t>
  </si>
  <si>
    <t xml:space="preserve">Extra store on Pro, per store per month</t>
  </si>
  <si>
    <t xml:space="preserve">Share of Pro accounts that buy extra stores</t>
  </si>
  <si>
    <t xml:space="preserve">Extra stores bought by those accounts, average</t>
  </si>
  <si>
    <t xml:space="preserve">Transaction fee on online payments, Starter</t>
  </si>
  <si>
    <t xml:space="preserve">Transaction fee on online payments, Pro</t>
  </si>
  <si>
    <t xml:space="preserve">Transaction fee on online payments, Enterprise</t>
  </si>
  <si>
    <t xml:space="preserve">Public price page shows 0.00 per cent</t>
  </si>
  <si>
    <t xml:space="preserve">Online payment value per active Starter account per month, Year 1</t>
  </si>
  <si>
    <t xml:space="preserve">Online payment value per active Pro account per month, Year 1</t>
  </si>
  <si>
    <t xml:space="preserve">Online payments</t>
  </si>
  <si>
    <t xml:space="preserve">Starter accounts processing online payments</t>
  </si>
  <si>
    <t xml:space="preserve">Cash on delivery is still the largest share of Egyptian online orders</t>
  </si>
  <si>
    <t xml:space="preserve">Pro accounts processing online payments</t>
  </si>
  <si>
    <t xml:space="preserve">Growth in payment value per account</t>
  </si>
  <si>
    <t xml:space="preserve">Cumulative payment value index</t>
  </si>
  <si>
    <t xml:space="preserve">Paid store setup and data migration service, per job</t>
  </si>
  <si>
    <t xml:space="preserve">Roadmap service, not on the price page</t>
  </si>
  <si>
    <t xml:space="preserve">Share of new Starter and Pro accounts buying it</t>
  </si>
  <si>
    <t xml:space="preserve">Orders a month per account using partner shipping</t>
  </si>
  <si>
    <t xml:space="preserve">Margin per shipped order</t>
  </si>
  <si>
    <t xml:space="preserve">Roadmap, carrier rate card margin</t>
  </si>
  <si>
    <t xml:space="preserve">Roadmap adoption</t>
  </si>
  <si>
    <t xml:space="preserve">Paying accounts using partner shipping</t>
  </si>
  <si>
    <t xml:space="preserve">Theme and app marketplace revenue per adopting account per month</t>
  </si>
  <si>
    <t xml:space="preserve">Net revenue share after the developer is paid</t>
  </si>
  <si>
    <t xml:space="preserve">Paying accounts buying themes and apps</t>
  </si>
  <si>
    <t xml:space="preserve">9. WHEN EACH ENGINE OPENS</t>
  </si>
  <si>
    <t xml:space="preserve">An engine earns nothing before the month it opens. Month 1 is January 2027. Type 999 to switch an engine off.</t>
  </si>
  <si>
    <t xml:space="preserve">Engine</t>
  </si>
  <si>
    <t xml:space="preserve">Opens in month</t>
  </si>
  <si>
    <t xml:space="preserve">Subscription, Starter</t>
  </si>
  <si>
    <t xml:space="preserve">month</t>
  </si>
  <si>
    <t xml:space="preserve">Subscription, Pro</t>
  </si>
  <si>
    <t xml:space="preserve">Subscription, Enterprise</t>
  </si>
  <si>
    <t xml:space="preserve">Extra store add on</t>
  </si>
  <si>
    <t xml:space="preserve">Transaction fee on online payments</t>
  </si>
  <si>
    <t xml:space="preserve">Paid store setup service</t>
  </si>
  <si>
    <t xml:space="preserve">Shipping partner margin</t>
  </si>
  <si>
    <t xml:space="preserve">Theme and app marketplace</t>
  </si>
  <si>
    <t xml:space="preserve">10. EXPENSES, DIRECT COST OF DELIVERY</t>
  </si>
  <si>
    <t xml:space="preserve">Billing and collection cost, share of subscription revenue</t>
  </si>
  <si>
    <t xml:space="preserve">Card, wallet and Fawry collection</t>
  </si>
  <si>
    <t xml:space="preserve">Payment operations, share of transaction fee revenue</t>
  </si>
  <si>
    <t xml:space="preserve">Reconciliation, disputes, chargebacks</t>
  </si>
  <si>
    <t xml:space="preserve">Hosting per free store per month</t>
  </si>
  <si>
    <t xml:space="preserve">Hosting per paying account per month</t>
  </si>
  <si>
    <t xml:space="preserve">AI Commerce inference per free store per month</t>
  </si>
  <si>
    <t xml:space="preserve">AI Commerce inference per paying account per month</t>
  </si>
  <si>
    <t xml:space="preserve">SMS, WhatsApp and email per free store per month</t>
  </si>
  <si>
    <t xml:space="preserve">SMS, WhatsApp and email per paying account per month</t>
  </si>
  <si>
    <t xml:space="preserve">Support tooling and telephony per paying account per month</t>
  </si>
  <si>
    <t xml:space="preserve">Setup service delivery cost per job</t>
  </si>
  <si>
    <t xml:space="preserve">Shipping partner operations, share of shipping margin</t>
  </si>
  <si>
    <t xml:space="preserve">11. EXPENSES, REVENUE SHARE WITH THIRD PARTIES AND SALES COMMISSION</t>
  </si>
  <si>
    <t xml:space="preserve">Margin given up to buy distribution or payment processing capacity.</t>
  </si>
  <si>
    <t xml:space="preserve">Share</t>
  </si>
  <si>
    <t xml:space="preserve">Share of paying subscription revenue sourced by agency partners</t>
  </si>
  <si>
    <t xml:space="preserve">Partner share of partner sourced subscription revenue</t>
  </si>
  <si>
    <t xml:space="preserve">Payments partner share of the transaction fee</t>
  </si>
  <si>
    <t xml:space="preserve">Sales commission on subscription revenue</t>
  </si>
  <si>
    <t xml:space="preserve">Sales commission on transaction and services revenue</t>
  </si>
  <si>
    <t xml:space="preserve">12. EXPENSES, OPERATING COST DRIVERS</t>
  </si>
  <si>
    <t xml:space="preserve">Every line has a driver: a desk per employee, a tool per employee, a fixed monthly retainer. Dollar figures are Year 1 levels and move with the cost index below.</t>
  </si>
  <si>
    <t xml:space="preserve">Cost index</t>
  </si>
  <si>
    <t xml:space="preserve">Annual increase in dollar operating costs</t>
  </si>
  <si>
    <t xml:space="preserve">Cumulative operating cost index</t>
  </si>
  <si>
    <t xml:space="preserve">Desk and office, per employee per month</t>
  </si>
  <si>
    <t xml:space="preserve">Utilities, internet and communications, per employee</t>
  </si>
  <si>
    <t xml:space="preserve">Software and tooling, per employee per month</t>
  </si>
  <si>
    <t xml:space="preserve">Cloud and third party APIs, fixed per month</t>
  </si>
  <si>
    <t xml:space="preserve">Travel and field transport, per field head per month</t>
  </si>
  <si>
    <t xml:space="preserve">Recruitment cost per new hire</t>
  </si>
  <si>
    <t xml:space="preserve">Training and enablement, per employee per year</t>
  </si>
  <si>
    <t xml:space="preserve">CRM, analytics and data tools, fixed per month</t>
  </si>
  <si>
    <t xml:space="preserve">Prospecting data, fixed per month</t>
  </si>
  <si>
    <t xml:space="preserve">Outsourced finance, legal and audit, per month</t>
  </si>
  <si>
    <t xml:space="preserve">Insurance, bank charges and sundries, per month</t>
  </si>
  <si>
    <t xml:space="preserve">Brand, creative and content production, per month</t>
  </si>
  <si>
    <t xml:space="preserve">Events, workshops and sponsorship, per month</t>
  </si>
  <si>
    <t xml:space="preserve">Partner incentives and referral credits, per month</t>
  </si>
  <si>
    <t xml:space="preserve">Customer onboarding cost per new paying account</t>
  </si>
  <si>
    <t xml:space="preserve">Regulatory, licensing and compliance, per month</t>
  </si>
  <si>
    <t xml:space="preserve">Office</t>
  </si>
  <si>
    <t xml:space="preserve">Office rent, fixed per month</t>
  </si>
  <si>
    <t xml:space="preserve">EGP 25,000 a month plus a 10 per cent reserve in Year 1, from the team budget</t>
  </si>
  <si>
    <t xml:space="preserve">Contingency on operating cost</t>
  </si>
  <si>
    <t xml:space="preserve">13. WORKING CAPITAL, FUNDING AND TAX</t>
  </si>
  <si>
    <t xml:space="preserve">Days sales outstanding, subscriptions</t>
  </si>
  <si>
    <t xml:space="preserve">days</t>
  </si>
  <si>
    <t xml:space="preserve">Days sales outstanding, transaction fees and services</t>
  </si>
  <si>
    <t xml:space="preserve">Days payable outstanding</t>
  </si>
  <si>
    <t xml:space="preserve">Accrued payroll, days outstanding</t>
  </si>
  <si>
    <t xml:space="preserve">Months of an annual plan still unrecognised, on average</t>
  </si>
  <si>
    <t xml:space="preserve">Round the seed ask up to the nearest</t>
  </si>
  <si>
    <t xml:space="preserve">Month the seed round lands</t>
  </si>
  <si>
    <t xml:space="preserve">Minimum cash buffer to hold</t>
  </si>
  <si>
    <t xml:space="preserve">Round the second round up to the nearest</t>
  </si>
  <si>
    <t xml:space="preserve">Month the second round lands, if one is needed</t>
  </si>
  <si>
    <t xml:space="preserve">Corporate income tax rate</t>
  </si>
  <si>
    <t xml:space="preserve">Egyptian corporate rate</t>
  </si>
  <si>
    <t xml:space="preserve">Month of the following year in which tax is paid</t>
  </si>
  <si>
    <t xml:space="preserve">Tax losses carried forward at inception</t>
  </si>
  <si>
    <t xml:space="preserve">14. ASSETS, DRIVEN BY HEADCOUNT</t>
  </si>
  <si>
    <t xml:space="preserve">Every new employee arrives with a kit, so asset purchases follow the hiring plan instead of being guessed at. Cost in pounds, converted at the rate of the month it is bought.</t>
  </si>
  <si>
    <t xml:space="preserve">Asset</t>
  </si>
  <si>
    <t xml:space="preserve">Cost, EGP</t>
  </si>
  <si>
    <t xml:space="preserve">Month bought</t>
  </si>
  <si>
    <t xml:space="preserve">Useful life, months</t>
  </si>
  <si>
    <t xml:space="preserve">Standard kit per new hire, laptop, monitor and phone</t>
  </si>
  <si>
    <t xml:space="preserve">Engineering kit per new technology hire</t>
  </si>
  <si>
    <t xml:space="preserve">Reserve on equipment</t>
  </si>
  <si>
    <t xml:space="preserve">From the team budget</t>
  </si>
  <si>
    <t xml:space="preserve">Shared and intangible assets</t>
  </si>
  <si>
    <t xml:space="preserve">Cairo office fit out</t>
  </si>
  <si>
    <t xml:space="preserve">Network, devices and security</t>
  </si>
  <si>
    <t xml:space="preserve">Trademark, entity formation and IP registration</t>
  </si>
  <si>
    <t xml:space="preserve">POS demo and event kit</t>
  </si>
  <si>
    <t xml:space="preserve">Studio and content production kit</t>
  </si>
  <si>
    <t xml:space="preserve">Second city office set up</t>
  </si>
  <si>
    <t xml:space="preserve">Product already built, founder investment to date</t>
  </si>
  <si>
    <t xml:space="preserve">The last line is not a purchase. It is the founder money already spent, carried at cost and amortised from month 1.</t>
  </si>
  <si>
    <t xml:space="preserve">Assets driven by new hires, plus shared and intangible assets. Cost in pounds, converted at the rate of the month it is bought.</t>
  </si>
  <si>
    <t xml:space="preserve">Month number</t>
  </si>
  <si>
    <t xml:space="preserve">ASSET PURCHASES, USD</t>
  </si>
  <si>
    <t xml:space="preserve">Asset class</t>
  </si>
  <si>
    <t xml:space="preserve">Jan 27</t>
  </si>
  <si>
    <t xml:space="preserve">Feb 27</t>
  </si>
  <si>
    <t xml:space="preserve">Mar 27</t>
  </si>
  <si>
    <t xml:space="preserve">Apr 27</t>
  </si>
  <si>
    <t xml:space="preserve">May 27</t>
  </si>
  <si>
    <t xml:space="preserve">Jun 27</t>
  </si>
  <si>
    <t xml:space="preserve">Jul 27</t>
  </si>
  <si>
    <t xml:space="preserve">Aug 27</t>
  </si>
  <si>
    <t xml:space="preserve">Sep 27</t>
  </si>
  <si>
    <t xml:space="preserve">Oct 27</t>
  </si>
  <si>
    <t xml:space="preserve">Nov 27</t>
  </si>
  <si>
    <t xml:space="preserve">Dec 27</t>
  </si>
  <si>
    <t xml:space="preserve">Jan 28</t>
  </si>
  <si>
    <t xml:space="preserve">Feb 28</t>
  </si>
  <si>
    <t xml:space="preserve">Mar 28</t>
  </si>
  <si>
    <t xml:space="preserve">Apr 28</t>
  </si>
  <si>
    <t xml:space="preserve">May 28</t>
  </si>
  <si>
    <t xml:space="preserve">Jun 28</t>
  </si>
  <si>
    <t xml:space="preserve">Jul 28</t>
  </si>
  <si>
    <t xml:space="preserve">Aug 28</t>
  </si>
  <si>
    <t xml:space="preserve">Sep 28</t>
  </si>
  <si>
    <t xml:space="preserve">Oct 28</t>
  </si>
  <si>
    <t xml:space="preserve">Nov 28</t>
  </si>
  <si>
    <t xml:space="preserve">Dec 28</t>
  </si>
  <si>
    <t xml:space="preserve">Jan 29</t>
  </si>
  <si>
    <t xml:space="preserve">Feb 29</t>
  </si>
  <si>
    <t xml:space="preserve">Mar 29</t>
  </si>
  <si>
    <t xml:space="preserve">Apr 29</t>
  </si>
  <si>
    <t xml:space="preserve">May 29</t>
  </si>
  <si>
    <t xml:space="preserve">Jun 29</t>
  </si>
  <si>
    <t xml:space="preserve">Jul 29</t>
  </si>
  <si>
    <t xml:space="preserve">Aug 29</t>
  </si>
  <si>
    <t xml:space="preserve">Sep 29</t>
  </si>
  <si>
    <t xml:space="preserve">Oct 29</t>
  </si>
  <si>
    <t xml:space="preserve">Nov 29</t>
  </si>
  <si>
    <t xml:space="preserve">Dec 29</t>
  </si>
  <si>
    <t xml:space="preserve">Jan 30</t>
  </si>
  <si>
    <t xml:space="preserve">Feb 30</t>
  </si>
  <si>
    <t xml:space="preserve">Mar 30</t>
  </si>
  <si>
    <t xml:space="preserve">Apr 30</t>
  </si>
  <si>
    <t xml:space="preserve">May 30</t>
  </si>
  <si>
    <t xml:space="preserve">Jun 30</t>
  </si>
  <si>
    <t xml:space="preserve">Jul 30</t>
  </si>
  <si>
    <t xml:space="preserve">Aug 30</t>
  </si>
  <si>
    <t xml:space="preserve">Sep 30</t>
  </si>
  <si>
    <t xml:space="preserve">Oct 30</t>
  </si>
  <si>
    <t xml:space="preserve">Nov 30</t>
  </si>
  <si>
    <t xml:space="preserve">Dec 30</t>
  </si>
  <si>
    <t xml:space="preserve">Jan 31</t>
  </si>
  <si>
    <t xml:space="preserve">Feb 31</t>
  </si>
  <si>
    <t xml:space="preserve">Mar 31</t>
  </si>
  <si>
    <t xml:space="preserve">Apr 31</t>
  </si>
  <si>
    <t xml:space="preserve">May 31</t>
  </si>
  <si>
    <t xml:space="preserve">Jun 31</t>
  </si>
  <si>
    <t xml:space="preserve">Jul 31</t>
  </si>
  <si>
    <t xml:space="preserve">Aug 31</t>
  </si>
  <si>
    <t xml:space="preserve">Sep 31</t>
  </si>
  <si>
    <t xml:space="preserve">Oct 31</t>
  </si>
  <si>
    <t xml:space="preserve">Nov 31</t>
  </si>
  <si>
    <t xml:space="preserve">Dec 31</t>
  </si>
  <si>
    <t xml:space="preserve">Employee kits, laptop, monitor and phone</t>
  </si>
  <si>
    <t xml:space="preserve">Total capital expenditure</t>
  </si>
  <si>
    <t xml:space="preserve">of which property and equipment</t>
  </si>
  <si>
    <t xml:space="preserve">of which intangible</t>
  </si>
  <si>
    <t xml:space="preserve">The founder investment already made in the product is not a purchase in this model. It sits as the opening intangible on the Depreciation and Amortization sheet.</t>
  </si>
  <si>
    <t xml:space="preserve">The opening position and a grid to record each month. Type actuals into the yellow cells and the variance rows read against the model.</t>
  </si>
  <si>
    <t xml:space="preserve">THE OPENING POSITION AT 31 DECEMBER 2026</t>
  </si>
  <si>
    <t xml:space="preserve">Opening cash, USD</t>
  </si>
  <si>
    <t xml:space="preserve">Founder capital carried as an intangible, USD</t>
  </si>
  <si>
    <t xml:space="preserve">ACTUALS AGAINST THE MODEL</t>
  </si>
  <si>
    <t xml:space="preserve">Line item</t>
  </si>
  <si>
    <t xml:space="preserve">Model, Total revenue, USD</t>
  </si>
  <si>
    <t xml:space="preserve">Actual, Total revenue, USD</t>
  </si>
  <si>
    <t xml:space="preserve">Variance, actual less model</t>
  </si>
  <si>
    <t xml:space="preserve">Model, Paying accounts at month end</t>
  </si>
  <si>
    <t xml:space="preserve">Actual, Paying accounts at month end</t>
  </si>
  <si>
    <t xml:space="preserve">Model, Launch (free) stores at month end</t>
  </si>
  <si>
    <t xml:space="preserve">Actual, Launch (free) stores at month end</t>
  </si>
  <si>
    <t xml:space="preserve">Model, Cash at month end, USD</t>
  </si>
  <si>
    <t xml:space="preserve">Actual, Cash at month end, USD</t>
  </si>
  <si>
    <t xml:space="preserve">Model, Employees in post</t>
  </si>
  <si>
    <t xml:space="preserve">Actual, Employees in post</t>
  </si>
  <si>
    <t xml:space="preserve">Timeline and FX</t>
  </si>
  <si>
    <t xml:space="preserve">Acquisitions</t>
  </si>
  <si>
    <t xml:space="preserve">GTM Capacity and Timing</t>
  </si>
  <si>
    <t xml:space="preserve">Revenue Streams</t>
  </si>
  <si>
    <t xml:space="preserve">Total Revenue</t>
  </si>
  <si>
    <t xml:space="preserve">Payroll</t>
  </si>
  <si>
    <t xml:space="preserve">Depreciation and Amortization</t>
  </si>
  <si>
    <t xml:space="preserve">Expenses</t>
  </si>
  <si>
    <t xml:space="preserve">The calendar, the pound rate and the cost indices that every other sheet reads.</t>
  </si>
  <si>
    <t xml:space="preserve">CALENDAR AND PRICE LEVELS</t>
  </si>
  <si>
    <t xml:space="preserve">Calendar month</t>
  </si>
  <si>
    <t xml:space="preserve">Model year</t>
  </si>
  <si>
    <t xml:space="preserve">Price index on list prices</t>
  </si>
  <si>
    <t xml:space="preserve">Payment value index per account</t>
  </si>
  <si>
    <t xml:space="preserve">Operating cost index, dollar costs</t>
  </si>
  <si>
    <t xml:space="preserve">Salary index</t>
  </si>
  <si>
    <t xml:space="preserve">Insurable wage ceiling per month, EGP</t>
  </si>
  <si>
    <t xml:space="preserve">Insurable wage floor per month, EGP</t>
  </si>
  <si>
    <t xml:space="preserve">Spend to activity to signups to paying accounts, sixty months. No account count is typed: every one is produced here from the assumptions.</t>
  </si>
  <si>
    <t xml:space="preserve">1. ONLINE CHANNELS, MONTHLY BUDGET, USD</t>
  </si>
  <si>
    <t xml:space="preserve">Total online budget</t>
  </si>
  <si>
    <t xml:space="preserve">2. PAID CLICKS, BUDGET DIVIDED BY COST PER CLICK</t>
  </si>
  <si>
    <t xml:space="preserve">Total paid clicks</t>
  </si>
  <si>
    <t xml:space="preserve">3. VISITS, PAID PLUS ORGANIC AND REFERRAL</t>
  </si>
  <si>
    <t xml:space="preserve">Total visits</t>
  </si>
  <si>
    <t xml:space="preserve">4. FREE SIGNUPS FROM ONLINE, VISITS TIMES CLICK TO SIGNUP</t>
  </si>
  <si>
    <t xml:space="preserve">Total signups from online</t>
  </si>
  <si>
    <t xml:space="preserve">5. OFFLINE ACTIVITY, WHAT THE COMMERCIAL TEAM DOES IN THE FIELD</t>
  </si>
  <si>
    <t xml:space="preserve">Governorate roadshow</t>
  </si>
  <si>
    <t xml:space="preserve">Offline activity cost, USD</t>
  </si>
  <si>
    <t xml:space="preserve">Signups from offline activity</t>
  </si>
  <si>
    <t xml:space="preserve">Direct sales leads from offline activity</t>
  </si>
  <si>
    <t xml:space="preserve">6. SIGNUPS TO STORES AND TRIALS</t>
  </si>
  <si>
    <t xml:space="preserve">Total free signups</t>
  </si>
  <si>
    <t xml:space="preserve">Marketing spend, online and offline, USD</t>
  </si>
  <si>
    <t xml:space="preserve">Cost per free signup, USD</t>
  </si>
  <si>
    <t xml:space="preserve">Starter trials started</t>
  </si>
  <si>
    <t xml:space="preserve">Pro trials started</t>
  </si>
  <si>
    <t xml:space="preserve">Signups on the free path</t>
  </si>
  <si>
    <t xml:space="preserve">New Launch stores from the free path</t>
  </si>
  <si>
    <t xml:space="preserve">Starter trials converting to paid, trials of last month</t>
  </si>
  <si>
    <t xml:space="preserve">Pro trials converting to paid, trials of last month</t>
  </si>
  <si>
    <t xml:space="preserve">Unconverted trials staying on the Launch plan</t>
  </si>
  <si>
    <t xml:space="preserve">New Launch stores, free path plus unconverted trials</t>
  </si>
  <si>
    <t xml:space="preserve">7. THE DIRECT SALES FUNNEL, THREE SEGMENTS</t>
  </si>
  <si>
    <t xml:space="preserve">Signups who book a demo</t>
  </si>
  <si>
    <t xml:space="preserve">Qualified leads for direct sales</t>
  </si>
  <si>
    <t xml:space="preserve">Demos held, Social sellers and small shops</t>
  </si>
  <si>
    <t xml:space="preserve">Demos held, Multi channel retailers and brands</t>
  </si>
  <si>
    <t xml:space="preserve">Demos held, Chains, distributors and large brands</t>
  </si>
  <si>
    <t xml:space="preserve">Total demos held</t>
  </si>
  <si>
    <t xml:space="preserve">Deals signed, Social sellers and small shops</t>
  </si>
  <si>
    <t xml:space="preserve">Deals signed, Multi channel retailers and brands</t>
  </si>
  <si>
    <t xml:space="preserve">Deals signed, Chains, distributors and large brands</t>
  </si>
  <si>
    <t xml:space="preserve">Direct deals signed on Starter</t>
  </si>
  <si>
    <t xml:space="preserve">Direct deals signed on Pro</t>
  </si>
  <si>
    <t xml:space="preserve">Direct deals signed on Enterprise</t>
  </si>
  <si>
    <t xml:space="preserve">8. ACCOUNTS BY PLAN, MONTHLY ROLL FORWARD</t>
  </si>
  <si>
    <t xml:space="preserve">Launch (free) stores, opening</t>
  </si>
  <si>
    <t xml:space="preserve">    New stores</t>
  </si>
  <si>
    <t xml:space="preserve">    Upgrade to Starter</t>
  </si>
  <si>
    <t xml:space="preserve">    Upgrade to Pro</t>
  </si>
  <si>
    <t xml:space="preserve">    Churn</t>
  </si>
  <si>
    <t xml:space="preserve">Launch (free) stores, closing</t>
  </si>
  <si>
    <t xml:space="preserve">Starter accounts, opening</t>
  </si>
  <si>
    <t xml:space="preserve">    New from trials</t>
  </si>
  <si>
    <t xml:space="preserve">    New from direct sales</t>
  </si>
  <si>
    <t xml:space="preserve">    Upgrade in from Launch</t>
  </si>
  <si>
    <t xml:space="preserve">    Upgrade out to Pro</t>
  </si>
  <si>
    <t xml:space="preserve">Starter accounts, closing</t>
  </si>
  <si>
    <t xml:space="preserve">Pro accounts, opening</t>
  </si>
  <si>
    <t xml:space="preserve">    Upgrade in from Starter</t>
  </si>
  <si>
    <t xml:space="preserve">    Upgrade out to Enterprise</t>
  </si>
  <si>
    <t xml:space="preserve">Pro accounts, closing</t>
  </si>
  <si>
    <t xml:space="preserve">Enterprise accounts, opening</t>
  </si>
  <si>
    <t xml:space="preserve">    Upgrade in from Pro</t>
  </si>
  <si>
    <t xml:space="preserve">Enterprise accounts, closing</t>
  </si>
  <si>
    <t xml:space="preserve">9. TOTALS AND THE UNIT ECONOMICS INPUTS</t>
  </si>
  <si>
    <t xml:space="preserve">Paying accounts, opening</t>
  </si>
  <si>
    <t xml:space="preserve">Paying accounts, closing</t>
  </si>
  <si>
    <t xml:space="preserve">Paying accounts, average in the month</t>
  </si>
  <si>
    <t xml:space="preserve">Launch stores, average in the month</t>
  </si>
  <si>
    <t xml:space="preserve">New paying accounts, from trials, direct sales and free upgrades</t>
  </si>
  <si>
    <t xml:space="preserve">of which Starter and Pro</t>
  </si>
  <si>
    <t xml:space="preserve">Paying accounts lost to churn</t>
  </si>
  <si>
    <t xml:space="preserve">All active accounts, free and paying</t>
  </si>
  <si>
    <t xml:space="preserve">Who runs the activity, whether there are enough of them, and how long a deal takes. A shortfall month is flagged with a 1.</t>
  </si>
  <si>
    <t xml:space="preserve">1. CAPACITY AGAINST THE ACTIVITY PLAN</t>
  </si>
  <si>
    <t xml:space="preserve">Demos to hold in the month</t>
  </si>
  <si>
    <t xml:space="preserve">Account executives required</t>
  </si>
  <si>
    <t xml:space="preserve">Account executives in post</t>
  </si>
  <si>
    <t xml:space="preserve">Shortfall flag, demos</t>
  </si>
  <si>
    <t xml:space="preserve">New paying accounts to onboard</t>
  </si>
  <si>
    <t xml:space="preserve">Onboarding specialists required</t>
  </si>
  <si>
    <t xml:space="preserve">Onboarding specialists in post</t>
  </si>
  <si>
    <t xml:space="preserve">Shortfall flag, onboarding</t>
  </si>
  <si>
    <t xml:space="preserve">Support tickets in the month</t>
  </si>
  <si>
    <t xml:space="preserve">Support agents required</t>
  </si>
  <si>
    <t xml:space="preserve">Support agents in post</t>
  </si>
  <si>
    <t xml:space="preserve">Shortfall flag, support</t>
  </si>
  <si>
    <t xml:space="preserve">Merchant success heads required</t>
  </si>
  <si>
    <t xml:space="preserve">Merchant success heads in post</t>
  </si>
  <si>
    <t xml:space="preserve">Shortfall flag, merchant success</t>
  </si>
  <si>
    <t xml:space="preserve">Months with any shortfall</t>
  </si>
  <si>
    <t xml:space="preserve">2. TIMING, WHEN EACH SEGMENT CLOSES AND WHEN EACH ENGINE OPENS</t>
  </si>
  <si>
    <t xml:space="preserve">Direct sales segment</t>
  </si>
  <si>
    <t xml:space="preserve">Social sellers and small shops</t>
  </si>
  <si>
    <t xml:space="preserve">Multi channel retailers and brands</t>
  </si>
  <si>
    <t xml:space="preserve">Chains, distributors and large brands</t>
  </si>
  <si>
    <t xml:space="preserve">Eight revenue engines, every one an output of the account engine. Pounds are converted at the monthly rate. An engine earns nothing before the month it opens.</t>
  </si>
  <si>
    <t xml:space="preserve">0. BASIS</t>
  </si>
  <si>
    <t xml:space="preserve">Price index</t>
  </si>
  <si>
    <t xml:space="preserve">Share of paying accounts billed annually</t>
  </si>
  <si>
    <t xml:space="preserve">Price factor after the annual billing discount</t>
  </si>
  <si>
    <t xml:space="preserve">Open flag, Starter</t>
  </si>
  <si>
    <t xml:space="preserve">Open flag, Pro</t>
  </si>
  <si>
    <t xml:space="preserve">Open flag, Enterprise</t>
  </si>
  <si>
    <t xml:space="preserve">Open flag, extra stores</t>
  </si>
  <si>
    <t xml:space="preserve">Open flag, transaction fee</t>
  </si>
  <si>
    <t xml:space="preserve">Open flag, setup service</t>
  </si>
  <si>
    <t xml:space="preserve">Open flag, shipping margin</t>
  </si>
  <si>
    <t xml:space="preserve">Open flag, marketplace</t>
  </si>
  <si>
    <t xml:space="preserve">1. SUBSCRIPTION, STARTER</t>
  </si>
  <si>
    <t xml:space="preserve">Average Starter accounts</t>
  </si>
  <si>
    <t xml:space="preserve">Price per account per month, EGP</t>
  </si>
  <si>
    <t xml:space="preserve">Revenue, Starter, USD</t>
  </si>
  <si>
    <t xml:space="preserve">2. SUBSCRIPTION, PRO</t>
  </si>
  <si>
    <t xml:space="preserve">Average Pro accounts</t>
  </si>
  <si>
    <t xml:space="preserve">Revenue, Pro, USD</t>
  </si>
  <si>
    <t xml:space="preserve">3. SUBSCRIPTION, ENTERPRISE</t>
  </si>
  <si>
    <t xml:space="preserve">Average Enterprise accounts</t>
  </si>
  <si>
    <t xml:space="preserve">Average contract per account per month, EGP</t>
  </si>
  <si>
    <t xml:space="preserve">Revenue, Enterprise, USD</t>
  </si>
  <si>
    <t xml:space="preserve">4. EXTRA STORE ADD ON, PRO</t>
  </si>
  <si>
    <t xml:space="preserve">Extra stores billed</t>
  </si>
  <si>
    <t xml:space="preserve">Revenue, extra stores, USD</t>
  </si>
  <si>
    <t xml:space="preserve">5. TRANSACTION FEE ON ONLINE PAYMENTS</t>
  </si>
  <si>
    <t xml:space="preserve">Online payment value, Starter, EGP</t>
  </si>
  <si>
    <t xml:space="preserve">Online payment value, Pro, EGP</t>
  </si>
  <si>
    <t xml:space="preserve">Online payment value processed, USD</t>
  </si>
  <si>
    <t xml:space="preserve">Fee revenue, Starter, USD</t>
  </si>
  <si>
    <t xml:space="preserve">Fee revenue, Pro, USD</t>
  </si>
  <si>
    <t xml:space="preserve">Revenue, transaction fees, USD</t>
  </si>
  <si>
    <t xml:space="preserve">6. PAID STORE SETUP SERVICE, ROADMAP</t>
  </si>
  <si>
    <t xml:space="preserve">Setup jobs sold</t>
  </si>
  <si>
    <t xml:space="preserve">Revenue, setup service, USD</t>
  </si>
  <si>
    <t xml:space="preserve">7. SHIPPING PARTNER MARGIN, ROADMAP</t>
  </si>
  <si>
    <t xml:space="preserve">Revenue, shipping margin, USD</t>
  </si>
  <si>
    <t xml:space="preserve">8. THEME AND APP MARKETPLACE, ROADMAP</t>
  </si>
  <si>
    <t xml:space="preserve">Revenue, marketplace, USD</t>
  </si>
  <si>
    <t xml:space="preserve">9. FAMILIES, AND THE BASES FOR COLLECTION AND DEFERRAL</t>
  </si>
  <si>
    <t xml:space="preserve">Subscription revenue, USD</t>
  </si>
  <si>
    <t xml:space="preserve">Transaction revenue, USD</t>
  </si>
  <si>
    <t xml:space="preserve">Services revenue, USD</t>
  </si>
  <si>
    <t xml:space="preserve">Platform and partner revenue, USD</t>
  </si>
  <si>
    <t xml:space="preserve">Total revenue, USD</t>
  </si>
  <si>
    <t xml:space="preserve">Revenue other than subscriptions, USD</t>
  </si>
  <si>
    <t xml:space="preserve">Subscription revenue on annual prepaid plans, USD</t>
  </si>
  <si>
    <t xml:space="preserve">Gathered into four families, with the recurring revenue run rate.</t>
  </si>
  <si>
    <t xml:space="preserve">REVENUE BY FAMILY, USD</t>
  </si>
  <si>
    <t xml:space="preserve">Subscription</t>
  </si>
  <si>
    <t xml:space="preserve">    Starter plan</t>
  </si>
  <si>
    <t xml:space="preserve">    Pro plan</t>
  </si>
  <si>
    <t xml:space="preserve">    Enterprise plan</t>
  </si>
  <si>
    <t xml:space="preserve">    Extra store add on</t>
  </si>
  <si>
    <t xml:space="preserve">Transaction</t>
  </si>
  <si>
    <t xml:space="preserve">    Transaction fee on online payments</t>
  </si>
  <si>
    <t xml:space="preserve">    Shipping partner margin</t>
  </si>
  <si>
    <t xml:space="preserve">Services</t>
  </si>
  <si>
    <t xml:space="preserve">    Paid store setup service</t>
  </si>
  <si>
    <t xml:space="preserve">Platform and partner</t>
  </si>
  <si>
    <t xml:space="preserve">    Theme and app marketplace</t>
  </si>
  <si>
    <t xml:space="preserve">RECURRING REVENUE AND MIX</t>
  </si>
  <si>
    <t xml:space="preserve">Subscription revenue in the month, monthly recurring revenue</t>
  </si>
  <si>
    <t xml:space="preserve">Annualised recurring revenue, month times twelve</t>
  </si>
  <si>
    <t xml:space="preserve">Subscription share of revenue</t>
  </si>
  <si>
    <t xml:space="preserve">Transaction share of revenue</t>
  </si>
  <si>
    <t xml:space="preserve">Revenue per paying account per month, USD</t>
  </si>
  <si>
    <t xml:space="preserve">Roles, heads by year and salaries in Egyptian pounds, converted monthly. Nobody is paid before the first month of the role. The Year 1 establishment is the company's own team budget.</t>
  </si>
  <si>
    <t xml:space="preserve">ESTABLISHMENT, INPUTS</t>
  </si>
  <si>
    <t xml:space="preserve">Role</t>
  </si>
  <si>
    <t xml:space="preserve">Function</t>
  </si>
  <si>
    <t xml:space="preserve">First month</t>
  </si>
  <si>
    <t xml:space="preserve">Heads Y1</t>
  </si>
  <si>
    <t xml:space="preserve">Gross EGP per month</t>
  </si>
  <si>
    <t xml:space="preserve">Insured, 1 or 0</t>
  </si>
  <si>
    <t xml:space="preserve">Technology kit, 1 or 0</t>
  </si>
  <si>
    <t xml:space="preserve">Capacity tag</t>
  </si>
  <si>
    <t xml:space="preserve">CEO</t>
  </si>
  <si>
    <t xml:space="preserve">Leadership</t>
  </si>
  <si>
    <t xml:space="preserve">CTO and Head of Engineering</t>
  </si>
  <si>
    <t xml:space="preserve">COO</t>
  </si>
  <si>
    <t xml:space="preserve">Product Manager</t>
  </si>
  <si>
    <t xml:space="preserve">Product</t>
  </si>
  <si>
    <t xml:space="preserve">UI and UX Designer</t>
  </si>
  <si>
    <t xml:space="preserve">Senior Backend Engineer</t>
  </si>
  <si>
    <t xml:space="preserve">Technology</t>
  </si>
  <si>
    <t xml:space="preserve">Mid Level Backend Engineer</t>
  </si>
  <si>
    <t xml:space="preserve">Web Frontend Engineer</t>
  </si>
  <si>
    <t xml:space="preserve">Flutter Mobile Engineer</t>
  </si>
  <si>
    <t xml:space="preserve">QA Automation Engineer</t>
  </si>
  <si>
    <t xml:space="preserve">Functional QA Engineer</t>
  </si>
  <si>
    <t xml:space="preserve">DevOps and Cloud Engineer</t>
  </si>
  <si>
    <t xml:space="preserve">Data and Analytics Specialist</t>
  </si>
  <si>
    <t xml:space="preserve">Head of Sales</t>
  </si>
  <si>
    <t xml:space="preserve">Sales</t>
  </si>
  <si>
    <t xml:space="preserve">Account Executive</t>
  </si>
  <si>
    <t xml:space="preserve">AE</t>
  </si>
  <si>
    <t xml:space="preserve">Enterprise Account Executive</t>
  </si>
  <si>
    <t xml:space="preserve">Sales Development Representative</t>
  </si>
  <si>
    <t xml:space="preserve">Partnerships Manager</t>
  </si>
  <si>
    <t xml:space="preserve">Partnerships</t>
  </si>
  <si>
    <t xml:space="preserve">Growth Marketing Manager</t>
  </si>
  <si>
    <t xml:space="preserve">Marketing</t>
  </si>
  <si>
    <t xml:space="preserve">Content, Social and Lifecycle Specialist</t>
  </si>
  <si>
    <t xml:space="preserve">Performance Marketing Specialist</t>
  </si>
  <si>
    <t xml:space="preserve">Merchant Success Lead</t>
  </si>
  <si>
    <t xml:space="preserve">Customer</t>
  </si>
  <si>
    <t xml:space="preserve">CSM</t>
  </si>
  <si>
    <t xml:space="preserve">Merchant Success Manager</t>
  </si>
  <si>
    <t xml:space="preserve">Onboarding Specialist</t>
  </si>
  <si>
    <t xml:space="preserve">ONB</t>
  </si>
  <si>
    <t xml:space="preserve">Support Specialist</t>
  </si>
  <si>
    <t xml:space="preserve">SUP</t>
  </si>
  <si>
    <t xml:space="preserve">Finance, HR and Admin Specialist</t>
  </si>
  <si>
    <t xml:space="preserve">Operations</t>
  </si>
  <si>
    <t xml:space="preserve">Finance Manager</t>
  </si>
  <si>
    <t xml:space="preserve">Legal and Compliance Officer</t>
  </si>
  <si>
    <t xml:space="preserve">Total establishment at the end of each year</t>
  </si>
  <si>
    <t xml:space="preserve">Employer social insurance rate</t>
  </si>
  <si>
    <t xml:space="preserve">18.75 per cent on the insurable wage, from the team budget and the 2026 rules</t>
  </si>
  <si>
    <t xml:space="preserve">Annual salary increase on 1 January from Year 2</t>
  </si>
  <si>
    <t xml:space="preserve">Egyptian urban inflation was 14.9 per cent in July 2026. The earlier study assumed no increase for five years.</t>
  </si>
  <si>
    <t xml:space="preserve">Insurable wage ceiling in 2027, per month</t>
  </si>
  <si>
    <t xml:space="preserve">Provisional figure from a published tax guide. The 2026 ceiling is EGP 16,700.</t>
  </si>
  <si>
    <t xml:space="preserve">Insurable wage floor in 2027, per month</t>
  </si>
  <si>
    <t xml:space="preserve">Annual rise in the ceiling and the floor after 2027</t>
  </si>
  <si>
    <t xml:space="preserve">Employer cost per head is the gross salary plus the insurance rate applied to the gross salary held between the floor and the ceiling. Role heads are set by year and rise through the year in whole people.</t>
  </si>
  <si>
    <t xml:space="preserve">HEADS IN POST BY MONTH</t>
  </si>
  <si>
    <t xml:space="preserve">Employees in post</t>
  </si>
  <si>
    <t xml:space="preserve">New hires in the month</t>
  </si>
  <si>
    <t xml:space="preserve">of which technology kit hires</t>
  </si>
  <si>
    <t xml:space="preserve">of which standard kit hires</t>
  </si>
  <si>
    <t xml:space="preserve">Field heads, sales, partnerships and customer</t>
  </si>
  <si>
    <t xml:space="preserve">MONTHLY PAYROLL, FULLY LOADED, USD</t>
  </si>
  <si>
    <t xml:space="preserve">    Leadership</t>
  </si>
  <si>
    <t xml:space="preserve">    Product</t>
  </si>
  <si>
    <t xml:space="preserve">    Technology</t>
  </si>
  <si>
    <t xml:space="preserve">    Sales</t>
  </si>
  <si>
    <t xml:space="preserve">    Partnerships</t>
  </si>
  <si>
    <t xml:space="preserve">    Marketing</t>
  </si>
  <si>
    <t xml:space="preserve">    Customer</t>
  </si>
  <si>
    <t xml:space="preserve">    Operations</t>
  </si>
  <si>
    <t xml:space="preserve">Total payroll, fully loaded</t>
  </si>
  <si>
    <t xml:space="preserve">of which sales, marketing and partnerships</t>
  </si>
  <si>
    <t xml:space="preserve">of which merchant success, onboarding and support</t>
  </si>
  <si>
    <t xml:space="preserve">Straight line by asset class. Each month's charge is the cost of assets still inside their useful life divided by that life.</t>
  </si>
  <si>
    <t xml:space="preserve">DEPRECIATION AND AMORTIZATION, USD</t>
  </si>
  <si>
    <t xml:space="preserve">Employee kits</t>
  </si>
  <si>
    <t xml:space="preserve">Trademark, entity formation and IP</t>
  </si>
  <si>
    <t xml:space="preserve">Product built before the round</t>
  </si>
  <si>
    <t xml:space="preserve">Total depreciation and amortization</t>
  </si>
  <si>
    <t xml:space="preserve">NET BOOK VALUE AT MONTH END, USD</t>
  </si>
  <si>
    <t xml:space="preserve">Property and equipment, net</t>
  </si>
  <si>
    <t xml:space="preserve">Intangible assets, net</t>
  </si>
  <si>
    <t xml:space="preserve">Direct cost of delivery, revenue share to third parties, and the operating base. The first twelve months are shown in full at the foot, because the funding ask is built from them.</t>
  </si>
  <si>
    <t xml:space="preserve">DIRECT COST OF DELIVERY</t>
  </si>
  <si>
    <t xml:space="preserve">Billing and collection on subscriptions</t>
  </si>
  <si>
    <t xml:space="preserve">Payment operations on transaction fees</t>
  </si>
  <si>
    <t xml:space="preserve">Hosting and infrastructure</t>
  </si>
  <si>
    <t xml:space="preserve">AI Commerce inference</t>
  </si>
  <si>
    <t xml:space="preserve">SMS, WhatsApp and email delivery</t>
  </si>
  <si>
    <t xml:space="preserve">Support tooling and telephony</t>
  </si>
  <si>
    <t xml:space="preserve">Store setup service delivery</t>
  </si>
  <si>
    <t xml:space="preserve">Shipping partner operations</t>
  </si>
  <si>
    <t xml:space="preserve">Revenue share, agency partners on subscriptions</t>
  </si>
  <si>
    <t xml:space="preserve">Revenue share, payments partner on transaction fees</t>
  </si>
  <si>
    <t xml:space="preserve">Total direct cost</t>
  </si>
  <si>
    <t xml:space="preserve">OPERATING COST</t>
  </si>
  <si>
    <t xml:space="preserve">Payroll, fully loaded</t>
  </si>
  <si>
    <t xml:space="preserve">Sales commission on subscriptions</t>
  </si>
  <si>
    <t xml:space="preserve">Marketing, online channels</t>
  </si>
  <si>
    <t xml:space="preserve">Field activity and offline acquisition</t>
  </si>
  <si>
    <t xml:space="preserve">Brand, creative and content production</t>
  </si>
  <si>
    <t xml:space="preserve">Events, workshops and sponsorship</t>
  </si>
  <si>
    <t xml:space="preserve">Partner incentives and referral credits</t>
  </si>
  <si>
    <t xml:space="preserve">Customer onboarding</t>
  </si>
  <si>
    <t xml:space="preserve">Desk and office</t>
  </si>
  <si>
    <t xml:space="preserve">Office rent</t>
  </si>
  <si>
    <t xml:space="preserve">Utilities, internet and communications</t>
  </si>
  <si>
    <t xml:space="preserve">Software and tooling</t>
  </si>
  <si>
    <t xml:space="preserve">Cloud and third party APIs</t>
  </si>
  <si>
    <t xml:space="preserve">CRM, analytics and data tools</t>
  </si>
  <si>
    <t xml:space="preserve">Prospecting data</t>
  </si>
  <si>
    <t xml:space="preserve">Travel and field transport</t>
  </si>
  <si>
    <t xml:space="preserve">Recruitment</t>
  </si>
  <si>
    <t xml:space="preserve">Training and enablement</t>
  </si>
  <si>
    <t xml:space="preserve">Outsourced finance, legal and audit</t>
  </si>
  <si>
    <t xml:space="preserve">Regulatory, licensing and compliance</t>
  </si>
  <si>
    <t xml:space="preserve">Insurance, bank charges and sundries</t>
  </si>
  <si>
    <t xml:space="preserve">Contingency</t>
  </si>
  <si>
    <t xml:space="preserve">Operating cost before depreciation</t>
  </si>
  <si>
    <t xml:space="preserve">Depreciation and amortization</t>
  </si>
  <si>
    <t xml:space="preserve">Total operating cost</t>
  </si>
  <si>
    <t xml:space="preserve">RESULT</t>
  </si>
  <si>
    <t xml:space="preserve">EBIT, operating profit</t>
  </si>
  <si>
    <t xml:space="preserve">Cash operating cost excluding payroll</t>
  </si>
  <si>
    <t xml:space="preserve">THE FIRST TWELVE MONTHS IN FULL, WHAT THE FUNDING ASK HAS TO COVER</t>
  </si>
  <si>
    <t xml:space="preserve">Every expense line above, totalled over months one to twelve of 2027. This block is the basis of the Funding and Use of Funds sheet. Revenue is not netted off: the ask covers all twelve months of spend.</t>
  </si>
  <si>
    <t xml:space="preserve">Expense line</t>
  </si>
  <si>
    <t xml:space="preserve">Category</t>
  </si>
  <si>
    <t xml:space="preserve">Year 1 total, USD</t>
  </si>
  <si>
    <t xml:space="preserve">Share of year 1 spend</t>
  </si>
  <si>
    <t xml:space="preserve">Direct cost of delivery</t>
  </si>
  <si>
    <t xml:space="preserve">People</t>
  </si>
  <si>
    <t xml:space="preserve">Sales and marketing</t>
  </si>
  <si>
    <t xml:space="preserve">General and administrative</t>
  </si>
  <si>
    <t xml:space="preserve">Depreciation and amortization, non cash</t>
  </si>
  <si>
    <t xml:space="preserve">Non cash</t>
  </si>
  <si>
    <t xml:space="preserve">Total year one expense, produced by this sheet</t>
  </si>
  <si>
    <t xml:space="preserve">Of which cash expense</t>
  </si>
  <si>
    <t xml:space="preserve">Capital expenditure in year one</t>
  </si>
  <si>
    <t xml:space="preserve">Total cash out in year one, expense and capital</t>
  </si>
  <si>
    <t xml:space="preserve">Income Statement</t>
  </si>
  <si>
    <t xml:space="preserve">Balance Sheet</t>
  </si>
  <si>
    <t xml:space="preserve">Cash Flow Statement</t>
  </si>
  <si>
    <t xml:space="preserve">Financial Indicators</t>
  </si>
  <si>
    <t xml:space="preserve">Funding and Use of Funds</t>
  </si>
  <si>
    <t xml:space="preserve">Five years to 31 December.</t>
  </si>
  <si>
    <t xml:space="preserve">Annual growth</t>
  </si>
  <si>
    <t xml:space="preserve">    Subscription</t>
  </si>
  <si>
    <t xml:space="preserve">    Transaction</t>
  </si>
  <si>
    <t xml:space="preserve">    Services</t>
  </si>
  <si>
    <t xml:space="preserve">    Platform and partner</t>
  </si>
  <si>
    <t xml:space="preserve">Cost of revenue</t>
  </si>
  <si>
    <t xml:space="preserve">Gross profit margin</t>
  </si>
  <si>
    <t xml:space="preserve">Operating expenses</t>
  </si>
  <si>
    <t xml:space="preserve">    Payroll, fully loaded</t>
  </si>
  <si>
    <t xml:space="preserve">    Sales commission on subscriptions</t>
  </si>
  <si>
    <t xml:space="preserve">    Sales commission on transaction and services revenue</t>
  </si>
  <si>
    <t xml:space="preserve">    Marketing, online channels</t>
  </si>
  <si>
    <t xml:space="preserve">    Field activity and offline acquisition</t>
  </si>
  <si>
    <t xml:space="preserve">    Brand, creative and content production</t>
  </si>
  <si>
    <t xml:space="preserve">    Events, workshops and sponsorship</t>
  </si>
  <si>
    <t xml:space="preserve">    Partner incentives and referral credits</t>
  </si>
  <si>
    <t xml:space="preserve">    Customer onboarding</t>
  </si>
  <si>
    <t xml:space="preserve">    Desk and office</t>
  </si>
  <si>
    <t xml:space="preserve">    Office rent</t>
  </si>
  <si>
    <t xml:space="preserve">    Utilities, internet and communications</t>
  </si>
  <si>
    <t xml:space="preserve">    Software and tooling</t>
  </si>
  <si>
    <t xml:space="preserve">    Cloud and third party APIs</t>
  </si>
  <si>
    <t xml:space="preserve">    CRM, analytics and data tools</t>
  </si>
  <si>
    <t xml:space="preserve">    Prospecting data</t>
  </si>
  <si>
    <t xml:space="preserve">    Travel and field transport</t>
  </si>
  <si>
    <t xml:space="preserve">    Recruitment</t>
  </si>
  <si>
    <t xml:space="preserve">    Training and enablement</t>
  </si>
  <si>
    <t xml:space="preserve">    Outsourced finance, legal and audit</t>
  </si>
  <si>
    <t xml:space="preserve">    Regulatory, licensing and compliance</t>
  </si>
  <si>
    <t xml:space="preserve">    Insurance, bank charges and sundries</t>
  </si>
  <si>
    <t xml:space="preserve">    Contingency</t>
  </si>
  <si>
    <t xml:space="preserve">Total operating expenses before depreciation</t>
  </si>
  <si>
    <t xml:space="preserve">EBITDA margin</t>
  </si>
  <si>
    <t xml:space="preserve">Profit before tax</t>
  </si>
  <si>
    <t xml:space="preserve">Tax losses carried forward, opening</t>
  </si>
  <si>
    <t xml:space="preserve">Tax losses carried forward, closing</t>
  </si>
  <si>
    <t xml:space="preserve">Taxable profit</t>
  </si>
  <si>
    <t xml:space="preserve">Corporate income tax</t>
  </si>
  <si>
    <t xml:space="preserve">Net profit for the year</t>
  </si>
  <si>
    <t xml:space="preserve">Net profit margin</t>
  </si>
  <si>
    <t xml:space="preserve">Five years, with the balance check that must read nil in every column.</t>
  </si>
  <si>
    <t xml:space="preserve">STATEMENT OF FINANCIAL POSITION</t>
  </si>
  <si>
    <t xml:space="preserve">Cash and cash equivalents</t>
  </si>
  <si>
    <t xml:space="preserve">Trade receivables</t>
  </si>
  <si>
    <t xml:space="preserve">Total assets</t>
  </si>
  <si>
    <t xml:space="preserve">Trade and other payables</t>
  </si>
  <si>
    <t xml:space="preserve">Accrued payroll</t>
  </si>
  <si>
    <t xml:space="preserve">Deferred revenue</t>
  </si>
  <si>
    <t xml:space="preserve">Tax payable</t>
  </si>
  <si>
    <t xml:space="preserve">Total liabilities</t>
  </si>
  <si>
    <t xml:space="preserve">Share capital</t>
  </si>
  <si>
    <t xml:space="preserve">Retained earnings</t>
  </si>
  <si>
    <t xml:space="preserve">Total equity</t>
  </si>
  <si>
    <t xml:space="preserve">Total liabilities and equity</t>
  </si>
  <si>
    <t xml:space="preserve">CHECK, total assets less liabilities and equity</t>
  </si>
  <si>
    <t xml:space="preserve">Monthly working, then the annual statement.</t>
  </si>
  <si>
    <t xml:space="preserve">OPERATING ACTIVITIES</t>
  </si>
  <si>
    <t xml:space="preserve">Corporate income tax charge</t>
  </si>
  <si>
    <t xml:space="preserve">Add back depreciation and amortization</t>
  </si>
  <si>
    <t xml:space="preserve">WORKING CAPITAL BALANCES AT MONTH END</t>
  </si>
  <si>
    <t xml:space="preserve">Tax paid in the month</t>
  </si>
  <si>
    <t xml:space="preserve">CASH FLOW</t>
  </si>
  <si>
    <t xml:space="preserve">Decrease (increase) in receivables</t>
  </si>
  <si>
    <t xml:space="preserve">Increase (decrease) in payables</t>
  </si>
  <si>
    <t xml:space="preserve">Increase (decrease) in accrued payroll</t>
  </si>
  <si>
    <t xml:space="preserve">Increase (decrease) in deferred revenue</t>
  </si>
  <si>
    <t xml:space="preserve">Increase (decrease) in tax payable</t>
  </si>
  <si>
    <t xml:space="preserve">Net cash from operating activities</t>
  </si>
  <si>
    <t xml:space="preserve">Capital expenditure</t>
  </si>
  <si>
    <t xml:space="preserve">Net cash used in investing activities</t>
  </si>
  <si>
    <t xml:space="preserve">Share capital raised</t>
  </si>
  <si>
    <t xml:space="preserve">Net cash from financing activities</t>
  </si>
  <si>
    <t xml:space="preserve">Net movement in cash</t>
  </si>
  <si>
    <t xml:space="preserve">Cash at the start of the month</t>
  </si>
  <si>
    <t xml:space="preserve">Cash at the end of the month</t>
  </si>
  <si>
    <t xml:space="preserve">Headroom against the minimum cash buffer</t>
  </si>
  <si>
    <t xml:space="preserve">Cumulative free cash flow</t>
  </si>
  <si>
    <t xml:space="preserve">CASH FLOW STATEMENT, ANNUAL</t>
  </si>
  <si>
    <t xml:space="preserve">Cash at the end of the year</t>
  </si>
  <si>
    <t xml:space="preserve">The numbers the business is run on, taken from the model rather than restated by hand.</t>
  </si>
  <si>
    <t xml:space="preserve">GROWTH AND SCALE</t>
  </si>
  <si>
    <t xml:space="preserve">Revenue growth</t>
  </si>
  <si>
    <t xml:space="preserve">Free signups in the year</t>
  </si>
  <si>
    <t xml:space="preserve">Paying Starter accounts at year end</t>
  </si>
  <si>
    <t xml:space="preserve">Paying Pro accounts at year end</t>
  </si>
  <si>
    <t xml:space="preserve">Paying Enterprise accounts at year end</t>
  </si>
  <si>
    <t xml:space="preserve">New paying accounts in the year</t>
  </si>
  <si>
    <t xml:space="preserve">Revenue per employee</t>
  </si>
  <si>
    <t xml:space="preserve">Recurring revenue in the last month, monthly</t>
  </si>
  <si>
    <t xml:space="preserve">Annualised recurring revenue, last month times twelve</t>
  </si>
  <si>
    <t xml:space="preserve">PROFITABILITY</t>
  </si>
  <si>
    <t xml:space="preserve">Net margin</t>
  </si>
  <si>
    <t xml:space="preserve">UNIT ECONOMICS AND THE FUNNEL</t>
  </si>
  <si>
    <t xml:space="preserve">Cost per free signup, online and offline marketing</t>
  </si>
  <si>
    <t xml:space="preserve">Sales and marketing cost, fully loaded</t>
  </si>
  <si>
    <t xml:space="preserve">Average revenue per paying account per month</t>
  </si>
  <si>
    <t xml:space="preserve">Monthly churn on paying accounts, blended</t>
  </si>
  <si>
    <t xml:space="preserve">Lifetime value of a paying account, gross margin basis</t>
  </si>
  <si>
    <t xml:space="preserve">CAC payback, months</t>
  </si>
  <si>
    <t xml:space="preserve">Share of signups that became paying accounts, in the year</t>
  </si>
  <si>
    <t xml:space="preserve">CASH</t>
  </si>
  <si>
    <t xml:space="preserve">Net cash from operations</t>
  </si>
  <si>
    <t xml:space="preserve">Free cash flow</t>
  </si>
  <si>
    <t xml:space="preserve">Average monthly burn or generation</t>
  </si>
  <si>
    <t xml:space="preserve">Months of runway on year end cash</t>
  </si>
  <si>
    <t xml:space="preserve">Debtor days achieved</t>
  </si>
  <si>
    <t xml:space="preserve">The ask, what it buys, and the runway it produces. Every figure on this sheet is read from the Expenses, Capital Expenditure and Cash Flow Statement sheets. The ask is built from the full first twelve months of spend.</t>
  </si>
  <si>
    <t xml:space="preserve">1. THE ASK, BUILT FROM YEAR ONE</t>
  </si>
  <si>
    <t xml:space="preserve">Total cash required in year one, expense and capital, all twelve months</t>
  </si>
  <si>
    <t xml:space="preserve">Read off the first twelve months block on the Expenses sheet</t>
  </si>
  <si>
    <t xml:space="preserve">Add the minimum cash buffer to hold</t>
  </si>
  <si>
    <t xml:space="preserve">Less opening cash already in the company</t>
  </si>
  <si>
    <t xml:space="preserve">Amount needed before rounding</t>
  </si>
  <si>
    <t xml:space="preserve">Seed round sought, rounded up</t>
  </si>
  <si>
    <t xml:space="preserve">The ask covers every month of year one in full. Year one revenue is treated as upside, not as funding.</t>
  </si>
  <si>
    <t xml:space="preserve">Total capital available for year one, seed plus cash in hand</t>
  </si>
  <si>
    <t xml:space="preserve">Months of average year one spend that this capital funds</t>
  </si>
  <si>
    <t xml:space="preserve">Twelve or more means the ask funds every month of year one</t>
  </si>
  <si>
    <t xml:space="preserve">Year one fully covered, capital less spend at least the buffer</t>
  </si>
  <si>
    <t xml:space="preserve">2. WHAT YEAR ONE COSTS, READ OFF THE EXPENSES SHEET</t>
  </si>
  <si>
    <t xml:space="preserve">Year 1, USD</t>
  </si>
  <si>
    <t xml:space="preserve">Monthly average</t>
  </si>
  <si>
    <t xml:space="preserve">People, payroll, recruitment and training</t>
  </si>
  <si>
    <t xml:space="preserve">Technology and platform</t>
  </si>
  <si>
    <t xml:space="preserve">General and administrative, excluding contingency</t>
  </si>
  <si>
    <t xml:space="preserve">Capital expenditure, equipment and set up</t>
  </si>
  <si>
    <t xml:space="preserve">Total cash required in year one</t>
  </si>
  <si>
    <t xml:space="preserve">Reconciles to the total above, must read nil</t>
  </si>
  <si>
    <t xml:space="preserve">3. WHAT THE ASK BUYS</t>
  </si>
  <si>
    <t xml:space="preserve">Revenue collected in year one</t>
  </si>
  <si>
    <t xml:space="preserve">Net cash consumed in year one, a negative figure is cash generated</t>
  </si>
  <si>
    <t xml:space="preserve">Net cash consumed in year two, a negative figure is cash generated</t>
  </si>
  <si>
    <t xml:space="preserve">Net cash consumed in year three, a negative figure is cash generated</t>
  </si>
  <si>
    <t xml:space="preserve">Net cash consumed in year four, a negative figure is cash generated</t>
  </si>
  <si>
    <t xml:space="preserve">Net cash consumed in year five, a negative figure is cash generated</t>
  </si>
  <si>
    <t xml:space="preserve">Cash at the end of year one</t>
  </si>
  <si>
    <t xml:space="preserve">Cash at the end of year two</t>
  </si>
  <si>
    <t xml:space="preserve">Cash at the end of year three</t>
  </si>
  <si>
    <t xml:space="preserve">Lowest cash balance across the five years</t>
  </si>
  <si>
    <t xml:space="preserve">Month the business first turns EBITDA positive</t>
  </si>
  <si>
    <t xml:space="preserve">4. THE SEED ALONE, MONTH BY MONTH, BEFORE ANY SECOND ROUND</t>
  </si>
  <si>
    <t xml:space="preserve">Month</t>
  </si>
  <si>
    <t xml:space="preserve">Cash on the seed alone, operating and investing flows only</t>
  </si>
  <si>
    <t xml:space="preserve">Lowest that balance has been up to this month</t>
  </si>
  <si>
    <t xml:space="preserve">Lowest cash on the seed alone across five years</t>
  </si>
  <si>
    <t xml:space="preserve">Months the seed alone funds, counted month by month</t>
  </si>
  <si>
    <t xml:space="preserve">Counts months with a cash balance of zero or more</t>
  </si>
  <si>
    <t xml:space="preserve">Months before the minimum cash buffer is touched, seed alone</t>
  </si>
  <si>
    <t xml:space="preserve">Shortfall against the buffer on the seed alone</t>
  </si>
  <si>
    <t xml:space="preserve">Second round needed, rounded up</t>
  </si>
  <si>
    <t xml:space="preserve">Zero means the seed carries the plan to self funding without a second round</t>
  </si>
  <si>
    <t xml:space="preserve">Month the second round lands</t>
  </si>
  <si>
    <t xml:space="preserve">Total capital across the rounds, plus opening cash</t>
  </si>
  <si>
    <t xml:space="preserve">5. THE MILESTONES THE ROUND IS SIZED AGAINST</t>
  </si>
  <si>
    <t xml:space="preserve">Paying accounts at the end of year one</t>
  </si>
  <si>
    <t xml:space="preserve">Paying accounts at the end of year two</t>
  </si>
  <si>
    <t xml:space="preserve">Paying accounts at the end of year three</t>
  </si>
  <si>
    <t xml:space="preserve">Annualised recurring revenue at the end of year two</t>
  </si>
  <si>
    <t xml:space="preserve">Transaction fee engine opens in month</t>
  </si>
  <si>
    <t xml:space="preserve">Shipping partner margin opens in month</t>
  </si>
  <si>
    <t xml:space="preserve">Theme and app marketplace opens in month</t>
  </si>
  <si>
    <t xml:space="preserve">BEP Analysis</t>
  </si>
  <si>
    <t xml:space="preserve">PB Analysis</t>
  </si>
  <si>
    <t xml:space="preserve">Sensitivity</t>
  </si>
  <si>
    <t xml:space="preserve">Stress Test</t>
  </si>
  <si>
    <t xml:space="preserve">Exit Angel and VC</t>
  </si>
  <si>
    <t xml:space="preserve">Valuation</t>
  </si>
  <si>
    <t xml:space="preserve">Break even revenue, and the month the business turns.</t>
  </si>
  <si>
    <t xml:space="preserve">ANNUAL BREAK EVEN</t>
  </si>
  <si>
    <t xml:space="preserve">Revenue</t>
  </si>
  <si>
    <t xml:space="preserve">Variable cost of delivery</t>
  </si>
  <si>
    <t xml:space="preserve">Contribution</t>
  </si>
  <si>
    <t xml:space="preserve">Contribution margin</t>
  </si>
  <si>
    <t xml:space="preserve">Fixed operating cost, including depreciation</t>
  </si>
  <si>
    <t xml:space="preserve">Break even revenue</t>
  </si>
  <si>
    <t xml:space="preserve">Break even revenue per month</t>
  </si>
  <si>
    <t xml:space="preserve">Margin of safety</t>
  </si>
  <si>
    <t xml:space="preserve">Break even in paying account equivalents</t>
  </si>
  <si>
    <t xml:space="preserve">Paying accounts actually held at year end</t>
  </si>
  <si>
    <t xml:space="preserve">THE MONTH IT TURNS</t>
  </si>
  <si>
    <t xml:space="preserve">First month with positive EBITDA, working</t>
  </si>
  <si>
    <t xml:space="preserve">First month with positive operating cash flow, working</t>
  </si>
  <si>
    <t xml:space="preserve">Month of the lowest cash balance, working</t>
  </si>
  <si>
    <t xml:space="preserve">First month cumulative free cash flow turns positive, working</t>
  </si>
  <si>
    <t xml:space="preserve">First month with positive EBITDA</t>
  </si>
  <si>
    <t xml:space="preserve">First month with positive operating cash flow</t>
  </si>
  <si>
    <t xml:space="preserve">Month of the lowest cash balance</t>
  </si>
  <si>
    <t xml:space="preserve">First month cumulative free cash flow turns positive</t>
  </si>
  <si>
    <t xml:space="preserve">THE DISTANCE FROM BREAK EVEN AT MONTH TWENTY FOUR</t>
  </si>
  <si>
    <t xml:space="preserve">The gap at the end of year two, and what closing it would take.</t>
  </si>
  <si>
    <t xml:space="preserve">EBITDA in month twenty four as the plan stands</t>
  </si>
  <si>
    <t xml:space="preserve">The gap to close</t>
  </si>
  <si>
    <t xml:space="preserve">Extra revenue in that month that would close it</t>
  </si>
  <si>
    <t xml:space="preserve">As a share of the revenue the month actually produces</t>
  </si>
  <si>
    <t xml:space="preserve">Or, as a share of that month's operating cost, the cut required</t>
  </si>
  <si>
    <t xml:space="preserve">The same cut expressed against payroll alone</t>
  </si>
  <si>
    <t xml:space="preserve">When the capital comes back, base and flexed.</t>
  </si>
  <si>
    <t xml:space="preserve">CAPITAL IN</t>
  </si>
  <si>
    <t xml:space="preserve">Founder capital at inception, cash</t>
  </si>
  <si>
    <t xml:space="preserve">Seed round, the ask in this plan</t>
  </si>
  <si>
    <t xml:space="preserve">Second round, if the plan needs one</t>
  </si>
  <si>
    <t xml:space="preserve">Total capital invested</t>
  </si>
  <si>
    <t xml:space="preserve">CASH RETURNED, BASE CASE</t>
  </si>
  <si>
    <t xml:space="preserve">Free cash flow in the year</t>
  </si>
  <si>
    <t xml:space="preserve">Capital recovered</t>
  </si>
  <si>
    <t xml:space="preserve">Capital still outstanding</t>
  </si>
  <si>
    <t xml:space="preserve">PAYBACK PERIOD</t>
  </si>
  <si>
    <t xml:space="preserve">Payback flag, working</t>
  </si>
  <si>
    <t xml:space="preserve">Months to repay all capital invested</t>
  </si>
  <si>
    <t xml:space="preserve">WHAT THE PAYBACK IS SENSITIVE TO</t>
  </si>
  <si>
    <t xml:space="preserve">Delivery volume flexed</t>
  </si>
  <si>
    <t xml:space="preserve">Volume</t>
  </si>
  <si>
    <t xml:space="preserve">Year 5 revenue</t>
  </si>
  <si>
    <t xml:space="preserve">Year 5 EBITDA</t>
  </si>
  <si>
    <t xml:space="preserve">Volume at 60 per cent of plan</t>
  </si>
  <si>
    <t xml:space="preserve">Volume at 75 per cent of plan</t>
  </si>
  <si>
    <t xml:space="preserve">Volume at 90 per cent of plan</t>
  </si>
  <si>
    <t xml:space="preserve">Volume at 100 per cent of plan</t>
  </si>
  <si>
    <t xml:space="preserve">Volume at 110 per cent of plan</t>
  </si>
  <si>
    <t xml:space="preserve">Volume at 125 per cent of plan</t>
  </si>
  <si>
    <t xml:space="preserve">Volume flexes revenue and direct cost together. The operating base is held, which is what makes the downside bite.</t>
  </si>
  <si>
    <t xml:space="preserve">Three two way grids on the year five EBITDA.</t>
  </si>
  <si>
    <t xml:space="preserve">YEAR FIVE EBITDA, VOLUME AGAINST PRICE</t>
  </si>
  <si>
    <t xml:space="preserve">Rows flex delivery volume, columns flex price. Direct cost moves with volume, the operating base does not.</t>
  </si>
  <si>
    <t xml:space="preserve">Price change</t>
  </si>
  <si>
    <t xml:space="preserve">Volume change</t>
  </si>
  <si>
    <t xml:space="preserve">YEAR FIVE EBITDA, VOLUME AGAINST OPERATING COST</t>
  </si>
  <si>
    <t xml:space="preserve">Columns flex the fixed operating base, the cost of holding the establishment through a slower year.</t>
  </si>
  <si>
    <t xml:space="preserve">Operating cost change</t>
  </si>
  <si>
    <t xml:space="preserve">YEAR FIVE EBITDA, SUBSCRIPTION PRICE AGAINST TRANSACTION FEE TAKE</t>
  </si>
  <si>
    <t xml:space="preserve">The two levers on what Coremerce earns from each merchant: the subscription it charges and the share of payments it keeps. Variable costs on the extra revenue are deducted.</t>
  </si>
  <si>
    <t xml:space="preserve">Transaction fee take change</t>
  </si>
  <si>
    <t xml:space="preserve">Subscription price change</t>
  </si>
  <si>
    <t xml:space="preserve">Four scenarios on volume, price, cost and collection.</t>
  </si>
  <si>
    <t xml:space="preserve">SCENARIO LEVERS</t>
  </si>
  <si>
    <t xml:space="preserve">Scenario</t>
  </si>
  <si>
    <t xml:space="preserve">Price</t>
  </si>
  <si>
    <t xml:space="preserve">Operating cost</t>
  </si>
  <si>
    <t xml:space="preserve">Collection delay, months</t>
  </si>
  <si>
    <t xml:space="preserve">Base case</t>
  </si>
  <si>
    <t xml:space="preserve">Upside</t>
  </si>
  <si>
    <t xml:space="preserve">Downside</t>
  </si>
  <si>
    <t xml:space="preserve">Severe</t>
  </si>
  <si>
    <t xml:space="preserve">REVENUE UNDER STRESS</t>
  </si>
  <si>
    <t xml:space="preserve">EBITDA UNDER STRESS</t>
  </si>
  <si>
    <t xml:space="preserve">CASH AT EACH YEAR END, AND WHAT IT WOULD TAKE TO SURVIVE</t>
  </si>
  <si>
    <t xml:space="preserve">Cash is the model cash at each year end, plus the change in cumulative EBITDA against the base case, less the receivables a collection delay locks up. Working capital and tax are held at the base case, which flatters the downside.</t>
  </si>
  <si>
    <t xml:space="preserve">Lowest year end cash</t>
  </si>
  <si>
    <t xml:space="preserve">Additional capital needed</t>
  </si>
  <si>
    <t xml:space="preserve">Investor return and exit simulation. Angel and venture returns, and the routes out.</t>
  </si>
  <si>
    <t xml:space="preserve">THE ROUND</t>
  </si>
  <si>
    <t xml:space="preserve">Amount invested</t>
  </si>
  <si>
    <t xml:space="preserve">Pre money valuation</t>
  </si>
  <si>
    <t xml:space="preserve">Post money valuation</t>
  </si>
  <si>
    <t xml:space="preserve">Ownership at entry</t>
  </si>
  <si>
    <t xml:space="preserve">Dilution from later rounds and the option pool</t>
  </si>
  <si>
    <t xml:space="preserve">Ownership at exit</t>
  </si>
  <si>
    <t xml:space="preserve">WHAT THE COMPANY IS WORTH AT EXIT</t>
  </si>
  <si>
    <t xml:space="preserve">Three revenue bases and one earnings base, because no single multiple is defensible on its own. The conservative case sits near the Commerce.com and Wix range, the strong case nears the Shopify range discounted for scale.</t>
  </si>
  <si>
    <t xml:space="preserve">Multiple</t>
  </si>
  <si>
    <t xml:space="preserve">Year 5 metric</t>
  </si>
  <si>
    <t xml:space="preserve">Enterprise value</t>
  </si>
  <si>
    <t xml:space="preserve">Proceeds to investor</t>
  </si>
  <si>
    <t xml:space="preserve">Multiple of money</t>
  </si>
  <si>
    <t xml:space="preserve">Year five revenue multiple, conservative</t>
  </si>
  <si>
    <t xml:space="preserve">Year five revenue multiple, central</t>
  </si>
  <si>
    <t xml:space="preserve">Year five revenue multiple, strong</t>
  </si>
  <si>
    <t xml:space="preserve">Year five EBITDA multiple</t>
  </si>
  <si>
    <t xml:space="preserve">RETURN TO THE INVESTOR, ON THE CENTRAL MULTIPLE</t>
  </si>
  <si>
    <t xml:space="preserve">Years held from entry to exit</t>
  </si>
  <si>
    <t xml:space="preserve">Proceeds at exit</t>
  </si>
  <si>
    <t xml:space="preserve">Multiple of money returned</t>
  </si>
  <si>
    <t xml:space="preserve">Annualised return</t>
  </si>
  <si>
    <t xml:space="preserve">ANGEL AND VENTURE RETURN ON EACH BASIS</t>
  </si>
  <si>
    <t xml:space="preserve">Meets a 3x angel target</t>
  </si>
  <si>
    <t xml:space="preserve">Meets a 10x venture target</t>
  </si>
  <si>
    <t xml:space="preserve">THE ROUTES OUT</t>
  </si>
  <si>
    <t xml:space="preserve">Acquisition by a regional commerce platform, the Salla and Zid type buyer widening into Egypt</t>
  </si>
  <si>
    <t xml:space="preserve">Acquisition by a payments or fintech group buying the merchant base for payment volume, the Paymob and Fawry type buyer</t>
  </si>
  <si>
    <t xml:space="preserve">Acquisition by a retail technology or POS group buying the store and till footprint</t>
  </si>
  <si>
    <t xml:space="preserve">Secondary sale at the Series A or B to a growth fund</t>
  </si>
  <si>
    <t xml:space="preserve">Continue and distribute, once the subscription base covers the operating cost</t>
  </si>
  <si>
    <t xml:space="preserve">Five methods on one page. Everything starts from the cost of capital, which is built up rather than assumed, and each haircut is made once.</t>
  </si>
  <si>
    <t xml:space="preserve">1. COST OF CAPITAL, BUILT UP FROM ITS PARTS</t>
  </si>
  <si>
    <t xml:space="preserve">A seed investment in an Egyptian company carries four risks a US listed equity does not: the country, the size, the stage and the lack of a market. The rate is built in dollars to match the model.</t>
  </si>
  <si>
    <t xml:space="preserve">Component</t>
  </si>
  <si>
    <t xml:space="preserve">Rate</t>
  </si>
  <si>
    <t xml:space="preserve">Risk free rate, US ten year treasury</t>
  </si>
  <si>
    <t xml:space="preserve">The time value of money in the reporting currency</t>
  </si>
  <si>
    <t xml:space="preserve">Mature market equity risk premium</t>
  </si>
  <si>
    <t xml:space="preserve">Damodaran July 2026 update puts the mature premium near 4.2 per cent</t>
  </si>
  <si>
    <t xml:space="preserve">Egypt country risk premium</t>
  </si>
  <si>
    <t xml:space="preserve">Published tables give 9.7 per cent for January 2026, sovereign spreads have since compressed. Verify against the current table</t>
  </si>
  <si>
    <t xml:space="preserve">Size premium, micro capitalisation</t>
  </si>
  <si>
    <t xml:space="preserve">Smallest decile premium, Coremerce is far below it</t>
  </si>
  <si>
    <t xml:space="preserve">Stage and execution premium</t>
  </si>
  <si>
    <t xml:space="preserve">Pre scale, single market, and a free tier exposed to free competitors</t>
  </si>
  <si>
    <t xml:space="preserve">Cost of equity, before any marketability adjustment</t>
  </si>
  <si>
    <t xml:space="preserve">The rate the success case cash flows are discounted at</t>
  </si>
  <si>
    <t xml:space="preserve">2. THE ADJUSTMENTS, EACH MADE ONCE</t>
  </si>
  <si>
    <t xml:space="preserve">Probability the company is still trading in year five</t>
  </si>
  <si>
    <t xml:space="preserve">Seed stage survival. A live product and a funded team lift it, a free competitor lowers it</t>
  </si>
  <si>
    <t xml:space="preserve">Discount for lack of marketability, DLOM</t>
  </si>
  <si>
    <t xml:space="preserve">No market in the shares, no registration rights, no secondary</t>
  </si>
  <si>
    <t xml:space="preserve">Liquidity risk already inside the discount rate</t>
  </si>
  <si>
    <t xml:space="preserve">Shown so that it is visible and not taken twice</t>
  </si>
  <si>
    <t xml:space="preserve">Exit multiple on year five revenue</t>
  </si>
  <si>
    <t xml:space="preserve">The central multiple in the exit section of this model</t>
  </si>
  <si>
    <t xml:space="preserve">Long term growth after year five</t>
  </si>
  <si>
    <t xml:space="preserve">Below long run nominal growth for a maturing platform</t>
  </si>
  <si>
    <t xml:space="preserve">Target return a seed investor underwrites to</t>
  </si>
  <si>
    <t xml:space="preserve">Embeds failure risk, which is why the VC method takes no survival haircut</t>
  </si>
  <si>
    <t xml:space="preserve">Share of the holding retained after later rounds and the option pool</t>
  </si>
  <si>
    <t xml:space="preserve">Seed investment, the ask in this plan</t>
  </si>
  <si>
    <t xml:space="preserve">Cash already in the company</t>
  </si>
  <si>
    <t xml:space="preserve">3. THE CASH FLOWS BEING VALUED</t>
  </si>
  <si>
    <t xml:space="preserve">Discount factor at the cost of equity</t>
  </si>
  <si>
    <t xml:space="preserve">Present value of free cash flow</t>
  </si>
  <si>
    <t xml:space="preserve">Present value of the five forecast years</t>
  </si>
  <si>
    <t xml:space="preserve">4. METHOD ONE, DISCOUNTED CASH FLOW WITH AN EXIT MULTIPLE</t>
  </si>
  <si>
    <t xml:space="preserve">Terminal value, year five revenue at the exit multiple</t>
  </si>
  <si>
    <t xml:space="preserve">Present value of the terminal value</t>
  </si>
  <si>
    <t xml:space="preserve">Enterprise value, success case</t>
  </si>
  <si>
    <t xml:space="preserve">Equity value, success case, after cash already held</t>
  </si>
  <si>
    <t xml:space="preserve">Weighted for the probability of surviving to year five</t>
  </si>
  <si>
    <t xml:space="preserve">Method one, pre money value after DLOM</t>
  </si>
  <si>
    <t xml:space="preserve">Discount rate, then failure, then marketability, in that order</t>
  </si>
  <si>
    <t xml:space="preserve">5. METHOD TWO, DISCOUNTED CASH FLOW ON A LONG TERM GROWTH RATE</t>
  </si>
  <si>
    <t xml:space="preserve">The same cash flows, but the terminal value assumes Coremerce keeps trading rather than being bought. It is the most sensitive to small changes in the rate.</t>
  </si>
  <si>
    <t xml:space="preserve">Terminal value, year five free cash flow grown in perpetuity</t>
  </si>
  <si>
    <t xml:space="preserve">Method two, pre money value after DLOM</t>
  </si>
  <si>
    <t xml:space="preserve">6. METHOD THREE, THE VENTURE CAPITAL METHOD</t>
  </si>
  <si>
    <t xml:space="preserve">What a seed investor can pay and still hit the return they underwrite to. The target return already carries the failure risk, so no survival haircut is taken here.</t>
  </si>
  <si>
    <t xml:space="preserve">Exit value in year five</t>
  </si>
  <si>
    <t xml:space="preserve">Value the seed investment must reach by year five</t>
  </si>
  <si>
    <t xml:space="preserve">Ownership required at exit</t>
  </si>
  <si>
    <t xml:space="preserve">Ownership required today, grossed up for dilution</t>
  </si>
  <si>
    <t xml:space="preserve">Post money value implied</t>
  </si>
  <si>
    <t xml:space="preserve">Method three, pre money value</t>
  </si>
  <si>
    <t xml:space="preserve">7. METHOD FOUR, LISTED AND TRANSACTION MULTIPLES ON COMMERCE PLATFORMS</t>
  </si>
  <si>
    <t xml:space="preserve">Private deals in this sector rarely disclose a price, so the multiple below is a judgment inside the range the listed platforms show. Snapshots differ in date and source.</t>
  </si>
  <si>
    <t xml:space="preserve">Reference</t>
  </si>
  <si>
    <t xml:space="preserve">Year</t>
  </si>
  <si>
    <t xml:space="preserve">EV to revenue</t>
  </si>
  <si>
    <t xml:space="preserve">What it tells us</t>
  </si>
  <si>
    <t xml:space="preserve">Shopify, listed</t>
  </si>
  <si>
    <t xml:space="preserve">2026</t>
  </si>
  <si>
    <t xml:space="preserve">The category leader at global scale, a ceiling not a comparable</t>
  </si>
  <si>
    <t xml:space="preserve">Wix, listed</t>
  </si>
  <si>
    <t xml:space="preserve">2025</t>
  </si>
  <si>
    <t xml:space="preserve">Mature website and commerce platform with about 13 per cent growth</t>
  </si>
  <si>
    <t xml:space="preserve">Commerce.com, formerly BigCommerce, listed</t>
  </si>
  <si>
    <t xml:space="preserve">July 2026</t>
  </si>
  <si>
    <t xml:space="preserve">A sub scale commerce platform: the floor when growth stalls</t>
  </si>
  <si>
    <t xml:space="preserve">Salla, private, pre IPO round of USD 130 million</t>
  </si>
  <si>
    <t xml:space="preserve">2024</t>
  </si>
  <si>
    <t xml:space="preserve">Reported near USD 1 billion valuation with 80,000 active merchants, a Saudi leader</t>
  </si>
  <si>
    <t xml:space="preserve">Enterprise value to revenue the model underwrites for a young Egyptian platform</t>
  </si>
  <si>
    <t xml:space="preserve">Between the Commerce.com and Wix readings, since Coremerce grows faster but is far smaller</t>
  </si>
  <si>
    <t xml:space="preserve">The year of revenue a buyer would underwrite, year three</t>
  </si>
  <si>
    <t xml:space="preserve">Implied value in year three</t>
  </si>
  <si>
    <t xml:space="preserve">Discounted back three years at the cost of equity</t>
  </si>
  <si>
    <t xml:space="preserve">Weighted for the probability of reaching year three</t>
  </si>
  <si>
    <t xml:space="preserve">Year three is nearer than year five, so the survival odds are better</t>
  </si>
  <si>
    <t xml:space="preserve">Method four, pre money value after DLOM</t>
  </si>
  <si>
    <t xml:space="preserve">8. METHOD FIVE, WHAT A SEED ROUND OF THIS SIZE BUYS IN THIS MARKET</t>
  </si>
  <si>
    <t xml:space="preserve">Egyptian and Gulf commerce enablers have raised early rounds of USD 2 million to 8.5 million. Valuations were not disclosed, so the method uses the market norm of selling 15 to 25 per cent of the company in a seed round.</t>
  </si>
  <si>
    <t xml:space="preserve">Raised</t>
  </si>
  <si>
    <t xml:space="preserve">Against Coremerce today</t>
  </si>
  <si>
    <t xml:space="preserve">Wuilt, Egyptian store builder</t>
  </si>
  <si>
    <t xml:space="preserve">Now free to merchants and earning from add on services, which shows the pressure on a subscription price</t>
  </si>
  <si>
    <t xml:space="preserve">ExpandCart, Egyptian commerce platform, Series A</t>
  </si>
  <si>
    <t xml:space="preserve">n/d</t>
  </si>
  <si>
    <t xml:space="preserve">Egyptian peer, date not confirmed in this research</t>
  </si>
  <si>
    <t xml:space="preserve">Salla, Saudi commerce platform, Series A</t>
  </si>
  <si>
    <t xml:space="preserve">2020</t>
  </si>
  <si>
    <t xml:space="preserve">Saudi market, larger addressable base</t>
  </si>
  <si>
    <t xml:space="preserve">Zid, Saudi commerce platform, Series A</t>
  </si>
  <si>
    <t xml:space="preserve">2021</t>
  </si>
  <si>
    <t xml:space="preserve">Paymob, Egyptian payments, Series A</t>
  </si>
  <si>
    <t xml:space="preserve">Payments rather than storefront software</t>
  </si>
  <si>
    <t xml:space="preserve">Median Egyptian commerce seed round, 13 disclosed rounds</t>
  </si>
  <si>
    <t xml:space="preserve">Directory median, round size only</t>
  </si>
  <si>
    <t xml:space="preserve">Share of the company a seed investor takes, midpoint of 15 to 25 per cent</t>
  </si>
  <si>
    <t xml:space="preserve">Implied post money for this ask</t>
  </si>
  <si>
    <t xml:space="preserve">Method five, pre money value</t>
  </si>
  <si>
    <t xml:space="preserve">9. WHAT THE FIVE METHODS CONCLUDE</t>
  </si>
  <si>
    <t xml:space="preserve">Method</t>
  </si>
  <si>
    <t xml:space="preserve">Pre money value</t>
  </si>
  <si>
    <t xml:space="preserve">Weight</t>
  </si>
  <si>
    <t xml:space="preserve">Weighted</t>
  </si>
  <si>
    <t xml:space="preserve">Why it carries that weight</t>
  </si>
  <si>
    <t xml:space="preserve">One, discounted cash flow on an exit multiple</t>
  </si>
  <si>
    <t xml:space="preserve">Right method, but every input five years out is a judgment</t>
  </si>
  <si>
    <t xml:space="preserve">Two, discounted cash flow on long term growth</t>
  </si>
  <si>
    <t xml:space="preserve">The most sensitive to small changes in the rate, weighted least</t>
  </si>
  <si>
    <t xml:space="preserve">Three, the venture capital method</t>
  </si>
  <si>
    <t xml:space="preserve">How the investor on the other side of the table will actually price it</t>
  </si>
  <si>
    <t xml:space="preserve">Four, listed and transaction multiples</t>
  </si>
  <si>
    <t xml:space="preserve">The sector is priced publicly, but private Egyptian deals are not disclosed</t>
  </si>
  <si>
    <t xml:space="preserve">Five, what a seed round of this size buys</t>
  </si>
  <si>
    <t xml:space="preserve">Anchored on what seed investors in this market actually take</t>
  </si>
  <si>
    <t xml:space="preserve">Weights must total 100 per cent</t>
  </si>
  <si>
    <t xml:space="preserve">Lowest of the five methods</t>
  </si>
  <si>
    <t xml:space="preserve">Highest of the five methods</t>
  </si>
  <si>
    <t xml:space="preserve">10. THE ROUND AT THIS VALUATION</t>
  </si>
  <si>
    <t xml:space="preserve">Pre money valuation we are asking for</t>
  </si>
  <si>
    <t xml:space="preserve">The weighted answer, rounded to the nearest fifty thousand</t>
  </si>
  <si>
    <t xml:space="preserve">Inside the 15 to 25 per cent band a seed investor expects</t>
  </si>
  <si>
    <t xml:space="preserve">Revenue multiple this implies on year two revenue</t>
  </si>
  <si>
    <t xml:space="preserve">The sense check an investor will run in their head</t>
  </si>
  <si>
    <t xml:space="preserve">Pre money valuation at which the seed would buy 20 per cent</t>
  </si>
  <si>
    <t xml:space="preserve">The market norm for a seed round, shown against the weighted answer</t>
  </si>
  <si>
    <t xml:space="preserve">Gap between that and the weighted pre money valuation</t>
  </si>
  <si>
    <t xml:space="preserve">A positive gap means the plan supports a smaller stake than the ask implies at market terms</t>
  </si>
  <si>
    <t xml:space="preserve">Read this sheet in one line: the discounted cash flow methods say what the business is worth if it works, the venture and seed methods say what an investor can pay, and the weighted answer is where they meet.</t>
  </si>
</sst>
</file>

<file path=xl/styles.xml><?xml version="1.0" encoding="utf-8"?>
<styleSheet xmlns="http://schemas.openxmlformats.org/spreadsheetml/2006/main">
  <numFmts count="25">
    <numFmt numFmtId="164" formatCode="General"/>
    <numFmt numFmtId="165" formatCode="\$#,##0;&quot;($&quot;#,##0\);\$0"/>
    <numFmt numFmtId="166" formatCode="0.0%;\(0.0%\);0.0%"/>
    <numFmt numFmtId="167" formatCode="#,##0;\(#,##0\);0"/>
    <numFmt numFmtId="168" formatCode="\$#,##0.00;&quot;($&quot;#,##0.00\);\$0.00"/>
    <numFmt numFmtId="169" formatCode="0.0\x;\(0.0&quot;x)&quot;;0.0\x"/>
    <numFmt numFmtId="170" formatCode="#,##0.0;\(#,##0.0\);0.0"/>
    <numFmt numFmtId="171" formatCode="@"/>
    <numFmt numFmtId="172" formatCode="mmm\ yyyy"/>
    <numFmt numFmtId="173" formatCode="#,##0.00"/>
    <numFmt numFmtId="174" formatCode="0.00%;\(0.00%\);;"/>
    <numFmt numFmtId="175" formatCode="0.000"/>
    <numFmt numFmtId="176" formatCode="0.00"/>
    <numFmt numFmtId="177" formatCode="0"/>
    <numFmt numFmtId="178" formatCode="0.0%"/>
    <numFmt numFmtId="179" formatCode="0.00\x"/>
    <numFmt numFmtId="180" formatCode="0.0"/>
    <numFmt numFmtId="181" formatCode=";;;"/>
    <numFmt numFmtId="182" formatCode="\$#,##0;&quot;($&quot;#,##0\);;"/>
    <numFmt numFmtId="183" formatCode="#,##0.0;\(#,##0.0\);;"/>
    <numFmt numFmtId="184" formatCode="#,##0;\(#,##0\);;"/>
    <numFmt numFmtId="185" formatCode="\$#,##0.00;&quot;($&quot;#,##0.00\);;"/>
    <numFmt numFmtId="186" formatCode="0.0%;\(0.0%\);;"/>
    <numFmt numFmtId="187" formatCode="0.0\x"/>
    <numFmt numFmtId="188" formatCode="0.0000"/>
  </numFmts>
  <fonts count="33">
    <font>
      <sz val="11"/>
      <color theme="1"/>
      <name val="Calibri"/>
      <family val="2"/>
      <charset val="1"/>
    </font>
    <font>
      <sz val="10"/>
      <name val="Arial"/>
      <family val="0"/>
    </font>
    <font>
      <sz val="10"/>
      <name val="Arial"/>
      <family val="0"/>
    </font>
    <font>
      <sz val="10"/>
      <name val="Arial"/>
      <family val="0"/>
    </font>
    <font>
      <b val="true"/>
      <sz val="26"/>
      <color rgb="FF0B7A43"/>
      <name val="Arial"/>
      <family val="0"/>
      <charset val="1"/>
    </font>
    <font>
      <sz val="12"/>
      <color rgb="FF141518"/>
      <name val="Arial"/>
      <family val="0"/>
      <charset val="1"/>
    </font>
    <font>
      <b val="true"/>
      <sz val="9.5"/>
      <color rgb="FF0B7A43"/>
      <name val="Arial"/>
      <family val="0"/>
      <charset val="1"/>
    </font>
    <font>
      <sz val="9"/>
      <color rgb="FF0B0E14"/>
      <name val="Arial"/>
      <family val="0"/>
      <charset val="1"/>
    </font>
    <font>
      <sz val="8"/>
      <color rgb="FF6B7285"/>
      <name val="Arial"/>
      <family val="0"/>
      <charset val="1"/>
    </font>
    <font>
      <b val="true"/>
      <sz val="15"/>
      <color rgb="FF0B7A43"/>
      <name val="Arial"/>
      <family val="0"/>
      <charset val="1"/>
    </font>
    <font>
      <sz val="8.5"/>
      <color rgb="FF6B7285"/>
      <name val="Arial"/>
      <family val="0"/>
      <charset val="1"/>
    </font>
    <font>
      <b val="true"/>
      <sz val="9"/>
      <color rgb="FFFFFFFF"/>
      <name val="Arial"/>
      <family val="0"/>
      <charset val="1"/>
    </font>
    <font>
      <b val="true"/>
      <sz val="8.5"/>
      <color rgb="FFFFFFFF"/>
      <name val="Arial"/>
      <family val="0"/>
      <charset val="1"/>
    </font>
    <font>
      <b val="true"/>
      <sz val="9"/>
      <color rgb="FF0B0E14"/>
      <name val="Arial"/>
      <family val="0"/>
      <charset val="1"/>
    </font>
    <font>
      <b val="true"/>
      <sz val="8.6"/>
      <color rgb="FF00803C"/>
      <name val="Arial"/>
      <family val="0"/>
      <charset val="1"/>
    </font>
    <font>
      <sz val="8.2"/>
      <color rgb="FF00803C"/>
      <name val="Arial"/>
      <family val="0"/>
      <charset val="1"/>
    </font>
    <font>
      <b val="true"/>
      <sz val="8.2"/>
      <color rgb="FFC00000"/>
      <name val="Arial"/>
      <family val="0"/>
      <charset val="1"/>
    </font>
    <font>
      <sz val="8.6"/>
      <color rgb="FF00803C"/>
      <name val="Arial"/>
      <family val="0"/>
      <charset val="1"/>
    </font>
    <font>
      <sz val="8.5"/>
      <color rgb="FF0B0E14"/>
      <name val="Arial"/>
      <family val="0"/>
      <charset val="1"/>
    </font>
    <font>
      <b val="true"/>
      <sz val="8.5"/>
      <color rgb="FF0B0E14"/>
      <name val="Arial"/>
      <family val="0"/>
      <charset val="1"/>
    </font>
    <font>
      <sz val="9"/>
      <color rgb="FF0000FF"/>
      <name val="Arial"/>
      <family val="0"/>
      <charset val="1"/>
    </font>
    <font>
      <b val="true"/>
      <sz val="20"/>
      <color rgb="FF0B7A43"/>
      <name val="Arial"/>
      <family val="0"/>
      <charset val="1"/>
    </font>
    <font>
      <b val="true"/>
      <sz val="10"/>
      <color rgb="FF0B0E14"/>
      <name val="Arial"/>
      <family val="0"/>
      <charset val="1"/>
    </font>
    <font>
      <sz val="9"/>
      <color rgb="FF6B7285"/>
      <name val="Arial"/>
      <family val="0"/>
      <charset val="1"/>
    </font>
    <font>
      <b val="true"/>
      <sz val="8.6"/>
      <color rgb="FF0B0E14"/>
      <name val="Arial"/>
      <family val="0"/>
      <charset val="1"/>
    </font>
    <font>
      <sz val="6.5"/>
      <color rgb="FFA6A6A6"/>
      <name val="Arial"/>
      <family val="0"/>
      <charset val="1"/>
    </font>
    <font>
      <b val="true"/>
      <sz val="7.6"/>
      <color rgb="FFFFFFFF"/>
      <name val="Arial"/>
      <family val="0"/>
      <charset val="1"/>
    </font>
    <font>
      <sz val="8.2"/>
      <color rgb="FF0B0E14"/>
      <name val="Arial"/>
      <family val="0"/>
      <charset val="1"/>
    </font>
    <font>
      <b val="true"/>
      <sz val="8.2"/>
      <color rgb="FF0B0E14"/>
      <name val="Arial"/>
      <family val="0"/>
      <charset val="1"/>
    </font>
    <font>
      <sz val="8.2"/>
      <color rgb="FF0000FF"/>
      <name val="Arial"/>
      <family val="0"/>
      <charset val="1"/>
    </font>
    <font>
      <b val="true"/>
      <sz val="8.2"/>
      <color rgb="FF00803C"/>
      <name val="Arial"/>
      <family val="0"/>
      <charset val="1"/>
    </font>
    <font>
      <sz val="8"/>
      <color rgb="FF0B0E14"/>
      <name val="Arial"/>
      <family val="0"/>
      <charset val="1"/>
    </font>
    <font>
      <sz val="8.6"/>
      <color rgb="FF0B0E14"/>
      <name val="Arial"/>
      <family val="0"/>
      <charset val="1"/>
    </font>
  </fonts>
  <fills count="7">
    <fill>
      <patternFill patternType="none"/>
    </fill>
    <fill>
      <patternFill patternType="gray125"/>
    </fill>
    <fill>
      <patternFill patternType="solid">
        <fgColor rgb="FF0B7A43"/>
        <bgColor rgb="FF00803C"/>
      </patternFill>
    </fill>
    <fill>
      <patternFill patternType="solid">
        <fgColor rgb="FF2A2B30"/>
        <bgColor rgb="FF141518"/>
      </patternFill>
    </fill>
    <fill>
      <patternFill patternType="solid">
        <fgColor rgb="FFF4F2F0"/>
        <bgColor rgb="FFFFFFFF"/>
      </patternFill>
    </fill>
    <fill>
      <patternFill patternType="solid">
        <fgColor rgb="FFFFFF00"/>
        <bgColor rgb="FFFFFF00"/>
      </patternFill>
    </fill>
    <fill>
      <patternFill patternType="solid">
        <fgColor rgb="FFD6EEDF"/>
        <bgColor rgb="FFF4F2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left" vertical="center"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20" fillId="5" borderId="0" xfId="0" applyFont="true" applyBorder="false" applyAlignment="true" applyProtection="false">
      <alignment horizontal="right" vertical="bottom" textRotation="0" wrapText="false" indent="0" shrinkToFit="false"/>
      <protection locked="true" hidden="false"/>
    </xf>
    <xf numFmtId="167" fontId="20" fillId="5"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1"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71" fontId="20" fillId="5" borderId="0" xfId="0" applyFont="true" applyBorder="false" applyAlignment="true" applyProtection="false">
      <alignment horizontal="right" vertical="bottom" textRotation="0" wrapText="false" indent="0" shrinkToFit="false"/>
      <protection locked="true" hidden="false"/>
    </xf>
    <xf numFmtId="172" fontId="20" fillId="5" borderId="0" xfId="0" applyFont="true" applyBorder="false" applyAlignment="true" applyProtection="false">
      <alignment horizontal="right" vertical="bottom" textRotation="0" wrapText="false" indent="0" shrinkToFit="false"/>
      <protection locked="true" hidden="false"/>
    </xf>
    <xf numFmtId="173" fontId="20" fillId="5" borderId="0" xfId="0" applyFont="true" applyBorder="false" applyAlignment="true" applyProtection="false">
      <alignment horizontal="right" vertical="bottom" textRotation="0" wrapText="false" indent="0" shrinkToFit="false"/>
      <protection locked="true" hidden="false"/>
    </xf>
    <xf numFmtId="166" fontId="20" fillId="5"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20" fillId="5" borderId="0" xfId="0" applyFont="true" applyBorder="false" applyAlignment="true" applyProtection="false">
      <alignment horizontal="right" vertical="bottom" textRotation="0" wrapText="false" indent="0" shrinkToFit="false"/>
      <protection locked="true" hidden="false"/>
    </xf>
    <xf numFmtId="174" fontId="20" fillId="5"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0" fontId="20" fillId="5" borderId="0" xfId="0" applyFont="true" applyBorder="false" applyAlignment="true" applyProtection="false">
      <alignment horizontal="right" vertical="bottom" textRotation="0" wrapText="false" indent="0" shrinkToFit="false"/>
      <protection locked="true" hidden="false"/>
    </xf>
    <xf numFmtId="176" fontId="20" fillId="5" borderId="0" xfId="0" applyFont="true" applyBorder="false" applyAlignment="true" applyProtection="false">
      <alignment horizontal="right" vertical="bottom" textRotation="0" wrapText="false" indent="0" shrinkToFit="false"/>
      <protection locked="true" hidden="false"/>
    </xf>
    <xf numFmtId="177" fontId="20" fillId="5" borderId="0" xfId="0" applyFont="true" applyBorder="false" applyAlignment="true" applyProtection="false">
      <alignment horizontal="right" vertical="bottom" textRotation="0" wrapText="false" indent="0" shrinkToFit="false"/>
      <protection locked="true" hidden="false"/>
    </xf>
    <xf numFmtId="178" fontId="24" fillId="0" borderId="0" xfId="0" applyFont="true" applyBorder="false" applyAlignment="false" applyProtection="false">
      <alignment horizontal="general" vertical="bottom" textRotation="0" wrapText="false" indent="0" shrinkToFit="false"/>
      <protection locked="true" hidden="false"/>
    </xf>
    <xf numFmtId="179" fontId="20" fillId="5" borderId="0" xfId="0" applyFont="true" applyBorder="false" applyAlignment="true" applyProtection="false">
      <alignment horizontal="right" vertical="bottom" textRotation="0" wrapText="false" indent="0" shrinkToFit="false"/>
      <protection locked="true" hidden="false"/>
    </xf>
    <xf numFmtId="180" fontId="20" fillId="5"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9" fillId="6" borderId="0" xfId="0" applyFont="true" applyBorder="false" applyAlignment="true" applyProtection="false">
      <alignment horizontal="center" vertical="bottom" textRotation="0" wrapText="false" indent="0" shrinkToFit="false"/>
      <protection locked="true" hidden="false"/>
    </xf>
    <xf numFmtId="164" fontId="26" fillId="3" borderId="0" xfId="0" applyFont="true" applyBorder="false" applyAlignment="true" applyProtection="false">
      <alignment horizontal="center" vertical="bottom" textRotation="0" wrapText="false" indent="0" shrinkToFit="false"/>
      <protection locked="true" hidden="false"/>
    </xf>
    <xf numFmtId="182" fontId="24" fillId="4" borderId="0" xfId="0" applyFont="true" applyBorder="false" applyAlignment="false" applyProtection="false">
      <alignment horizontal="general" vertical="bottom" textRotation="0" wrapText="false" indent="0" shrinkToFit="false"/>
      <protection locked="true" hidden="false"/>
    </xf>
    <xf numFmtId="182" fontId="27" fillId="0" borderId="0" xfId="0" applyFont="true" applyBorder="false" applyAlignment="false" applyProtection="false">
      <alignment horizontal="general" vertical="bottom" textRotation="0" wrapText="false" indent="0" shrinkToFit="false"/>
      <protection locked="true" hidden="false"/>
    </xf>
    <xf numFmtId="182" fontId="28"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2" fontId="15" fillId="0" borderId="0" xfId="0" applyFont="true" applyBorder="false" applyAlignment="false" applyProtection="false">
      <alignment horizontal="general" vertical="bottom" textRotation="0" wrapText="false" indent="0" shrinkToFit="false"/>
      <protection locked="true" hidden="false"/>
    </xf>
    <xf numFmtId="182" fontId="29" fillId="5" borderId="0" xfId="0" applyFont="true" applyBorder="false" applyAlignment="false" applyProtection="false">
      <alignment horizontal="general" vertical="bottom" textRotation="0" wrapText="false" indent="0" shrinkToFit="false"/>
      <protection locked="true" hidden="false"/>
    </xf>
    <xf numFmtId="183" fontId="24" fillId="4" borderId="0" xfId="0" applyFont="true" applyBorder="false" applyAlignment="false" applyProtection="false">
      <alignment horizontal="general" vertical="bottom" textRotation="0" wrapText="false" indent="0" shrinkToFit="false"/>
      <protection locked="true" hidden="false"/>
    </xf>
    <xf numFmtId="183" fontId="15" fillId="0" borderId="0" xfId="0" applyFont="true" applyBorder="false" applyAlignment="false" applyProtection="false">
      <alignment horizontal="general" vertical="bottom" textRotation="0" wrapText="false" indent="0" shrinkToFit="false"/>
      <protection locked="true" hidden="false"/>
    </xf>
    <xf numFmtId="183" fontId="29" fillId="5" borderId="0" xfId="0" applyFont="true" applyBorder="false" applyAlignment="false" applyProtection="false">
      <alignment horizontal="general" vertical="bottom" textRotation="0" wrapText="false" indent="0" shrinkToFit="false"/>
      <protection locked="true" hidden="false"/>
    </xf>
    <xf numFmtId="183" fontId="27" fillId="0" borderId="0" xfId="0" applyFont="true" applyBorder="false" applyAlignment="false" applyProtection="false">
      <alignment horizontal="general" vertical="bottom" textRotation="0" wrapText="false" indent="0" shrinkToFit="false"/>
      <protection locked="true" hidden="false"/>
    </xf>
    <xf numFmtId="184" fontId="24" fillId="4" borderId="0" xfId="0" applyFont="true" applyBorder="false" applyAlignment="false" applyProtection="false">
      <alignment horizontal="general" vertical="bottom" textRotation="0" wrapText="false" indent="0" shrinkToFit="false"/>
      <protection locked="true" hidden="false"/>
    </xf>
    <xf numFmtId="184" fontId="15" fillId="0" borderId="0" xfId="0" applyFont="true" applyBorder="false" applyAlignment="false" applyProtection="false">
      <alignment horizontal="general" vertical="bottom" textRotation="0" wrapText="false" indent="0" shrinkToFit="false"/>
      <protection locked="true" hidden="false"/>
    </xf>
    <xf numFmtId="184" fontId="29" fillId="5" borderId="0" xfId="0" applyFont="true" applyBorder="false" applyAlignment="false" applyProtection="false">
      <alignment horizontal="general" vertical="bottom" textRotation="0" wrapText="false" indent="0" shrinkToFit="false"/>
      <protection locked="true" hidden="false"/>
    </xf>
    <xf numFmtId="184" fontId="27" fillId="0"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73" fontId="24" fillId="4" borderId="0" xfId="0" applyFont="true" applyBorder="fals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xf numFmtId="175" fontId="24" fillId="4" borderId="0" xfId="0" applyFont="true" applyBorder="false" applyAlignment="false" applyProtection="false">
      <alignment horizontal="general" vertical="bottom" textRotation="0" wrapText="fals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xf numFmtId="175" fontId="27" fillId="0" borderId="0" xfId="0" applyFont="true" applyBorder="false" applyAlignment="false" applyProtection="false">
      <alignment horizontal="general" vertical="bottom" textRotation="0" wrapText="false" indent="0" shrinkToFit="false"/>
      <protection locked="true" hidden="false"/>
    </xf>
    <xf numFmtId="184" fontId="28" fillId="0" borderId="0" xfId="0" applyFont="true" applyBorder="false" applyAlignment="false" applyProtection="false">
      <alignment horizontal="general" vertical="bottom" textRotation="0" wrapText="false" indent="0" shrinkToFit="false"/>
      <protection locked="true" hidden="false"/>
    </xf>
    <xf numFmtId="185" fontId="24" fillId="4" borderId="0" xfId="0" applyFont="true" applyBorder="false" applyAlignment="false" applyProtection="false">
      <alignment horizontal="general" vertical="bottom" textRotation="0" wrapText="false" indent="0" shrinkToFit="false"/>
      <protection locked="true" hidden="false"/>
    </xf>
    <xf numFmtId="185" fontId="27" fillId="0" borderId="0" xfId="0" applyFont="true" applyBorder="false" applyAlignment="false" applyProtection="false">
      <alignment horizontal="general" vertical="bottom" textRotation="0" wrapText="false" indent="0" shrinkToFit="false"/>
      <protection locked="true" hidden="false"/>
    </xf>
    <xf numFmtId="183" fontId="28" fillId="0" borderId="0" xfId="0" applyFont="true" applyBorder="false" applyAlignment="false" applyProtection="false">
      <alignment horizontal="general" vertical="bottom" textRotation="0" wrapText="false" indent="0" shrinkToFit="false"/>
      <protection locked="true" hidden="false"/>
    </xf>
    <xf numFmtId="177" fontId="24" fillId="4" borderId="0" xfId="0" applyFont="true" applyBorder="false" applyAlignment="false" applyProtection="false">
      <alignment horizontal="general" vertical="bottom" textRotation="0" wrapText="false" indent="0" shrinkToFit="false"/>
      <protection locked="true" hidden="false"/>
    </xf>
    <xf numFmtId="177" fontId="28" fillId="0" borderId="0" xfId="0" applyFont="true" applyBorder="false" applyAlignment="false" applyProtection="false">
      <alignment horizontal="general" vertical="bottom" textRotation="0" wrapText="false" indent="0" shrinkToFit="false"/>
      <protection locked="true" hidden="false"/>
    </xf>
    <xf numFmtId="177"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6" fontId="24" fillId="4" borderId="0" xfId="0" applyFont="true" applyBorder="false" applyAlignment="false" applyProtection="false">
      <alignment horizontal="general" vertical="bottom" textRotation="0" wrapText="false" indent="0" shrinkToFit="false"/>
      <protection locked="true" hidden="false"/>
    </xf>
    <xf numFmtId="182" fontId="30" fillId="0" borderId="0" xfId="0" applyFont="true" applyBorder="false" applyAlignment="false" applyProtection="false">
      <alignment horizontal="general" vertical="bottom" textRotation="0" wrapText="false" indent="0" shrinkToFit="false"/>
      <protection locked="true" hidden="false"/>
    </xf>
    <xf numFmtId="186" fontId="24" fillId="4" borderId="0" xfId="0" applyFont="true" applyBorder="false" applyAlignment="false" applyProtection="false">
      <alignment horizontal="general" vertical="bottom" textRotation="0" wrapText="false" indent="0" shrinkToFit="false"/>
      <protection locked="true" hidden="false"/>
    </xf>
    <xf numFmtId="186" fontId="27" fillId="0"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71" fontId="31" fillId="0" borderId="0" xfId="0" applyFont="true" applyBorder="false" applyAlignment="true" applyProtection="false">
      <alignment horizontal="right" vertical="bottom" textRotation="0" wrapText="false" indent="0" shrinkToFit="false"/>
      <protection locked="true" hidden="false"/>
    </xf>
    <xf numFmtId="186" fontId="31" fillId="0" borderId="0" xfId="0" applyFont="true" applyBorder="false" applyAlignment="false" applyProtection="false">
      <alignment horizontal="general" vertical="bottom" textRotation="0" wrapText="false" indent="0" shrinkToFit="false"/>
      <protection locked="true" hidden="false"/>
    </xf>
    <xf numFmtId="182" fontId="24" fillId="0" borderId="0" xfId="0" applyFont="true" applyBorder="fals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65" fontId="24" fillId="4" borderId="0" xfId="0"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67" fontId="14" fillId="4" borderId="0" xfId="0" applyFont="true" applyBorder="false" applyAlignment="false" applyProtection="false">
      <alignment horizontal="general" vertical="bottom" textRotation="0" wrapText="false" indent="0" shrinkToFit="false"/>
      <protection locked="true" hidden="false"/>
    </xf>
    <xf numFmtId="168" fontId="24" fillId="4" borderId="0" xfId="0" applyFont="true" applyBorder="false" applyAlignment="false" applyProtection="false">
      <alignment horizontal="general" vertical="bottom" textRotation="0" wrapText="false" indent="0" shrinkToFit="false"/>
      <protection locked="true" hidden="false"/>
    </xf>
    <xf numFmtId="174" fontId="27" fillId="0" borderId="0" xfId="0" applyFont="true" applyBorder="false" applyAlignment="false" applyProtection="false">
      <alignment horizontal="general" vertical="bottom" textRotation="0" wrapText="false" indent="0" shrinkToFit="false"/>
      <protection locked="true" hidden="false"/>
    </xf>
    <xf numFmtId="168" fontId="27" fillId="0" borderId="0" xfId="0" applyFont="true" applyBorder="false" applyAlignment="false" applyProtection="false">
      <alignment horizontal="general" vertical="bottom" textRotation="0" wrapText="false" indent="0" shrinkToFit="false"/>
      <protection locked="true" hidden="false"/>
    </xf>
    <xf numFmtId="169" fontId="24" fillId="4" borderId="0" xfId="0" applyFont="true" applyBorder="false" applyAlignment="false" applyProtection="false">
      <alignment horizontal="general" vertical="bottom" textRotation="0" wrapText="false" indent="0" shrinkToFit="false"/>
      <protection locked="true" hidden="false"/>
    </xf>
    <xf numFmtId="170" fontId="27" fillId="0" borderId="0" xfId="0" applyFont="true" applyBorder="false" applyAlignment="false" applyProtection="false">
      <alignment horizontal="general" vertical="bottom" textRotation="0" wrapText="false" indent="0" shrinkToFit="false"/>
      <protection locked="true" hidden="false"/>
    </xf>
    <xf numFmtId="177" fontId="15" fillId="0" borderId="0" xfId="0" applyFont="true" applyBorder="false" applyAlignment="false" applyProtection="false">
      <alignment horizontal="general" vertical="bottom" textRotation="0" wrapText="false" indent="0" shrinkToFit="false"/>
      <protection locked="true" hidden="false"/>
    </xf>
    <xf numFmtId="171" fontId="27" fillId="0" borderId="0" xfId="0" applyFont="true" applyBorder="false" applyAlignment="true" applyProtection="false">
      <alignment horizontal="right" vertical="bottom" textRotation="0" wrapText="false" indent="0" shrinkToFit="false"/>
      <protection locked="true" hidden="false"/>
    </xf>
    <xf numFmtId="167" fontId="27" fillId="0" borderId="0" xfId="0" applyFont="true" applyBorder="false" applyAlignment="false" applyProtection="false">
      <alignment horizontal="general" vertical="bottom" textRotation="0" wrapText="false" indent="0" shrinkToFit="false"/>
      <protection locked="true" hidden="false"/>
    </xf>
    <xf numFmtId="177" fontId="24" fillId="0" borderId="0" xfId="0" applyFont="true" applyBorder="false" applyAlignment="true" applyProtection="false">
      <alignment horizontal="right"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true" indent="0" shrinkToFit="false"/>
      <protection locked="true" hidden="false"/>
    </xf>
    <xf numFmtId="174" fontId="24" fillId="0" borderId="0" xfId="0" applyFont="true" applyBorder="false" applyAlignment="false" applyProtection="false">
      <alignment horizontal="general" vertical="bottom" textRotation="0" wrapText="false" indent="0" shrinkToFit="false"/>
      <protection locked="true" hidden="false"/>
    </xf>
    <xf numFmtId="187" fontId="20" fillId="5" borderId="0" xfId="0" applyFont="true" applyBorder="false" applyAlignment="true" applyProtection="false">
      <alignment horizontal="right"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9" fontId="24" fillId="0" borderId="0" xfId="0" applyFont="true" applyBorder="false" applyAlignment="false" applyProtection="false">
      <alignment horizontal="general" vertical="bottom" textRotation="0" wrapText="false" indent="0" shrinkToFit="false"/>
      <protection locked="true" hidden="false"/>
    </xf>
    <xf numFmtId="166" fontId="24" fillId="0" borderId="0" xfId="0" applyFont="true" applyBorder="false" applyAlignment="false" applyProtection="false">
      <alignment horizontal="general" vertical="bottom" textRotation="0" wrapText="false" indent="0" shrinkToFit="false"/>
      <protection locked="true" hidden="false"/>
    </xf>
    <xf numFmtId="171" fontId="32" fillId="0" borderId="0" xfId="0" applyFont="true" applyBorder="false" applyAlignment="true" applyProtection="false">
      <alignment horizontal="center" vertical="bottom" textRotation="0" wrapText="false" indent="0" shrinkToFit="false"/>
      <protection locked="true" hidden="false"/>
    </xf>
    <xf numFmtId="188" fontId="2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3C"/>
      <rgbColor rgb="FF000080"/>
      <rgbColor rgb="FF808000"/>
      <rgbColor rgb="FF800080"/>
      <rgbColor rgb="FF0B7A43"/>
      <rgbColor rgb="FFC0C0C0"/>
      <rgbColor rgb="FF808080"/>
      <rgbColor rgb="FF9999FF"/>
      <rgbColor rgb="FF993366"/>
      <rgbColor rgb="FFF4F2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EDF"/>
      <rgbColor rgb="FFFFFF99"/>
      <rgbColor rgb="FF99CCFF"/>
      <rgbColor rgb="FFFF99CC"/>
      <rgbColor rgb="FFCC99FF"/>
      <rgbColor rgb="FFFFCC99"/>
      <rgbColor rgb="FF3366FF"/>
      <rgbColor rgb="FF33CCCC"/>
      <rgbColor rgb="FF99CC00"/>
      <rgbColor rgb="FFFFCC00"/>
      <rgbColor rgb="FFFF9900"/>
      <rgbColor rgb="FFFF6600"/>
      <rgbColor rgb="FF6B7285"/>
      <rgbColor rgb="FFA6A6A6"/>
      <rgbColor rgb="FF003366"/>
      <rgbColor rgb="FF339966"/>
      <rgbColor rgb="FF141518"/>
      <rgbColor rgb="FF0B0E14"/>
      <rgbColor rgb="FF993300"/>
      <rgbColor rgb="FF993366"/>
      <rgbColor rgb="FF333399"/>
      <rgbColor rgb="FF2A2B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D55"/>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3" min="3" style="0" width="14"/>
    <col collapsed="false" customWidth="true" hidden="false" outlineLevel="0" max="4" min="4" style="0" width="100"/>
  </cols>
  <sheetData>
    <row r="2" customFormat="false" ht="31.5"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row>
    <row r="7" customFormat="false" ht="15" hidden="false" customHeight="false" outlineLevel="0" collapsed="false">
      <c r="B7" s="4" t="s">
        <v>3</v>
      </c>
      <c r="D7" s="5" t="s">
        <v>0</v>
      </c>
    </row>
    <row r="8" customFormat="false" ht="15" hidden="false" customHeight="false" outlineLevel="0" collapsed="false">
      <c r="B8" s="4" t="s">
        <v>4</v>
      </c>
      <c r="D8" s="5" t="s">
        <v>5</v>
      </c>
    </row>
    <row r="9" customFormat="false" ht="15" hidden="false" customHeight="false" outlineLevel="0" collapsed="false">
      <c r="B9" s="4" t="s">
        <v>6</v>
      </c>
      <c r="D9" s="5" t="s">
        <v>7</v>
      </c>
    </row>
    <row r="10" customFormat="false" ht="15" hidden="false" customHeight="false" outlineLevel="0" collapsed="false">
      <c r="B10" s="4" t="s">
        <v>8</v>
      </c>
      <c r="D10" s="5" t="s">
        <v>9</v>
      </c>
    </row>
    <row r="11" customFormat="false" ht="15" hidden="false" customHeight="false" outlineLevel="0" collapsed="false">
      <c r="B11" s="4" t="s">
        <v>10</v>
      </c>
      <c r="D11" s="5" t="s">
        <v>11</v>
      </c>
    </row>
    <row r="12" customFormat="false" ht="15" hidden="false" customHeight="false" outlineLevel="0" collapsed="false">
      <c r="B12" s="4" t="s">
        <v>12</v>
      </c>
      <c r="C12" s="6" t="s">
        <v>13</v>
      </c>
      <c r="D12" s="5" t="s">
        <v>14</v>
      </c>
    </row>
    <row r="13" customFormat="false" ht="15" hidden="false" customHeight="false" outlineLevel="0" collapsed="false">
      <c r="B13" s="4" t="s">
        <v>15</v>
      </c>
      <c r="C13" s="6" t="s">
        <v>16</v>
      </c>
      <c r="D13" s="5" t="n">
        <v>12</v>
      </c>
    </row>
    <row r="14" customFormat="false" ht="15" hidden="false" customHeight="false" outlineLevel="0" collapsed="false">
      <c r="B14" s="4" t="s">
        <v>17</v>
      </c>
      <c r="C14" s="6" t="s">
        <v>18</v>
      </c>
      <c r="D14" s="5" t="n">
        <v>5</v>
      </c>
    </row>
    <row r="15" customFormat="false" ht="15" hidden="false" customHeight="false" outlineLevel="0" collapsed="false">
      <c r="B15" s="4" t="s">
        <v>19</v>
      </c>
      <c r="C15" s="6" t="s">
        <v>16</v>
      </c>
      <c r="D15" s="5" t="n">
        <v>60</v>
      </c>
    </row>
    <row r="17" customFormat="false" ht="15" hidden="false" customHeight="false" outlineLevel="0" collapsed="false">
      <c r="B17" s="3" t="s">
        <v>20</v>
      </c>
    </row>
    <row r="18" customFormat="false" ht="15" hidden="false" customHeight="false" outlineLevel="0" collapsed="false">
      <c r="B18" s="3" t="s">
        <v>21</v>
      </c>
    </row>
    <row r="19" customFormat="false" ht="15" hidden="false" customHeight="false" outlineLevel="0" collapsed="false">
      <c r="B19" s="4" t="s">
        <v>22</v>
      </c>
    </row>
    <row r="20" customFormat="false" ht="15" hidden="false" customHeight="false" outlineLevel="0" collapsed="false">
      <c r="B20" s="4" t="s">
        <v>23</v>
      </c>
    </row>
    <row r="21" customFormat="false" ht="15" hidden="false" customHeight="false" outlineLevel="0" collapsed="false">
      <c r="B21" s="4" t="s">
        <v>24</v>
      </c>
    </row>
    <row r="22" customFormat="false" ht="15" hidden="false" customHeight="false" outlineLevel="0" collapsed="false">
      <c r="B22" s="4" t="s">
        <v>25</v>
      </c>
    </row>
    <row r="23" customFormat="false" ht="15" hidden="false" customHeight="false" outlineLevel="0" collapsed="false">
      <c r="B23" s="4" t="s">
        <v>26</v>
      </c>
    </row>
    <row r="25" customFormat="false" ht="15" hidden="false" customHeight="false" outlineLevel="0" collapsed="false">
      <c r="B25" s="3" t="s">
        <v>27</v>
      </c>
    </row>
    <row r="26" customFormat="false" ht="15" hidden="false" customHeight="false" outlineLevel="0" collapsed="false">
      <c r="B26" s="4" t="s">
        <v>28</v>
      </c>
      <c r="D26" s="6" t="s">
        <v>29</v>
      </c>
    </row>
    <row r="27" customFormat="false" ht="15" hidden="false" customHeight="false" outlineLevel="0" collapsed="false">
      <c r="B27" s="4" t="s">
        <v>30</v>
      </c>
      <c r="D27" s="6" t="s">
        <v>31</v>
      </c>
    </row>
    <row r="28" customFormat="false" ht="15" hidden="false" customHeight="false" outlineLevel="0" collapsed="false">
      <c r="B28" s="4" t="s">
        <v>32</v>
      </c>
      <c r="D28" s="6" t="s">
        <v>33</v>
      </c>
    </row>
    <row r="29" customFormat="false" ht="15" hidden="false" customHeight="false" outlineLevel="0" collapsed="false">
      <c r="B29" s="4" t="s">
        <v>34</v>
      </c>
      <c r="D29" s="6" t="s">
        <v>35</v>
      </c>
    </row>
    <row r="30" customFormat="false" ht="15" hidden="false" customHeight="false" outlineLevel="0" collapsed="false">
      <c r="B30" s="3" t="s">
        <v>36</v>
      </c>
    </row>
    <row r="31" customFormat="false" ht="15" hidden="false" customHeight="false" outlineLevel="0" collapsed="false">
      <c r="B31" s="4" t="s">
        <v>37</v>
      </c>
      <c r="D31" s="6" t="s">
        <v>38</v>
      </c>
    </row>
    <row r="32" customFormat="false" ht="15" hidden="false" customHeight="false" outlineLevel="0" collapsed="false">
      <c r="B32" s="4" t="s">
        <v>39</v>
      </c>
      <c r="D32" s="6" t="s">
        <v>40</v>
      </c>
    </row>
    <row r="33" customFormat="false" ht="15" hidden="false" customHeight="false" outlineLevel="0" collapsed="false">
      <c r="B33" s="4" t="s">
        <v>41</v>
      </c>
      <c r="D33" s="6" t="s">
        <v>42</v>
      </c>
    </row>
    <row r="34" customFormat="false" ht="15" hidden="false" customHeight="false" outlineLevel="0" collapsed="false">
      <c r="B34" s="3" t="s">
        <v>43</v>
      </c>
    </row>
    <row r="35" customFormat="false" ht="15" hidden="false" customHeight="false" outlineLevel="0" collapsed="false">
      <c r="B35" s="4" t="s">
        <v>44</v>
      </c>
      <c r="D35" s="6" t="s">
        <v>45</v>
      </c>
    </row>
    <row r="36" customFormat="false" ht="15" hidden="false" customHeight="false" outlineLevel="0" collapsed="false">
      <c r="B36" s="4" t="s">
        <v>46</v>
      </c>
      <c r="D36" s="6" t="s">
        <v>47</v>
      </c>
    </row>
    <row r="37" customFormat="false" ht="15" hidden="false" customHeight="false" outlineLevel="0" collapsed="false">
      <c r="B37" s="4" t="s">
        <v>48</v>
      </c>
      <c r="D37" s="6" t="s">
        <v>49</v>
      </c>
    </row>
    <row r="38" customFormat="false" ht="15" hidden="false" customHeight="false" outlineLevel="0" collapsed="false">
      <c r="B38" s="4" t="s">
        <v>50</v>
      </c>
      <c r="D38" s="6" t="s">
        <v>51</v>
      </c>
    </row>
    <row r="39" customFormat="false" ht="15" hidden="false" customHeight="false" outlineLevel="0" collapsed="false">
      <c r="B39" s="4" t="s">
        <v>52</v>
      </c>
      <c r="D39" s="6" t="s">
        <v>53</v>
      </c>
    </row>
    <row r="40" customFormat="false" ht="15" hidden="false" customHeight="false" outlineLevel="0" collapsed="false">
      <c r="B40" s="4" t="s">
        <v>54</v>
      </c>
      <c r="D40" s="6" t="s">
        <v>55</v>
      </c>
    </row>
    <row r="41" customFormat="false" ht="15" hidden="false" customHeight="false" outlineLevel="0" collapsed="false">
      <c r="B41" s="4" t="s">
        <v>56</v>
      </c>
      <c r="D41" s="6" t="s">
        <v>57</v>
      </c>
    </row>
    <row r="42" customFormat="false" ht="15" hidden="false" customHeight="false" outlineLevel="0" collapsed="false">
      <c r="B42" s="4" t="s">
        <v>58</v>
      </c>
      <c r="D42" s="6" t="s">
        <v>59</v>
      </c>
    </row>
    <row r="43" customFormat="false" ht="15" hidden="false" customHeight="false" outlineLevel="0" collapsed="false">
      <c r="B43" s="3" t="s">
        <v>60</v>
      </c>
    </row>
    <row r="44" customFormat="false" ht="15" hidden="false" customHeight="false" outlineLevel="0" collapsed="false">
      <c r="B44" s="4" t="s">
        <v>61</v>
      </c>
      <c r="D44" s="6" t="s">
        <v>62</v>
      </c>
    </row>
    <row r="45" customFormat="false" ht="15" hidden="false" customHeight="false" outlineLevel="0" collapsed="false">
      <c r="B45" s="4" t="s">
        <v>63</v>
      </c>
      <c r="D45" s="6" t="s">
        <v>64</v>
      </c>
    </row>
    <row r="46" customFormat="false" ht="15" hidden="false" customHeight="false" outlineLevel="0" collapsed="false">
      <c r="B46" s="4" t="s">
        <v>65</v>
      </c>
      <c r="D46" s="6" t="s">
        <v>66</v>
      </c>
    </row>
    <row r="47" customFormat="false" ht="15" hidden="false" customHeight="false" outlineLevel="0" collapsed="false">
      <c r="B47" s="4" t="s">
        <v>67</v>
      </c>
      <c r="D47" s="6" t="s">
        <v>68</v>
      </c>
    </row>
    <row r="48" customFormat="false" ht="15" hidden="false" customHeight="false" outlineLevel="0" collapsed="false">
      <c r="B48" s="4" t="s">
        <v>69</v>
      </c>
      <c r="D48" s="6" t="s">
        <v>70</v>
      </c>
    </row>
    <row r="49" customFormat="false" ht="15" hidden="false" customHeight="false" outlineLevel="0" collapsed="false">
      <c r="B49" s="3" t="s">
        <v>71</v>
      </c>
    </row>
    <row r="50" customFormat="false" ht="15" hidden="false" customHeight="false" outlineLevel="0" collapsed="false">
      <c r="B50" s="4" t="s">
        <v>72</v>
      </c>
      <c r="D50" s="6" t="s">
        <v>73</v>
      </c>
    </row>
    <row r="51" customFormat="false" ht="15" hidden="false" customHeight="false" outlineLevel="0" collapsed="false">
      <c r="B51" s="4" t="s">
        <v>74</v>
      </c>
      <c r="D51" s="6" t="s">
        <v>75</v>
      </c>
    </row>
    <row r="52" customFormat="false" ht="15" hidden="false" customHeight="false" outlineLevel="0" collapsed="false">
      <c r="B52" s="4" t="s">
        <v>76</v>
      </c>
      <c r="D52" s="6" t="s">
        <v>77</v>
      </c>
    </row>
    <row r="53" customFormat="false" ht="15" hidden="false" customHeight="false" outlineLevel="0" collapsed="false">
      <c r="B53" s="4" t="s">
        <v>78</v>
      </c>
      <c r="D53" s="6" t="s">
        <v>79</v>
      </c>
    </row>
    <row r="54" customFormat="false" ht="15" hidden="false" customHeight="false" outlineLevel="0" collapsed="false">
      <c r="B54" s="4" t="s">
        <v>80</v>
      </c>
      <c r="D54" s="6" t="s">
        <v>81</v>
      </c>
    </row>
    <row r="55" customFormat="false" ht="15" hidden="false" customHeight="false" outlineLevel="0" collapsed="false">
      <c r="B55" s="4" t="s">
        <v>82</v>
      </c>
      <c r="D55" s="6"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A1:G4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34"/>
    <col collapsed="false" customWidth="true" hidden="false" outlineLevel="0" max="8" min="3" style="0" width="17"/>
  </cols>
  <sheetData>
    <row r="1" customFormat="false" ht="18.55" hidden="false" customHeight="false" outlineLevel="0" collapsed="false">
      <c r="A1" s="7" t="s">
        <v>84</v>
      </c>
    </row>
    <row r="2" customFormat="false" ht="15" hidden="false" customHeight="false" outlineLevel="0" collapsed="false">
      <c r="A2" s="8" t="s">
        <v>85</v>
      </c>
    </row>
    <row r="4" customFormat="false" ht="15" hidden="false" customHeight="false" outlineLevel="0" collapsed="false">
      <c r="A4" s="9" t="s">
        <v>86</v>
      </c>
      <c r="B4" s="10"/>
      <c r="C4" s="10"/>
      <c r="D4" s="10"/>
      <c r="E4" s="10"/>
      <c r="F4" s="10"/>
      <c r="G4" s="10"/>
    </row>
    <row r="5" customFormat="false" ht="15" hidden="false" customHeight="false" outlineLevel="0" collapsed="false">
      <c r="A5" s="11"/>
      <c r="B5" s="12"/>
      <c r="C5" s="12" t="s">
        <v>87</v>
      </c>
      <c r="D5" s="12" t="s">
        <v>88</v>
      </c>
      <c r="E5" s="12" t="s">
        <v>89</v>
      </c>
      <c r="F5" s="12" t="s">
        <v>90</v>
      </c>
      <c r="G5" s="12" t="s">
        <v>91</v>
      </c>
    </row>
    <row r="6" customFormat="false" ht="15" hidden="false" customHeight="false" outlineLevel="0" collapsed="false">
      <c r="A6" s="13" t="s">
        <v>92</v>
      </c>
      <c r="C6" s="14" t="n">
        <f aca="false">'Financial Indicators'!C6</f>
        <v>68602.0541359569</v>
      </c>
      <c r="D6" s="14" t="n">
        <f aca="false">'Financial Indicators'!D6</f>
        <v>391860.50917285</v>
      </c>
      <c r="E6" s="14" t="n">
        <f aca="false">'Financial Indicators'!E6</f>
        <v>1221612.70310048</v>
      </c>
      <c r="F6" s="14" t="n">
        <f aca="false">'Financial Indicators'!F6</f>
        <v>2763830.19278589</v>
      </c>
      <c r="G6" s="14" t="n">
        <f aca="false">'Financial Indicators'!G6</f>
        <v>4998712.11121331</v>
      </c>
    </row>
    <row r="7" customFormat="false" ht="15" hidden="false" customHeight="false" outlineLevel="0" collapsed="false">
      <c r="A7" s="4" t="s">
        <v>93</v>
      </c>
      <c r="C7" s="15" t="n">
        <f aca="false">'Financial Indicators'!C25</f>
        <v>52349.6110245031</v>
      </c>
      <c r="D7" s="15" t="n">
        <f aca="false">'Financial Indicators'!D25</f>
        <v>311491.045936843</v>
      </c>
      <c r="E7" s="15" t="n">
        <f aca="false">'Financial Indicators'!E25</f>
        <v>993713.535906895</v>
      </c>
      <c r="F7" s="15" t="n">
        <f aca="false">'Financial Indicators'!F25</f>
        <v>2279092.20561036</v>
      </c>
      <c r="G7" s="15" t="n">
        <f aca="false">'Financial Indicators'!G25</f>
        <v>4154745.47011083</v>
      </c>
    </row>
    <row r="8" customFormat="false" ht="15" hidden="false" customHeight="false" outlineLevel="0" collapsed="false">
      <c r="A8" s="4" t="s">
        <v>94</v>
      </c>
      <c r="C8" s="16" t="n">
        <f aca="false">'Financial Indicators'!C26</f>
        <v>0.76309101358329</v>
      </c>
      <c r="D8" s="16" t="n">
        <f aca="false">'Financial Indicators'!D26</f>
        <v>0.794902876521921</v>
      </c>
      <c r="E8" s="16" t="n">
        <f aca="false">'Financial Indicators'!E26</f>
        <v>0.813444010024474</v>
      </c>
      <c r="F8" s="16" t="n">
        <f aca="false">'Financial Indicators'!F26</f>
        <v>0.824613687034468</v>
      </c>
      <c r="G8" s="16" t="n">
        <f aca="false">'Financial Indicators'!G26</f>
        <v>0.83116318317087</v>
      </c>
    </row>
    <row r="9" customFormat="false" ht="15" hidden="false" customHeight="false" outlineLevel="0" collapsed="false">
      <c r="A9" s="13" t="s">
        <v>95</v>
      </c>
      <c r="C9" s="15" t="n">
        <f aca="false">'Financial Indicators'!C27</f>
        <v>-403637.769253284</v>
      </c>
      <c r="D9" s="15" t="n">
        <f aca="false">'Financial Indicators'!D27</f>
        <v>-440831.336369439</v>
      </c>
      <c r="E9" s="15" t="n">
        <f aca="false">'Financial Indicators'!E27</f>
        <v>-168454.150581175</v>
      </c>
      <c r="F9" s="15" t="n">
        <f aca="false">'Financial Indicators'!F27</f>
        <v>618842.258521481</v>
      </c>
      <c r="G9" s="15" t="n">
        <f aca="false">'Financial Indicators'!G27</f>
        <v>1844005.91514114</v>
      </c>
    </row>
    <row r="10" customFormat="false" ht="15" hidden="false" customHeight="false" outlineLevel="0" collapsed="false">
      <c r="A10" s="4" t="s">
        <v>96</v>
      </c>
      <c r="C10" s="15" t="n">
        <f aca="false">'Financial Indicators'!C29</f>
        <v>-429039.208528148</v>
      </c>
      <c r="D10" s="15" t="n">
        <f aca="false">'Financial Indicators'!D29</f>
        <v>-471650.564982522</v>
      </c>
      <c r="E10" s="15" t="n">
        <f aca="false">'Financial Indicators'!E29</f>
        <v>-205902.530447471</v>
      </c>
      <c r="F10" s="15" t="n">
        <f aca="false">'Financial Indicators'!F29</f>
        <v>586091.550467075</v>
      </c>
      <c r="G10" s="15" t="n">
        <f aca="false">'Financial Indicators'!G29</f>
        <v>1518916.52261919</v>
      </c>
    </row>
    <row r="11" customFormat="false" ht="15" hidden="false" customHeight="false" outlineLevel="0" collapsed="false">
      <c r="A11" s="4" t="s">
        <v>97</v>
      </c>
      <c r="C11" s="15" t="n">
        <f aca="false">'Financial Indicators'!C31</f>
        <v>497641.262664104</v>
      </c>
      <c r="D11" s="15" t="n">
        <f aca="false">'Financial Indicators'!D31</f>
        <v>863511.074155372</v>
      </c>
      <c r="E11" s="15" t="n">
        <f aca="false">'Financial Indicators'!E31</f>
        <v>1427515.23354795</v>
      </c>
      <c r="F11" s="15" t="n">
        <f aca="false">'Financial Indicators'!F31</f>
        <v>2177738.64231882</v>
      </c>
      <c r="G11" s="15" t="n">
        <f aca="false">'Financial Indicators'!G31</f>
        <v>3189932.94594402</v>
      </c>
    </row>
    <row r="12" customFormat="false" ht="15" hidden="false" customHeight="false" outlineLevel="0" collapsed="false">
      <c r="A12" s="4" t="s">
        <v>98</v>
      </c>
      <c r="C12" s="15" t="n">
        <f aca="false">'Financial Indicators'!C47</f>
        <v>185235.302287375</v>
      </c>
      <c r="D12" s="15" t="n">
        <f aca="false">'Financial Indicators'!D47</f>
        <v>237273.564765139</v>
      </c>
      <c r="E12" s="15" t="n">
        <f aca="false">'Financial Indicators'!E47</f>
        <v>188317.945408139</v>
      </c>
      <c r="F12" s="15" t="n">
        <f aca="false">'Financial Indicators'!F47</f>
        <v>1031867.55982344</v>
      </c>
      <c r="G12" s="15" t="n">
        <f aca="false">'Financial Indicators'!G47</f>
        <v>3195853.68084787</v>
      </c>
    </row>
    <row r="13" customFormat="false" ht="15" hidden="false" customHeight="false" outlineLevel="0" collapsed="false">
      <c r="A13" s="4" t="s">
        <v>99</v>
      </c>
      <c r="C13" s="15" t="n">
        <f aca="false">'Financial Indicators'!C48</f>
        <v>185235.302287375</v>
      </c>
      <c r="D13" s="15" t="n">
        <f aca="false">'Financial Indicators'!D48</f>
        <v>237273.564765139</v>
      </c>
      <c r="E13" s="15" t="n">
        <f aca="false">'Financial Indicators'!E48</f>
        <v>118602.474189267</v>
      </c>
      <c r="F13" s="15" t="n">
        <f aca="false">'Financial Indicators'!F48</f>
        <v>244212.666549383</v>
      </c>
      <c r="G13" s="15" t="n">
        <f aca="false">'Financial Indicators'!G48</f>
        <v>1209506.96489247</v>
      </c>
    </row>
    <row r="14" customFormat="false" ht="15" hidden="false" customHeight="false" outlineLevel="0" collapsed="false">
      <c r="A14" s="4" t="s">
        <v>100</v>
      </c>
      <c r="C14" s="17" t="n">
        <f aca="false">'Financial Indicators'!C17</f>
        <v>24</v>
      </c>
      <c r="D14" s="17" t="n">
        <f aca="false">'Financial Indicators'!D17</f>
        <v>40</v>
      </c>
      <c r="E14" s="17" t="n">
        <f aca="false">'Financial Indicators'!E17</f>
        <v>60</v>
      </c>
      <c r="F14" s="17" t="n">
        <f aca="false">'Financial Indicators'!F17</f>
        <v>84</v>
      </c>
      <c r="G14" s="17" t="n">
        <f aca="false">'Financial Indicators'!G17</f>
        <v>115</v>
      </c>
    </row>
    <row r="15" customFormat="false" ht="15" hidden="false" customHeight="false" outlineLevel="0" collapsed="false">
      <c r="A15" s="4" t="s">
        <v>101</v>
      </c>
      <c r="C15" s="17" t="n">
        <f aca="false">'Financial Indicators'!C15</f>
        <v>319.895176723777</v>
      </c>
      <c r="D15" s="17" t="n">
        <f aca="false">'Financial Indicators'!D15</f>
        <v>1234.8022542943</v>
      </c>
      <c r="E15" s="17" t="n">
        <f aca="false">'Financial Indicators'!E15</f>
        <v>3089.92911183532</v>
      </c>
      <c r="F15" s="17" t="n">
        <f aca="false">'Financial Indicators'!F15</f>
        <v>6004.41741814565</v>
      </c>
      <c r="G15" s="17" t="n">
        <f aca="false">'Financial Indicators'!G15</f>
        <v>9567.51535066602</v>
      </c>
    </row>
    <row r="16" customFormat="false" ht="15" hidden="false" customHeight="false" outlineLevel="0" collapsed="false">
      <c r="A16" s="4" t="s">
        <v>102</v>
      </c>
      <c r="C16" s="17" t="n">
        <f aca="false">'Financial Indicators'!C11</f>
        <v>4207.44828098026</v>
      </c>
      <c r="D16" s="17" t="n">
        <f aca="false">'Financial Indicators'!D11</f>
        <v>12270.0003479118</v>
      </c>
      <c r="E16" s="17" t="n">
        <f aca="false">'Financial Indicators'!E11</f>
        <v>24195.605955022</v>
      </c>
      <c r="F16" s="17" t="n">
        <f aca="false">'Financial Indicators'!F11</f>
        <v>37855.2971356931</v>
      </c>
      <c r="G16" s="17" t="n">
        <f aca="false">'Financial Indicators'!G11</f>
        <v>52258.0359207724</v>
      </c>
    </row>
    <row r="17" customFormat="false" ht="15" hidden="false" customHeight="false" outlineLevel="0" collapsed="false">
      <c r="A17" s="4" t="s">
        <v>103</v>
      </c>
      <c r="C17" s="15" t="n">
        <f aca="false">'Financial Indicators'!C20</f>
        <v>107448.123728999</v>
      </c>
      <c r="D17" s="15" t="n">
        <f aca="false">'Financial Indicators'!D20</f>
        <v>443128.980909404</v>
      </c>
      <c r="E17" s="15" t="n">
        <f aca="false">'Financial Indicators'!E20</f>
        <v>1183326.87045625</v>
      </c>
      <c r="F17" s="15" t="n">
        <f aca="false">'Financial Indicators'!F20</f>
        <v>2411636.87425052</v>
      </c>
      <c r="G17" s="15" t="n">
        <f aca="false">'Financial Indicators'!G20</f>
        <v>4019403.28805602</v>
      </c>
    </row>
    <row r="18" customFormat="false" ht="15" hidden="false" customHeight="false" outlineLevel="0" collapsed="false">
      <c r="A18" s="4" t="s">
        <v>104</v>
      </c>
      <c r="C18" s="15" t="n">
        <f aca="false">'Financial Indicators'!C21</f>
        <v>1105450.24944591</v>
      </c>
      <c r="D18" s="15" t="n">
        <f aca="false">'Financial Indicators'!D21</f>
        <v>6826394.17333881</v>
      </c>
      <c r="E18" s="15" t="n">
        <f aca="false">'Financial Indicators'!E21</f>
        <v>22838228.0202932</v>
      </c>
      <c r="F18" s="15" t="n">
        <f aca="false">'Financial Indicators'!F21</f>
        <v>55358175.4523991</v>
      </c>
      <c r="G18" s="15" t="n">
        <f aca="false">'Financial Indicators'!G21</f>
        <v>105639800.653294</v>
      </c>
    </row>
    <row r="19" customFormat="false" ht="15" hidden="false" customHeight="false" outlineLevel="0" collapsed="false">
      <c r="A19" s="4" t="s">
        <v>105</v>
      </c>
      <c r="C19" s="18" t="n">
        <f aca="false">'Financial Indicators'!C37</f>
        <v>323.436274851053</v>
      </c>
      <c r="D19" s="18" t="n">
        <f aca="false">'Financial Indicators'!D37</f>
        <v>221.424816978509</v>
      </c>
      <c r="E19" s="18" t="n">
        <f aca="false">'Financial Indicators'!E37</f>
        <v>175.505866908264</v>
      </c>
      <c r="F19" s="18" t="n">
        <f aca="false">'Financial Indicators'!F37</f>
        <v>161.434060837082</v>
      </c>
      <c r="G19" s="18" t="n">
        <f aca="false">'Financial Indicators'!G37</f>
        <v>171.0617101786</v>
      </c>
    </row>
    <row r="20" customFormat="false" ht="15" hidden="false" customHeight="false" outlineLevel="0" collapsed="false">
      <c r="A20" s="4" t="s">
        <v>106</v>
      </c>
      <c r="C20" s="19" t="n">
        <f aca="false">'Financial Indicators'!C41</f>
        <v>2.06577849084052</v>
      </c>
      <c r="D20" s="19" t="n">
        <f aca="false">'Financial Indicators'!D41</f>
        <v>4.18275795820504</v>
      </c>
      <c r="E20" s="19" t="n">
        <f aca="false">'Financial Indicators'!E41</f>
        <v>6.82087690178128</v>
      </c>
      <c r="F20" s="19" t="n">
        <f aca="false">'Financial Indicators'!F41</f>
        <v>8.97672985621477</v>
      </c>
      <c r="G20" s="19" t="n">
        <f aca="false">'Financial Indicators'!G41</f>
        <v>9.94576819613105</v>
      </c>
    </row>
    <row r="22" customFormat="false" ht="15" hidden="false" customHeight="false" outlineLevel="0" collapsed="false">
      <c r="A22" s="9" t="s">
        <v>107</v>
      </c>
      <c r="B22" s="10"/>
      <c r="C22" s="10"/>
      <c r="D22" s="10"/>
      <c r="E22" s="10"/>
      <c r="F22" s="10"/>
      <c r="G22" s="10"/>
    </row>
    <row r="23" customFormat="false" ht="15" hidden="false" customHeight="false" outlineLevel="0" collapsed="false">
      <c r="A23" s="4" t="s">
        <v>108</v>
      </c>
      <c r="C23" s="20" t="n">
        <f aca="false">Expenses!$C$93</f>
        <v>497641.262664104</v>
      </c>
    </row>
    <row r="24" customFormat="false" ht="15" hidden="false" customHeight="false" outlineLevel="0" collapsed="false">
      <c r="A24" s="4" t="s">
        <v>109</v>
      </c>
      <c r="C24" s="21" t="n">
        <f aca="false">'Balance Sheet'!C23</f>
        <v>0</v>
      </c>
      <c r="D24" s="21" t="n">
        <f aca="false">'Balance Sheet'!D23</f>
        <v>0</v>
      </c>
      <c r="E24" s="21" t="n">
        <f aca="false">'Balance Sheet'!E23</f>
        <v>0</v>
      </c>
      <c r="F24" s="21" t="n">
        <f aca="false">'Balance Sheet'!F23</f>
        <v>0</v>
      </c>
      <c r="G24" s="21" t="n">
        <f aca="false">'Balance Sheet'!G23</f>
        <v>0</v>
      </c>
    </row>
    <row r="25" customFormat="false" ht="15" hidden="false" customHeight="false" outlineLevel="0" collapsed="false">
      <c r="A25" s="4" t="s">
        <v>110</v>
      </c>
      <c r="C25" s="22" t="n">
        <f aca="false">SUM('GTM Capacity and Timing'!$C$25:$BN$25)-SUM('GTM Capacity and Timing'!$B$25,'GTM Capacity and Timing'!$O$25,'GTM Capacity and Timing'!$AB$25,'GTM Capacity and Timing'!$AO$25,'GTM Capacity and Timing'!$BB$25)</f>
        <v>0</v>
      </c>
    </row>
    <row r="26" customFormat="false" ht="15" hidden="false" customHeight="false" outlineLevel="0" collapsed="false">
      <c r="A26" s="4" t="s">
        <v>111</v>
      </c>
      <c r="C26" s="21" t="n">
        <f aca="false">'Funding and Use of Funds'!$C$25</f>
        <v>0</v>
      </c>
    </row>
    <row r="28" customFormat="false" ht="15" hidden="false" customHeight="false" outlineLevel="0" collapsed="false">
      <c r="A28" s="9" t="s">
        <v>112</v>
      </c>
      <c r="B28" s="10"/>
      <c r="C28" s="10"/>
      <c r="D28" s="10"/>
      <c r="E28" s="10"/>
      <c r="F28" s="10"/>
      <c r="G28" s="10"/>
    </row>
    <row r="29" customFormat="false" ht="15" hidden="false" customHeight="false" outlineLevel="0" collapsed="false">
      <c r="A29" s="4" t="s">
        <v>113</v>
      </c>
      <c r="B29" s="6" t="s">
        <v>114</v>
      </c>
      <c r="C29" s="23" t="n">
        <f aca="false">'Assumption Setting'!$C$13</f>
        <v>0</v>
      </c>
    </row>
    <row r="30" customFormat="false" ht="15" hidden="false" customHeight="false" outlineLevel="0" collapsed="false">
      <c r="A30" s="4" t="s">
        <v>115</v>
      </c>
      <c r="B30" s="6" t="s">
        <v>116</v>
      </c>
      <c r="C30" s="23" t="n">
        <f aca="false">'Assumption Setting'!$C$14</f>
        <v>0</v>
      </c>
    </row>
    <row r="31" customFormat="false" ht="15" hidden="false" customHeight="false" outlineLevel="0" collapsed="false">
      <c r="A31" s="4" t="s">
        <v>117</v>
      </c>
      <c r="B31" s="6"/>
      <c r="C31" s="23" t="n">
        <f aca="false">'Assumption Setting'!$C$15</f>
        <v>0</v>
      </c>
    </row>
    <row r="32" customFormat="false" ht="15" hidden="false" customHeight="false" outlineLevel="0" collapsed="false">
      <c r="A32" s="4" t="s">
        <v>118</v>
      </c>
      <c r="B32" s="6"/>
      <c r="C32" s="23" t="n">
        <f aca="false">'Assumption Setting'!$C$16</f>
        <v>0</v>
      </c>
    </row>
    <row r="33" customFormat="false" ht="15" hidden="false" customHeight="false" outlineLevel="0" collapsed="false">
      <c r="A33" s="4" t="s">
        <v>119</v>
      </c>
      <c r="B33" s="6" t="s">
        <v>120</v>
      </c>
      <c r="C33" s="24" t="n">
        <f aca="false">'Assumption Setting'!$C$17</f>
        <v>0</v>
      </c>
    </row>
    <row r="34" customFormat="false" ht="15" hidden="false" customHeight="false" outlineLevel="0" collapsed="false">
      <c r="A34" s="4" t="s">
        <v>121</v>
      </c>
      <c r="B34" s="6" t="s">
        <v>122</v>
      </c>
      <c r="C34" s="24" t="n">
        <f aca="false">'Assumption Setting'!$C$20</f>
        <v>58252.427184466</v>
      </c>
    </row>
    <row r="36" customFormat="false" ht="15" hidden="false" customHeight="false" outlineLevel="0" collapsed="false">
      <c r="A36" s="9" t="s">
        <v>123</v>
      </c>
      <c r="B36" s="10"/>
      <c r="C36" s="10"/>
      <c r="D36" s="10"/>
      <c r="E36" s="10"/>
      <c r="F36" s="10"/>
      <c r="G36" s="10"/>
    </row>
    <row r="37" customFormat="false" ht="15" hidden="false" customHeight="false" outlineLevel="0" collapsed="false">
      <c r="A37" s="13" t="s">
        <v>124</v>
      </c>
      <c r="C37" s="20" t="n">
        <f aca="false">'Funding and Use of Funds'!$C$9</f>
        <v>600000</v>
      </c>
    </row>
    <row r="38" customFormat="false" ht="15" hidden="false" customHeight="false" outlineLevel="0" collapsed="false">
      <c r="A38" s="4" t="s">
        <v>125</v>
      </c>
      <c r="C38" s="15" t="n">
        <f aca="false">'Funding and Use of Funds'!$C$5</f>
        <v>518418.985361275</v>
      </c>
    </row>
    <row r="39" customFormat="false" ht="15" hidden="false" customHeight="false" outlineLevel="0" collapsed="false">
      <c r="A39" s="4" t="s">
        <v>126</v>
      </c>
      <c r="C39" s="25" t="n">
        <f aca="false">'Funding and Use of Funds'!$C$12</f>
        <v>13.8883802547904</v>
      </c>
    </row>
    <row r="40" customFormat="false" ht="15" hidden="false" customHeight="false" outlineLevel="0" collapsed="false">
      <c r="A40" s="4" t="s">
        <v>127</v>
      </c>
      <c r="C40" s="26" t="str">
        <f aca="false">'Funding and Use of Funds'!$C$13</f>
        <v>Covered</v>
      </c>
    </row>
    <row r="41" customFormat="false" ht="15" hidden="false" customHeight="false" outlineLevel="0" collapsed="false">
      <c r="A41" s="4" t="s">
        <v>128</v>
      </c>
      <c r="C41" s="15" t="n">
        <f aca="false">'Funding and Use of Funds'!$C$49</f>
        <v>450000</v>
      </c>
    </row>
    <row r="42" customFormat="false" ht="15" hidden="false" customHeight="false" outlineLevel="0" collapsed="false">
      <c r="A42" s="13" t="s">
        <v>129</v>
      </c>
      <c r="C42" s="20" t="n">
        <f aca="false">Valuation!$C$93</f>
        <v>1307992.61633651</v>
      </c>
    </row>
    <row r="43" customFormat="false" ht="15" hidden="false" customHeight="false" outlineLevel="0" collapsed="false">
      <c r="A43" s="13" t="s">
        <v>130</v>
      </c>
      <c r="C43" s="20" t="n">
        <f aca="false">Valuation!$C$98</f>
        <v>1300000</v>
      </c>
    </row>
    <row r="44" customFormat="false" ht="15" hidden="false" customHeight="false" outlineLevel="0" collapsed="false">
      <c r="A44" s="4" t="s">
        <v>131</v>
      </c>
      <c r="C44" s="16" t="n">
        <f aca="false">Valuation!$C$100</f>
        <v>0.315789473684211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3" min="3" style="0" width="38"/>
    <col collapsed="false" customWidth="true" hidden="false" outlineLevel="0" max="4" min="4" style="0" width="78"/>
  </cols>
  <sheetData>
    <row r="1" customFormat="false" ht="18.55" hidden="false" customHeight="false" outlineLevel="0" collapsed="false">
      <c r="A1" s="7" t="s">
        <v>132</v>
      </c>
    </row>
    <row r="2" customFormat="false" ht="15" hidden="false" customHeight="false" outlineLevel="0" collapsed="false">
      <c r="A2" s="8" t="s">
        <v>133</v>
      </c>
    </row>
    <row r="4" customFormat="false" ht="15" hidden="false" customHeight="false" outlineLevel="0" collapsed="false">
      <c r="A4" s="9" t="s">
        <v>134</v>
      </c>
      <c r="B4" s="10"/>
      <c r="C4" s="10"/>
      <c r="D4" s="10"/>
    </row>
    <row r="5" customFormat="false" ht="15" hidden="false" customHeight="false" outlineLevel="0" collapsed="false">
      <c r="A5" s="11" t="s">
        <v>135</v>
      </c>
      <c r="B5" s="12" t="s">
        <v>136</v>
      </c>
      <c r="C5" s="12" t="s">
        <v>137</v>
      </c>
      <c r="D5" s="12" t="s">
        <v>138</v>
      </c>
    </row>
    <row r="6" customFormat="false" ht="15" hidden="false" customHeight="false" outlineLevel="0" collapsed="false">
      <c r="A6" s="27" t="s">
        <v>139</v>
      </c>
      <c r="B6" s="27" t="s">
        <v>140</v>
      </c>
      <c r="C6" s="27" t="s">
        <v>141</v>
      </c>
      <c r="D6" s="27" t="s">
        <v>142</v>
      </c>
    </row>
    <row r="7" customFormat="false" ht="15" hidden="false" customHeight="false" outlineLevel="0" collapsed="false">
      <c r="A7" s="27" t="s">
        <v>143</v>
      </c>
      <c r="B7" s="27" t="s">
        <v>144</v>
      </c>
      <c r="C7" s="27" t="s">
        <v>145</v>
      </c>
      <c r="D7" s="27" t="s">
        <v>146</v>
      </c>
    </row>
    <row r="8" customFormat="false" ht="15" hidden="false" customHeight="false" outlineLevel="0" collapsed="false">
      <c r="A8" s="27" t="s">
        <v>147</v>
      </c>
      <c r="B8" s="27" t="s">
        <v>148</v>
      </c>
      <c r="C8" s="27" t="s">
        <v>149</v>
      </c>
      <c r="D8" s="27" t="s">
        <v>150</v>
      </c>
    </row>
    <row r="9" customFormat="false" ht="19.4" hidden="false" customHeight="false" outlineLevel="0" collapsed="false">
      <c r="A9" s="27" t="s">
        <v>151</v>
      </c>
      <c r="B9" s="27" t="s">
        <v>152</v>
      </c>
      <c r="C9" s="27" t="s">
        <v>153</v>
      </c>
      <c r="D9" s="27" t="s">
        <v>146</v>
      </c>
    </row>
    <row r="10" customFormat="false" ht="15" hidden="false" customHeight="false" outlineLevel="0" collapsed="false">
      <c r="A10" s="27" t="s">
        <v>154</v>
      </c>
      <c r="B10" s="27" t="s">
        <v>155</v>
      </c>
      <c r="C10" s="27" t="s">
        <v>153</v>
      </c>
      <c r="D10" s="27" t="s">
        <v>156</v>
      </c>
    </row>
    <row r="11" customFormat="false" ht="15" hidden="false" customHeight="false" outlineLevel="0" collapsed="false">
      <c r="A11" s="27" t="s">
        <v>157</v>
      </c>
      <c r="B11" s="27" t="s">
        <v>158</v>
      </c>
      <c r="C11" s="27" t="s">
        <v>145</v>
      </c>
      <c r="D11" s="27" t="s">
        <v>159</v>
      </c>
    </row>
    <row r="12" customFormat="false" ht="15" hidden="false" customHeight="false" outlineLevel="0" collapsed="false">
      <c r="A12" s="27" t="s">
        <v>160</v>
      </c>
      <c r="B12" s="27" t="s">
        <v>161</v>
      </c>
      <c r="C12" s="27" t="s">
        <v>162</v>
      </c>
      <c r="D12" s="27" t="s">
        <v>163</v>
      </c>
    </row>
    <row r="13" customFormat="false" ht="15" hidden="false" customHeight="false" outlineLevel="0" collapsed="false">
      <c r="A13" s="27" t="s">
        <v>164</v>
      </c>
      <c r="B13" s="27" t="s">
        <v>165</v>
      </c>
      <c r="C13" s="27" t="s">
        <v>166</v>
      </c>
      <c r="D13" s="27" t="s">
        <v>167</v>
      </c>
    </row>
    <row r="14" customFormat="false" ht="15" hidden="false" customHeight="false" outlineLevel="0" collapsed="false">
      <c r="A14" s="27" t="s">
        <v>168</v>
      </c>
      <c r="B14" s="27" t="s">
        <v>169</v>
      </c>
      <c r="C14" s="27" t="s">
        <v>145</v>
      </c>
      <c r="D14" s="27" t="s">
        <v>170</v>
      </c>
    </row>
    <row r="15" customFormat="false" ht="15" hidden="false" customHeight="false" outlineLevel="0" collapsed="false">
      <c r="A15" s="27" t="s">
        <v>171</v>
      </c>
      <c r="B15" s="27" t="s">
        <v>172</v>
      </c>
      <c r="C15" s="27" t="s">
        <v>145</v>
      </c>
      <c r="D15" s="27" t="s">
        <v>173</v>
      </c>
    </row>
    <row r="16" customFormat="false" ht="15" hidden="false" customHeight="false" outlineLevel="0" collapsed="false">
      <c r="A16" s="27" t="s">
        <v>174</v>
      </c>
      <c r="B16" s="27" t="s">
        <v>175</v>
      </c>
      <c r="C16" s="27" t="s">
        <v>145</v>
      </c>
      <c r="D16" s="27" t="s">
        <v>176</v>
      </c>
    </row>
    <row r="17" customFormat="false" ht="19.4" hidden="false" customHeight="false" outlineLevel="0" collapsed="false">
      <c r="A17" s="27" t="s">
        <v>177</v>
      </c>
      <c r="B17" s="27" t="s">
        <v>178</v>
      </c>
      <c r="C17" s="27" t="s">
        <v>179</v>
      </c>
      <c r="D17" s="27" t="s">
        <v>180</v>
      </c>
    </row>
    <row r="18" customFormat="false" ht="15" hidden="false" customHeight="false" outlineLevel="0" collapsed="false">
      <c r="A18" s="27" t="s">
        <v>181</v>
      </c>
      <c r="B18" s="27" t="s">
        <v>182</v>
      </c>
      <c r="C18" s="27" t="s">
        <v>145</v>
      </c>
      <c r="D18" s="27" t="s">
        <v>183</v>
      </c>
    </row>
    <row r="20" customFormat="false" ht="15" hidden="false" customHeight="false" outlineLevel="0" collapsed="false">
      <c r="A20" s="9" t="s">
        <v>184</v>
      </c>
      <c r="B20" s="10"/>
      <c r="C20" s="10"/>
      <c r="D20" s="10"/>
    </row>
    <row r="21" customFormat="false" ht="15" hidden="false" customHeight="false" outlineLevel="0" collapsed="false">
      <c r="A21" s="11" t="s">
        <v>185</v>
      </c>
      <c r="B21" s="12" t="s">
        <v>186</v>
      </c>
      <c r="C21" s="12" t="s">
        <v>187</v>
      </c>
      <c r="D21" s="12" t="s">
        <v>188</v>
      </c>
    </row>
    <row r="22" customFormat="false" ht="15" hidden="false" customHeight="false" outlineLevel="0" collapsed="false">
      <c r="A22" s="28" t="s">
        <v>189</v>
      </c>
      <c r="B22" s="27" t="s">
        <v>190</v>
      </c>
      <c r="C22" s="27" t="s">
        <v>191</v>
      </c>
      <c r="D22" s="27" t="s">
        <v>192</v>
      </c>
    </row>
    <row r="23" customFormat="false" ht="19.4" hidden="false" customHeight="false" outlineLevel="0" collapsed="false">
      <c r="A23" s="28" t="s">
        <v>193</v>
      </c>
      <c r="B23" s="27" t="s">
        <v>194</v>
      </c>
      <c r="C23" s="27" t="s">
        <v>195</v>
      </c>
      <c r="D23" s="27" t="s">
        <v>196</v>
      </c>
    </row>
    <row r="24" customFormat="false" ht="19.4" hidden="false" customHeight="false" outlineLevel="0" collapsed="false">
      <c r="A24" s="28" t="s">
        <v>197</v>
      </c>
      <c r="B24" s="27" t="s">
        <v>198</v>
      </c>
      <c r="C24" s="27" t="s">
        <v>199</v>
      </c>
      <c r="D24" s="27" t="s">
        <v>200</v>
      </c>
    </row>
    <row r="25" customFormat="false" ht="28.35" hidden="false" customHeight="false" outlineLevel="0" collapsed="false">
      <c r="A25" s="28" t="s">
        <v>201</v>
      </c>
      <c r="B25" s="27" t="s">
        <v>202</v>
      </c>
      <c r="C25" s="27" t="s">
        <v>203</v>
      </c>
      <c r="D25" s="27" t="s">
        <v>204</v>
      </c>
    </row>
    <row r="26" customFormat="false" ht="19.4" hidden="false" customHeight="false" outlineLevel="0" collapsed="false">
      <c r="A26" s="28" t="s">
        <v>205</v>
      </c>
      <c r="B26" s="27" t="s">
        <v>206</v>
      </c>
      <c r="C26" s="27" t="s">
        <v>207</v>
      </c>
      <c r="D26" s="27" t="s">
        <v>208</v>
      </c>
    </row>
    <row r="27" customFormat="false" ht="19.4" hidden="false" customHeight="false" outlineLevel="0" collapsed="false">
      <c r="A27" s="28" t="s">
        <v>209</v>
      </c>
      <c r="B27" s="27" t="s">
        <v>210</v>
      </c>
      <c r="C27" s="27" t="s">
        <v>211</v>
      </c>
      <c r="D27" s="27" t="s">
        <v>212</v>
      </c>
    </row>
    <row r="28" customFormat="false" ht="15" hidden="false" customHeight="false" outlineLevel="0" collapsed="false">
      <c r="A28" s="28" t="s">
        <v>213</v>
      </c>
      <c r="B28" s="27" t="s">
        <v>214</v>
      </c>
      <c r="C28" s="27" t="s">
        <v>215</v>
      </c>
      <c r="D28" s="27" t="s">
        <v>216</v>
      </c>
    </row>
    <row r="29" customFormat="false" ht="15" hidden="false" customHeight="false" outlineLevel="0" collapsed="false">
      <c r="A29" s="28" t="s">
        <v>217</v>
      </c>
      <c r="B29" s="27" t="s">
        <v>218</v>
      </c>
      <c r="C29" s="27" t="s">
        <v>219</v>
      </c>
      <c r="D29" s="27" t="s">
        <v>220</v>
      </c>
    </row>
    <row r="31" customFormat="false" ht="15" hidden="false" customHeight="false" outlineLevel="0" collapsed="false">
      <c r="A31" s="29" t="s">
        <v>221</v>
      </c>
    </row>
    <row r="32" customFormat="false" ht="15" hidden="false" customHeight="false" outlineLevel="0" collapsed="false">
      <c r="A32" s="29"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62"/>
    <col collapsed="false" customWidth="true" hidden="false" outlineLevel="0" max="4" min="4" style="0" width="52"/>
    <col collapsed="false" customWidth="true" hidden="false" outlineLevel="0" max="5" min="5" style="0" width="62"/>
  </cols>
  <sheetData>
    <row r="1" customFormat="false" ht="18.55" hidden="false" customHeight="false" outlineLevel="0" collapsed="false">
      <c r="A1" s="7" t="s">
        <v>223</v>
      </c>
    </row>
    <row r="2" customFormat="false" ht="15" hidden="false" customHeight="false" outlineLevel="0" collapsed="false">
      <c r="A2" s="8" t="s">
        <v>224</v>
      </c>
    </row>
    <row r="4" customFormat="false" ht="15" hidden="false" customHeight="false" outlineLevel="0" collapsed="false">
      <c r="A4" s="9" t="s">
        <v>225</v>
      </c>
      <c r="B4" s="10"/>
      <c r="C4" s="10"/>
      <c r="D4" s="10"/>
      <c r="E4" s="10"/>
    </row>
    <row r="5" customFormat="false" ht="15" hidden="false" customHeight="false" outlineLevel="0" collapsed="false">
      <c r="A5" s="11" t="s">
        <v>226</v>
      </c>
      <c r="B5" s="12" t="s">
        <v>227</v>
      </c>
      <c r="C5" s="12" t="s">
        <v>228</v>
      </c>
      <c r="D5" s="12" t="s">
        <v>229</v>
      </c>
      <c r="E5" s="12" t="s">
        <v>230</v>
      </c>
    </row>
    <row r="6" customFormat="false" ht="36" hidden="false" customHeight="true" outlineLevel="0" collapsed="false">
      <c r="A6" s="27" t="n">
        <v>1</v>
      </c>
      <c r="B6" s="28" t="s">
        <v>231</v>
      </c>
      <c r="C6" s="27" t="s">
        <v>232</v>
      </c>
      <c r="D6" s="27" t="s">
        <v>233</v>
      </c>
      <c r="E6" s="27" t="s">
        <v>234</v>
      </c>
    </row>
    <row r="7" customFormat="false" ht="36" hidden="false" customHeight="true" outlineLevel="0" collapsed="false">
      <c r="A7" s="27" t="n">
        <v>2</v>
      </c>
      <c r="B7" s="28" t="s">
        <v>235</v>
      </c>
      <c r="C7" s="27" t="s">
        <v>236</v>
      </c>
      <c r="D7" s="27" t="s">
        <v>237</v>
      </c>
      <c r="E7" s="27" t="s">
        <v>238</v>
      </c>
    </row>
    <row r="8" customFormat="false" ht="36" hidden="false" customHeight="true" outlineLevel="0" collapsed="false">
      <c r="A8" s="27" t="n">
        <v>3</v>
      </c>
      <c r="B8" s="28" t="s">
        <v>239</v>
      </c>
      <c r="C8" s="27" t="s">
        <v>240</v>
      </c>
      <c r="D8" s="27" t="s">
        <v>241</v>
      </c>
      <c r="E8" s="27" t="s">
        <v>242</v>
      </c>
    </row>
    <row r="9" customFormat="false" ht="36" hidden="false" customHeight="true" outlineLevel="0" collapsed="false">
      <c r="A9" s="27" t="n">
        <v>4</v>
      </c>
      <c r="B9" s="28" t="s">
        <v>243</v>
      </c>
      <c r="C9" s="27" t="s">
        <v>244</v>
      </c>
      <c r="D9" s="27" t="s">
        <v>245</v>
      </c>
      <c r="E9" s="27" t="s">
        <v>246</v>
      </c>
    </row>
    <row r="10" customFormat="false" ht="36" hidden="false" customHeight="true" outlineLevel="0" collapsed="false">
      <c r="A10" s="27" t="n">
        <v>5</v>
      </c>
      <c r="B10" s="28" t="s">
        <v>247</v>
      </c>
      <c r="C10" s="27" t="s">
        <v>248</v>
      </c>
      <c r="D10" s="27" t="s">
        <v>249</v>
      </c>
      <c r="E10" s="27" t="s">
        <v>250</v>
      </c>
    </row>
    <row r="11" customFormat="false" ht="36" hidden="false" customHeight="true" outlineLevel="0" collapsed="false">
      <c r="A11" s="27" t="n">
        <v>6</v>
      </c>
      <c r="B11" s="28" t="s">
        <v>251</v>
      </c>
      <c r="C11" s="27" t="s">
        <v>252</v>
      </c>
      <c r="D11" s="27" t="s">
        <v>253</v>
      </c>
      <c r="E11" s="27" t="s">
        <v>254</v>
      </c>
    </row>
    <row r="12" customFormat="false" ht="36" hidden="false" customHeight="true" outlineLevel="0" collapsed="false">
      <c r="A12" s="27" t="n">
        <v>7</v>
      </c>
      <c r="B12" s="28" t="s">
        <v>255</v>
      </c>
      <c r="C12" s="27" t="s">
        <v>256</v>
      </c>
      <c r="D12" s="27" t="s">
        <v>257</v>
      </c>
      <c r="E12" s="27" t="s">
        <v>258</v>
      </c>
    </row>
    <row r="13" customFormat="false" ht="36" hidden="false" customHeight="true" outlineLevel="0" collapsed="false">
      <c r="A13" s="27" t="n">
        <v>8</v>
      </c>
      <c r="B13" s="28" t="s">
        <v>259</v>
      </c>
      <c r="C13" s="27" t="s">
        <v>260</v>
      </c>
      <c r="D13" s="27" t="s">
        <v>261</v>
      </c>
      <c r="E13" s="27" t="s">
        <v>262</v>
      </c>
    </row>
    <row r="14" customFormat="false" ht="36" hidden="false" customHeight="true" outlineLevel="0" collapsed="false">
      <c r="A14" s="27" t="n">
        <v>9</v>
      </c>
      <c r="B14" s="28" t="s">
        <v>263</v>
      </c>
      <c r="C14" s="27" t="s">
        <v>264</v>
      </c>
      <c r="D14" s="27" t="s">
        <v>265</v>
      </c>
      <c r="E14" s="27" t="s">
        <v>266</v>
      </c>
    </row>
    <row r="15" customFormat="false" ht="36" hidden="false" customHeight="true" outlineLevel="0" collapsed="false">
      <c r="A15" s="27" t="n">
        <v>10</v>
      </c>
      <c r="B15" s="28" t="s">
        <v>267</v>
      </c>
      <c r="C15" s="27" t="s">
        <v>268</v>
      </c>
      <c r="D15" s="27" t="s">
        <v>269</v>
      </c>
      <c r="E15" s="27" t="s">
        <v>270</v>
      </c>
    </row>
    <row r="16" customFormat="false" ht="36" hidden="false" customHeight="true" outlineLevel="0" collapsed="false">
      <c r="A16" s="27" t="n">
        <v>11</v>
      </c>
      <c r="B16" s="28" t="s">
        <v>271</v>
      </c>
      <c r="C16" s="27" t="s">
        <v>272</v>
      </c>
      <c r="D16" s="27" t="s">
        <v>273</v>
      </c>
      <c r="E16" s="27" t="s">
        <v>274</v>
      </c>
    </row>
    <row r="17" customFormat="false" ht="36" hidden="false" customHeight="true" outlineLevel="0" collapsed="false">
      <c r="A17" s="27" t="n">
        <v>12</v>
      </c>
      <c r="B17" s="28" t="s">
        <v>275</v>
      </c>
      <c r="C17" s="27" t="s">
        <v>276</v>
      </c>
      <c r="D17" s="27" t="s">
        <v>277</v>
      </c>
      <c r="E17" s="27" t="s">
        <v>278</v>
      </c>
    </row>
    <row r="18" customFormat="false" ht="36" hidden="false" customHeight="true" outlineLevel="0" collapsed="false">
      <c r="A18" s="27" t="n">
        <v>13</v>
      </c>
      <c r="B18" s="28" t="s">
        <v>279</v>
      </c>
      <c r="C18" s="27" t="s">
        <v>280</v>
      </c>
      <c r="D18" s="27" t="s">
        <v>281</v>
      </c>
      <c r="E18" s="27" t="s">
        <v>282</v>
      </c>
    </row>
    <row r="19" customFormat="false" ht="36" hidden="false" customHeight="true" outlineLevel="0" collapsed="false">
      <c r="A19" s="27" t="n">
        <v>14</v>
      </c>
      <c r="B19" s="28" t="s">
        <v>283</v>
      </c>
      <c r="C19" s="27" t="s">
        <v>284</v>
      </c>
      <c r="D19" s="27" t="s">
        <v>285</v>
      </c>
      <c r="E19" s="27" t="s">
        <v>286</v>
      </c>
    </row>
    <row r="20" customFormat="false" ht="36" hidden="false" customHeight="true" outlineLevel="0" collapsed="false">
      <c r="A20" s="27" t="n">
        <v>15</v>
      </c>
      <c r="B20" s="28" t="s">
        <v>287</v>
      </c>
      <c r="C20" s="27" t="s">
        <v>288</v>
      </c>
      <c r="D20" s="27" t="s">
        <v>289</v>
      </c>
      <c r="E20" s="27" t="s">
        <v>290</v>
      </c>
    </row>
    <row r="21" customFormat="false" ht="36" hidden="false" customHeight="true" outlineLevel="0" collapsed="false">
      <c r="A21" s="27" t="n">
        <v>16</v>
      </c>
      <c r="B21" s="28" t="s">
        <v>291</v>
      </c>
      <c r="C21" s="27" t="s">
        <v>292</v>
      </c>
      <c r="D21" s="27" t="s">
        <v>293</v>
      </c>
      <c r="E21" s="27" t="s">
        <v>294</v>
      </c>
    </row>
    <row r="22" customFormat="false" ht="36" hidden="false" customHeight="true" outlineLevel="0" collapsed="false">
      <c r="A22" s="27" t="n">
        <v>17</v>
      </c>
      <c r="B22" s="28" t="s">
        <v>295</v>
      </c>
      <c r="C22" s="27" t="s">
        <v>296</v>
      </c>
      <c r="D22" s="27" t="s">
        <v>297</v>
      </c>
      <c r="E22" s="27" t="s">
        <v>298</v>
      </c>
    </row>
    <row r="23" customFormat="false" ht="36" hidden="false" customHeight="true" outlineLevel="0" collapsed="false">
      <c r="A23" s="27" t="n">
        <v>18</v>
      </c>
      <c r="B23" s="28" t="s">
        <v>299</v>
      </c>
      <c r="C23" s="27" t="s">
        <v>300</v>
      </c>
      <c r="D23" s="27" t="s">
        <v>301</v>
      </c>
      <c r="E23" s="27" t="s">
        <v>302</v>
      </c>
    </row>
    <row r="25" customFormat="false" ht="15" hidden="false" customHeight="false" outlineLevel="0" collapsed="false">
      <c r="A25" s="9" t="s">
        <v>303</v>
      </c>
      <c r="B25" s="10"/>
      <c r="C25" s="10"/>
      <c r="D25" s="10"/>
      <c r="E25" s="10"/>
    </row>
    <row r="26" customFormat="false" ht="15" hidden="false" customHeight="false" outlineLevel="0" collapsed="false">
      <c r="A26" s="11"/>
      <c r="B26" s="12" t="s">
        <v>135</v>
      </c>
      <c r="C26" s="12" t="s">
        <v>304</v>
      </c>
      <c r="D26" s="12" t="s">
        <v>305</v>
      </c>
      <c r="E26" s="12" t="s">
        <v>306</v>
      </c>
    </row>
    <row r="27" customFormat="false" ht="15" hidden="false" customHeight="false" outlineLevel="0" collapsed="false">
      <c r="B27" s="30" t="s">
        <v>307</v>
      </c>
      <c r="C27" s="31" t="n">
        <v>200000</v>
      </c>
      <c r="D27" s="24" t="n">
        <f aca="false">'Funding and Use of Funds'!$C$9</f>
        <v>600000</v>
      </c>
      <c r="E27" s="6" t="s">
        <v>308</v>
      </c>
    </row>
    <row r="28" customFormat="false" ht="15" hidden="false" customHeight="false" outlineLevel="0" collapsed="false">
      <c r="B28" s="30" t="s">
        <v>309</v>
      </c>
      <c r="C28" s="31" t="n">
        <v>212143</v>
      </c>
      <c r="D28" s="24" t="n">
        <f aca="false">'Total Revenue'!B18</f>
        <v>68602.0541359569</v>
      </c>
      <c r="E28" s="6" t="s">
        <v>310</v>
      </c>
    </row>
    <row r="29" customFormat="false" ht="15" hidden="false" customHeight="false" outlineLevel="0" collapsed="false">
      <c r="B29" s="30" t="s">
        <v>311</v>
      </c>
      <c r="C29" s="31" t="n">
        <v>1924676</v>
      </c>
      <c r="D29" s="24" t="n">
        <f aca="false">'Total Revenue'!BB18</f>
        <v>4998712.11121331</v>
      </c>
      <c r="E29" s="6"/>
    </row>
    <row r="30" customFormat="false" ht="15" hidden="false" customHeight="false" outlineLevel="0" collapsed="false">
      <c r="B30" s="30" t="s">
        <v>312</v>
      </c>
      <c r="C30" s="31" t="n">
        <v>1217332</v>
      </c>
      <c r="D30" s="24" t="n">
        <f aca="false">'Income Statement'!$G$53</f>
        <v>1518916.52261919</v>
      </c>
      <c r="E30" s="6" t="s">
        <v>313</v>
      </c>
    </row>
    <row r="31" customFormat="false" ht="15" hidden="false" customHeight="false" outlineLevel="0" collapsed="false">
      <c r="B31" s="30" t="s">
        <v>314</v>
      </c>
      <c r="C31" s="32" t="n">
        <v>6313</v>
      </c>
      <c r="D31" s="23" t="n">
        <f aca="false">Acquisitions!BB124</f>
        <v>9567.51535066602</v>
      </c>
      <c r="E31" s="6"/>
    </row>
    <row r="32" customFormat="false" ht="15" hidden="false" customHeight="false" outlineLevel="0" collapsed="false">
      <c r="B32" s="30" t="s">
        <v>315</v>
      </c>
      <c r="C32" s="31" t="n">
        <v>1800000</v>
      </c>
      <c r="D32" s="24" t="n">
        <f aca="false">Valuation!$C$98</f>
        <v>1300000</v>
      </c>
      <c r="E32" s="6" t="s">
        <v>316</v>
      </c>
    </row>
    <row r="34" customFormat="false" ht="15" hidden="false" customHeight="false" outlineLevel="0" collapsed="false">
      <c r="B34" s="33"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34" t="s">
        <v>36</v>
      </c>
    </row>
    <row r="5" customFormat="false" ht="15" hidden="false" customHeight="false" outlineLevel="0" collapsed="false">
      <c r="B5" s="35" t="s">
        <v>318</v>
      </c>
      <c r="C5" s="36" t="s">
        <v>38</v>
      </c>
    </row>
    <row r="6" customFormat="false" ht="15" hidden="false" customHeight="false" outlineLevel="0" collapsed="false">
      <c r="B6" s="35" t="s">
        <v>319</v>
      </c>
      <c r="C6" s="36" t="s">
        <v>40</v>
      </c>
    </row>
    <row r="7" customFormat="false" ht="15" hidden="false" customHeight="false" outlineLevel="0" collapsed="false">
      <c r="B7" s="35" t="s">
        <v>320</v>
      </c>
      <c r="C7" s="36"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2"/>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6.5"/>
    <col collapsed="false" customWidth="true" hidden="false" outlineLevel="0" max="7" min="4" style="0" width="13"/>
    <col collapsed="false" customWidth="true" hidden="false" outlineLevel="0" max="12" min="8" style="0" width="14"/>
  </cols>
  <sheetData>
    <row r="1" customFormat="false" ht="18.55" hidden="false" customHeight="false" outlineLevel="0" collapsed="false">
      <c r="A1" s="7" t="s">
        <v>318</v>
      </c>
    </row>
    <row r="2" customFormat="false" ht="15" hidden="false" customHeight="false" outlineLevel="0" collapsed="false">
      <c r="A2" s="8" t="s">
        <v>321</v>
      </c>
    </row>
    <row r="4" customFormat="false" ht="15" hidden="false" customHeight="false" outlineLevel="0" collapsed="false">
      <c r="A4" s="9" t="s">
        <v>322</v>
      </c>
      <c r="B4" s="10"/>
      <c r="C4" s="10"/>
      <c r="D4" s="10"/>
      <c r="E4" s="10"/>
      <c r="F4" s="10"/>
      <c r="G4" s="10"/>
      <c r="H4" s="10"/>
      <c r="I4" s="10"/>
      <c r="J4" s="10"/>
      <c r="K4" s="10"/>
      <c r="L4" s="10"/>
    </row>
    <row r="5" customFormat="false" ht="15" hidden="false" customHeight="false" outlineLevel="0" collapsed="false">
      <c r="A5" s="4" t="s">
        <v>323</v>
      </c>
      <c r="B5" s="37"/>
      <c r="C5" s="38" t="s">
        <v>324</v>
      </c>
    </row>
    <row r="6" customFormat="false" ht="15" hidden="false" customHeight="false" outlineLevel="0" collapsed="false">
      <c r="A6" s="4" t="s">
        <v>325</v>
      </c>
      <c r="B6" s="37"/>
      <c r="C6" s="39" t="n">
        <v>46388</v>
      </c>
    </row>
    <row r="7" customFormat="false" ht="15" hidden="false" customHeight="false" outlineLevel="0" collapsed="false">
      <c r="A7" s="4" t="s">
        <v>326</v>
      </c>
      <c r="B7" s="37" t="s">
        <v>327</v>
      </c>
      <c r="C7" s="40" t="n">
        <v>51.5</v>
      </c>
      <c r="D7" s="33" t="s">
        <v>328</v>
      </c>
    </row>
    <row r="8" customFormat="false" ht="15" hidden="false" customHeight="false" outlineLevel="0" collapsed="false">
      <c r="A8" s="4" t="s">
        <v>329</v>
      </c>
      <c r="B8" s="37" t="s">
        <v>330</v>
      </c>
      <c r="C8" s="41" t="n">
        <v>0.06</v>
      </c>
      <c r="D8" s="33" t="s">
        <v>331</v>
      </c>
    </row>
    <row r="9" customFormat="false" ht="15" hidden="false" customHeight="false" outlineLevel="0" collapsed="false">
      <c r="A9" s="29" t="s">
        <v>332</v>
      </c>
    </row>
    <row r="11" customFormat="false" ht="15" hidden="false" customHeight="false" outlineLevel="0" collapsed="false">
      <c r="A11" s="9" t="s">
        <v>333</v>
      </c>
      <c r="B11" s="10"/>
      <c r="C11" s="10"/>
      <c r="D11" s="10"/>
      <c r="E11" s="10"/>
      <c r="F11" s="10"/>
      <c r="G11" s="10"/>
      <c r="H11" s="10"/>
      <c r="I11" s="10"/>
      <c r="J11" s="10"/>
      <c r="K11" s="10"/>
      <c r="L11" s="10"/>
    </row>
    <row r="12" customFormat="false" ht="15" hidden="false" customHeight="false" outlineLevel="0" collapsed="false">
      <c r="A12" s="29" t="s">
        <v>334</v>
      </c>
    </row>
    <row r="13" customFormat="false" ht="15" hidden="false" customHeight="false" outlineLevel="0" collapsed="false">
      <c r="A13" s="4" t="s">
        <v>335</v>
      </c>
      <c r="B13" s="37" t="s">
        <v>336</v>
      </c>
      <c r="C13" s="32" t="n">
        <v>0</v>
      </c>
    </row>
    <row r="14" customFormat="false" ht="15" hidden="false" customHeight="false" outlineLevel="0" collapsed="false">
      <c r="A14" s="4" t="s">
        <v>115</v>
      </c>
      <c r="B14" s="37" t="s">
        <v>336</v>
      </c>
      <c r="C14" s="32" t="n">
        <v>0</v>
      </c>
    </row>
    <row r="15" customFormat="false" ht="15" hidden="false" customHeight="false" outlineLevel="0" collapsed="false">
      <c r="A15" s="4" t="s">
        <v>117</v>
      </c>
      <c r="B15" s="37" t="s">
        <v>336</v>
      </c>
      <c r="C15" s="32" t="n">
        <v>0</v>
      </c>
    </row>
    <row r="16" customFormat="false" ht="15" hidden="false" customHeight="false" outlineLevel="0" collapsed="false">
      <c r="A16" s="4" t="s">
        <v>118</v>
      </c>
      <c r="B16" s="37" t="s">
        <v>336</v>
      </c>
      <c r="C16" s="32" t="n">
        <v>0</v>
      </c>
    </row>
    <row r="17" customFormat="false" ht="15" hidden="false" customHeight="false" outlineLevel="0" collapsed="false">
      <c r="A17" s="4" t="s">
        <v>337</v>
      </c>
      <c r="B17" s="37" t="s">
        <v>324</v>
      </c>
      <c r="C17" s="31" t="n">
        <v>0</v>
      </c>
    </row>
    <row r="18" customFormat="false" ht="15" hidden="false" customHeight="false" outlineLevel="0" collapsed="false">
      <c r="A18" s="4" t="s">
        <v>338</v>
      </c>
      <c r="B18" s="37" t="s">
        <v>324</v>
      </c>
      <c r="C18" s="42" t="n">
        <f aca="false">C17</f>
        <v>0</v>
      </c>
    </row>
    <row r="19" customFormat="false" ht="15" hidden="false" customHeight="false" outlineLevel="0" collapsed="false">
      <c r="A19" s="4" t="s">
        <v>339</v>
      </c>
      <c r="B19" s="37" t="s">
        <v>327</v>
      </c>
      <c r="C19" s="32" t="n">
        <v>3000000</v>
      </c>
      <c r="D19" s="33" t="s">
        <v>340</v>
      </c>
    </row>
    <row r="20" customFormat="false" ht="15" hidden="false" customHeight="false" outlineLevel="0" collapsed="false">
      <c r="A20" s="4" t="s">
        <v>341</v>
      </c>
      <c r="B20" s="37" t="s">
        <v>324</v>
      </c>
      <c r="C20" s="42" t="n">
        <f aca="false">C19/C7</f>
        <v>58252.427184466</v>
      </c>
    </row>
    <row r="22" customFormat="false" ht="15" hidden="false" customHeight="false" outlineLevel="0" collapsed="false">
      <c r="A22" s="9" t="s">
        <v>342</v>
      </c>
      <c r="B22" s="10"/>
      <c r="C22" s="10"/>
      <c r="D22" s="10"/>
      <c r="E22" s="10"/>
      <c r="F22" s="10"/>
      <c r="G22" s="10"/>
      <c r="H22" s="10"/>
      <c r="I22" s="10"/>
      <c r="J22" s="10"/>
      <c r="K22" s="10"/>
      <c r="L22" s="10"/>
    </row>
    <row r="23" customFormat="false" ht="15" hidden="false" customHeight="false" outlineLevel="0" collapsed="false">
      <c r="A23" s="29" t="s">
        <v>343</v>
      </c>
    </row>
    <row r="24" customFormat="false" ht="36" hidden="false" customHeight="true" outlineLevel="0" collapsed="false">
      <c r="A24" s="11" t="s">
        <v>344</v>
      </c>
      <c r="B24" s="12" t="s">
        <v>345</v>
      </c>
      <c r="C24" s="12" t="s">
        <v>346</v>
      </c>
      <c r="D24" s="12" t="s">
        <v>347</v>
      </c>
      <c r="E24" s="12" t="s">
        <v>348</v>
      </c>
      <c r="F24" s="12" t="s">
        <v>349</v>
      </c>
      <c r="G24" s="12" t="s">
        <v>350</v>
      </c>
      <c r="H24" s="12" t="s">
        <v>351</v>
      </c>
      <c r="I24" s="12" t="s">
        <v>352</v>
      </c>
      <c r="J24" s="12" t="s">
        <v>353</v>
      </c>
      <c r="K24" s="12" t="s">
        <v>354</v>
      </c>
    </row>
    <row r="25" customFormat="false" ht="15" hidden="false" customHeight="false" outlineLevel="0" collapsed="false">
      <c r="A25" s="4" t="s">
        <v>355</v>
      </c>
      <c r="B25" s="37" t="s">
        <v>324</v>
      </c>
      <c r="C25" s="31" t="n">
        <v>800</v>
      </c>
      <c r="D25" s="31" t="n">
        <v>2000</v>
      </c>
      <c r="E25" s="31" t="n">
        <v>3600</v>
      </c>
      <c r="F25" s="31" t="n">
        <v>5200</v>
      </c>
      <c r="G25" s="31" t="n">
        <v>6800</v>
      </c>
      <c r="H25" s="43" t="n">
        <v>0.1</v>
      </c>
      <c r="I25" s="41" t="n">
        <v>0.22</v>
      </c>
      <c r="J25" s="41" t="n">
        <v>0.07</v>
      </c>
      <c r="K25" s="44" t="n">
        <v>0.026</v>
      </c>
    </row>
    <row r="26" customFormat="false" ht="15" hidden="false" customHeight="false" outlineLevel="0" collapsed="false">
      <c r="A26" s="4" t="s">
        <v>356</v>
      </c>
      <c r="B26" s="37" t="s">
        <v>324</v>
      </c>
      <c r="C26" s="31" t="n">
        <v>500</v>
      </c>
      <c r="D26" s="31" t="n">
        <v>1300</v>
      </c>
      <c r="E26" s="31" t="n">
        <v>2300</v>
      </c>
      <c r="F26" s="31" t="n">
        <v>3300</v>
      </c>
      <c r="G26" s="31" t="n">
        <v>4300</v>
      </c>
      <c r="H26" s="43" t="n">
        <v>0.22</v>
      </c>
      <c r="I26" s="41" t="n">
        <v>0.1</v>
      </c>
      <c r="J26" s="41" t="n">
        <v>0.03</v>
      </c>
      <c r="K26" s="44" t="n">
        <v>0.05</v>
      </c>
    </row>
    <row r="27" customFormat="false" ht="15" hidden="false" customHeight="false" outlineLevel="0" collapsed="false">
      <c r="A27" s="4" t="s">
        <v>357</v>
      </c>
      <c r="B27" s="37" t="s">
        <v>324</v>
      </c>
      <c r="C27" s="31" t="n">
        <v>300</v>
      </c>
      <c r="D27" s="31" t="n">
        <v>700</v>
      </c>
      <c r="E27" s="31" t="n">
        <v>1300</v>
      </c>
      <c r="F27" s="31" t="n">
        <v>1900</v>
      </c>
      <c r="G27" s="31" t="n">
        <v>2400</v>
      </c>
      <c r="H27" s="43" t="n">
        <v>0.06</v>
      </c>
      <c r="I27" s="41" t="n">
        <v>0.3</v>
      </c>
      <c r="J27" s="41" t="n">
        <v>0.09</v>
      </c>
      <c r="K27" s="44" t="n">
        <v>0.014</v>
      </c>
    </row>
    <row r="28" customFormat="false" ht="15" hidden="false" customHeight="false" outlineLevel="0" collapsed="false">
      <c r="A28" s="4" t="s">
        <v>358</v>
      </c>
      <c r="B28" s="37" t="s">
        <v>324</v>
      </c>
      <c r="C28" s="31" t="n">
        <v>200</v>
      </c>
      <c r="D28" s="31" t="n">
        <v>450</v>
      </c>
      <c r="E28" s="31" t="n">
        <v>800</v>
      </c>
      <c r="F28" s="31" t="n">
        <v>1100</v>
      </c>
      <c r="G28" s="31" t="n">
        <v>1400</v>
      </c>
      <c r="H28" s="43" t="n">
        <v>0.14</v>
      </c>
      <c r="I28" s="41" t="n">
        <v>0.04</v>
      </c>
      <c r="J28" s="41" t="n">
        <v>0.02</v>
      </c>
      <c r="K28" s="44" t="n">
        <v>0.07</v>
      </c>
    </row>
    <row r="29" customFormat="false" ht="15" hidden="false" customHeight="false" outlineLevel="0" collapsed="false">
      <c r="A29" s="4" t="s">
        <v>359</v>
      </c>
      <c r="B29" s="37" t="s">
        <v>324</v>
      </c>
      <c r="C29" s="31" t="n">
        <v>833</v>
      </c>
      <c r="D29" s="31" t="n">
        <v>1500</v>
      </c>
      <c r="E29" s="31" t="n">
        <v>2400</v>
      </c>
      <c r="F29" s="31" t="n">
        <v>3200</v>
      </c>
      <c r="G29" s="31" t="n">
        <v>4000</v>
      </c>
      <c r="H29" s="43" t="n">
        <v>0.3</v>
      </c>
      <c r="I29" s="41" t="n">
        <v>0.3</v>
      </c>
      <c r="J29" s="41" t="n">
        <v>0.05</v>
      </c>
      <c r="K29" s="44" t="n">
        <v>0.03</v>
      </c>
    </row>
    <row r="30" customFormat="false" ht="15" hidden="false" customHeight="false" outlineLevel="0" collapsed="false">
      <c r="A30" s="4" t="s">
        <v>360</v>
      </c>
      <c r="B30" s="37" t="s">
        <v>324</v>
      </c>
      <c r="C30" s="31" t="n">
        <v>417</v>
      </c>
      <c r="D30" s="31" t="n">
        <v>900</v>
      </c>
      <c r="E30" s="31" t="n">
        <v>1500</v>
      </c>
      <c r="F30" s="31" t="n">
        <v>2100</v>
      </c>
      <c r="G30" s="31" t="n">
        <v>2700</v>
      </c>
      <c r="H30" s="43" t="n">
        <v>0.45</v>
      </c>
      <c r="I30" s="41" t="n">
        <v>0</v>
      </c>
      <c r="J30" s="41" t="n">
        <v>0.04</v>
      </c>
      <c r="K30" s="44" t="n">
        <v>0.1</v>
      </c>
    </row>
    <row r="31" customFormat="false" ht="15" hidden="false" customHeight="false" outlineLevel="0" collapsed="false">
      <c r="A31" s="4" t="s">
        <v>361</v>
      </c>
      <c r="B31" s="37" t="s">
        <v>324</v>
      </c>
      <c r="C31" s="31" t="n">
        <v>300</v>
      </c>
      <c r="D31" s="31" t="n">
        <v>650</v>
      </c>
      <c r="E31" s="31" t="n">
        <v>1100</v>
      </c>
      <c r="F31" s="31" t="n">
        <v>1500</v>
      </c>
      <c r="G31" s="31" t="n">
        <v>1900</v>
      </c>
      <c r="H31" s="43" t="n">
        <v>0.12</v>
      </c>
      <c r="I31" s="41" t="n">
        <v>0.12</v>
      </c>
      <c r="J31" s="41" t="n">
        <v>0.04</v>
      </c>
      <c r="K31" s="44" t="n">
        <v>0.035</v>
      </c>
    </row>
    <row r="33" customFormat="false" ht="15" hidden="false" customHeight="false" outlineLevel="0" collapsed="false">
      <c r="A33" s="11" t="s">
        <v>362</v>
      </c>
      <c r="B33" s="12" t="s">
        <v>345</v>
      </c>
      <c r="C33" s="12" t="s">
        <v>87</v>
      </c>
      <c r="D33" s="12" t="s">
        <v>88</v>
      </c>
      <c r="E33" s="12" t="s">
        <v>89</v>
      </c>
      <c r="F33" s="12" t="s">
        <v>90</v>
      </c>
      <c r="G33" s="12" t="s">
        <v>91</v>
      </c>
    </row>
    <row r="34" customFormat="false" ht="15" hidden="false" customHeight="false" outlineLevel="0" collapsed="false">
      <c r="A34" s="4" t="s">
        <v>363</v>
      </c>
      <c r="B34" s="37" t="s">
        <v>330</v>
      </c>
      <c r="C34" s="41" t="n">
        <v>0</v>
      </c>
      <c r="D34" s="41" t="n">
        <v>0.1</v>
      </c>
      <c r="E34" s="41" t="n">
        <v>0.1</v>
      </c>
      <c r="F34" s="41" t="n">
        <v>0.1</v>
      </c>
      <c r="G34" s="41" t="n">
        <v>0.1</v>
      </c>
      <c r="H34" s="33" t="s">
        <v>364</v>
      </c>
    </row>
    <row r="35" customFormat="false" ht="15" hidden="false" customHeight="false" outlineLevel="0" collapsed="false">
      <c r="A35" s="4" t="s">
        <v>365</v>
      </c>
      <c r="B35" s="37" t="s">
        <v>366</v>
      </c>
      <c r="C35" s="45" t="n">
        <f aca="false">1+C34</f>
        <v>1</v>
      </c>
      <c r="D35" s="45" t="n">
        <f aca="false">C35*(1+D34)</f>
        <v>1.1</v>
      </c>
      <c r="E35" s="45" t="n">
        <f aca="false">D35*(1+E34)</f>
        <v>1.21</v>
      </c>
      <c r="F35" s="45" t="n">
        <f aca="false">E35*(1+F34)</f>
        <v>1.331</v>
      </c>
      <c r="G35" s="45" t="n">
        <f aca="false">F35*(1+G34)</f>
        <v>1.4641</v>
      </c>
    </row>
    <row r="37" customFormat="false" ht="15" hidden="false" customHeight="false" outlineLevel="0" collapsed="false">
      <c r="A37" s="11" t="s">
        <v>367</v>
      </c>
      <c r="B37" s="12" t="s">
        <v>345</v>
      </c>
      <c r="C37" s="12" t="s">
        <v>87</v>
      </c>
      <c r="D37" s="12" t="s">
        <v>88</v>
      </c>
      <c r="E37" s="12" t="s">
        <v>89</v>
      </c>
      <c r="F37" s="12" t="s">
        <v>90</v>
      </c>
      <c r="G37" s="12" t="s">
        <v>91</v>
      </c>
    </row>
    <row r="38" customFormat="false" ht="15" hidden="false" customHeight="false" outlineLevel="0" collapsed="false">
      <c r="A38" s="4" t="s">
        <v>368</v>
      </c>
      <c r="B38" s="37" t="s">
        <v>330</v>
      </c>
      <c r="C38" s="41" t="n">
        <v>0.38</v>
      </c>
      <c r="D38" s="41" t="n">
        <v>0.4</v>
      </c>
      <c r="E38" s="41" t="n">
        <v>0.42</v>
      </c>
      <c r="F38" s="41" t="n">
        <v>0.43</v>
      </c>
      <c r="G38" s="41" t="n">
        <v>0.44</v>
      </c>
    </row>
    <row r="39" customFormat="false" ht="15" hidden="false" customHeight="false" outlineLevel="0" collapsed="false">
      <c r="A39" s="4" t="s">
        <v>369</v>
      </c>
      <c r="B39" s="37" t="s">
        <v>330</v>
      </c>
      <c r="C39" s="41" t="n">
        <v>0.07</v>
      </c>
      <c r="D39" s="41" t="n">
        <v>0.08</v>
      </c>
      <c r="E39" s="41" t="n">
        <v>0.09</v>
      </c>
      <c r="F39" s="41" t="n">
        <v>0.1</v>
      </c>
      <c r="G39" s="41" t="n">
        <v>0.1</v>
      </c>
    </row>
    <row r="40" customFormat="false" ht="15" hidden="false" customHeight="false" outlineLevel="0" collapsed="false">
      <c r="A40" s="4" t="s">
        <v>370</v>
      </c>
      <c r="B40" s="37" t="s">
        <v>330</v>
      </c>
      <c r="C40" s="41" t="n">
        <v>0.015</v>
      </c>
      <c r="D40" s="41" t="n">
        <v>0.02</v>
      </c>
      <c r="E40" s="41" t="n">
        <v>0.025</v>
      </c>
      <c r="F40" s="41" t="n">
        <v>0.03</v>
      </c>
      <c r="G40" s="41" t="n">
        <v>0.03</v>
      </c>
    </row>
    <row r="41" customFormat="false" ht="15" hidden="false" customHeight="false" outlineLevel="0" collapsed="false">
      <c r="A41" s="4" t="s">
        <v>371</v>
      </c>
      <c r="B41" s="37" t="s">
        <v>330</v>
      </c>
      <c r="C41" s="41" t="n">
        <v>0.03</v>
      </c>
      <c r="D41" s="41" t="n">
        <v>0.035</v>
      </c>
      <c r="E41" s="41" t="n">
        <v>0.04</v>
      </c>
      <c r="F41" s="41" t="n">
        <v>0.04</v>
      </c>
      <c r="G41" s="41" t="n">
        <v>0.04</v>
      </c>
    </row>
    <row r="42" customFormat="false" ht="15" hidden="false" customHeight="false" outlineLevel="0" collapsed="false">
      <c r="A42" s="4" t="s">
        <v>372</v>
      </c>
      <c r="B42" s="37" t="s">
        <v>330</v>
      </c>
      <c r="C42" s="41" t="n">
        <v>0.22</v>
      </c>
      <c r="D42" s="41" t="n">
        <v>0.24</v>
      </c>
      <c r="E42" s="41" t="n">
        <v>0.26</v>
      </c>
      <c r="F42" s="41" t="n">
        <v>0.27</v>
      </c>
      <c r="G42" s="41" t="n">
        <v>0.28</v>
      </c>
    </row>
    <row r="43" customFormat="false" ht="15" hidden="false" customHeight="false" outlineLevel="0" collapsed="false">
      <c r="A43" s="4" t="s">
        <v>373</v>
      </c>
      <c r="B43" s="37" t="s">
        <v>330</v>
      </c>
      <c r="C43" s="41" t="n">
        <v>0.28</v>
      </c>
      <c r="D43" s="41" t="n">
        <v>0.3</v>
      </c>
      <c r="E43" s="41" t="n">
        <v>0.32</v>
      </c>
      <c r="F43" s="41" t="n">
        <v>0.33</v>
      </c>
      <c r="G43" s="41" t="n">
        <v>0.34</v>
      </c>
    </row>
    <row r="44" customFormat="false" ht="15" hidden="false" customHeight="false" outlineLevel="0" collapsed="false">
      <c r="A44" s="4" t="s">
        <v>374</v>
      </c>
      <c r="B44" s="37" t="s">
        <v>330</v>
      </c>
      <c r="C44" s="41" t="n">
        <v>0.5</v>
      </c>
      <c r="D44" s="41" t="n">
        <v>0.5</v>
      </c>
      <c r="E44" s="41" t="n">
        <v>0.5</v>
      </c>
      <c r="F44" s="41" t="n">
        <v>0.5</v>
      </c>
      <c r="G44" s="41" t="n">
        <v>0.5</v>
      </c>
    </row>
    <row r="46" customFormat="false" ht="15" hidden="false" customHeight="false" outlineLevel="0" collapsed="false">
      <c r="A46" s="9" t="s">
        <v>375</v>
      </c>
      <c r="B46" s="10"/>
      <c r="C46" s="10"/>
      <c r="D46" s="10"/>
      <c r="E46" s="10"/>
      <c r="F46" s="10"/>
      <c r="G46" s="10"/>
      <c r="H46" s="10"/>
      <c r="I46" s="10"/>
      <c r="J46" s="10"/>
      <c r="K46" s="10"/>
      <c r="L46" s="10"/>
    </row>
    <row r="47" customFormat="false" ht="15" hidden="false" customHeight="false" outlineLevel="0" collapsed="false">
      <c r="A47" s="29" t="s">
        <v>376</v>
      </c>
    </row>
    <row r="48" customFormat="false" ht="36" hidden="false" customHeight="true" outlineLevel="0" collapsed="false">
      <c r="A48" s="11" t="s">
        <v>377</v>
      </c>
      <c r="B48" s="12" t="s">
        <v>345</v>
      </c>
      <c r="C48" s="12" t="s">
        <v>378</v>
      </c>
      <c r="D48" s="12" t="s">
        <v>347</v>
      </c>
      <c r="E48" s="12" t="s">
        <v>348</v>
      </c>
      <c r="F48" s="12" t="s">
        <v>349</v>
      </c>
      <c r="G48" s="12" t="s">
        <v>350</v>
      </c>
      <c r="H48" s="12" t="s">
        <v>379</v>
      </c>
      <c r="I48" s="12" t="s">
        <v>380</v>
      </c>
      <c r="J48" s="12" t="s">
        <v>381</v>
      </c>
    </row>
    <row r="49" customFormat="false" ht="15" hidden="false" customHeight="false" outlineLevel="0" collapsed="false">
      <c r="A49" s="4" t="s">
        <v>382</v>
      </c>
      <c r="B49" s="37" t="s">
        <v>336</v>
      </c>
      <c r="C49" s="46" t="n">
        <v>4</v>
      </c>
      <c r="D49" s="46" t="n">
        <v>8</v>
      </c>
      <c r="E49" s="46" t="n">
        <v>12</v>
      </c>
      <c r="F49" s="46" t="n">
        <v>16</v>
      </c>
      <c r="G49" s="46" t="n">
        <v>20</v>
      </c>
      <c r="H49" s="31" t="n">
        <v>60</v>
      </c>
      <c r="I49" s="47" t="n">
        <v>28</v>
      </c>
      <c r="J49" s="47" t="n">
        <v>3</v>
      </c>
    </row>
    <row r="50" customFormat="false" ht="15" hidden="false" customHeight="false" outlineLevel="0" collapsed="false">
      <c r="A50" s="4" t="s">
        <v>383</v>
      </c>
      <c r="B50" s="37" t="s">
        <v>336</v>
      </c>
      <c r="C50" s="46" t="n">
        <v>1</v>
      </c>
      <c r="D50" s="46" t="n">
        <v>2</v>
      </c>
      <c r="E50" s="46" t="n">
        <v>3</v>
      </c>
      <c r="F50" s="46" t="n">
        <v>4</v>
      </c>
      <c r="G50" s="46" t="n">
        <v>5</v>
      </c>
      <c r="H50" s="31" t="n">
        <v>350</v>
      </c>
      <c r="I50" s="47" t="n">
        <v>45</v>
      </c>
      <c r="J50" s="47" t="n">
        <v>5</v>
      </c>
    </row>
    <row r="51" customFormat="false" ht="15" hidden="false" customHeight="false" outlineLevel="0" collapsed="false">
      <c r="A51" s="4" t="s">
        <v>384</v>
      </c>
      <c r="B51" s="37" t="s">
        <v>336</v>
      </c>
      <c r="C51" s="46" t="n">
        <v>0.25</v>
      </c>
      <c r="D51" s="46" t="n">
        <v>0.5</v>
      </c>
      <c r="E51" s="46" t="n">
        <v>0.75</v>
      </c>
      <c r="F51" s="46" t="n">
        <v>1</v>
      </c>
      <c r="G51" s="46" t="n">
        <v>1.25</v>
      </c>
      <c r="H51" s="31" t="n">
        <v>1600</v>
      </c>
      <c r="I51" s="47" t="n">
        <v>140</v>
      </c>
      <c r="J51" s="47" t="n">
        <v>22</v>
      </c>
    </row>
    <row r="52" customFormat="false" ht="15" hidden="false" customHeight="false" outlineLevel="0" collapsed="false">
      <c r="A52" s="4" t="s">
        <v>385</v>
      </c>
      <c r="B52" s="37" t="s">
        <v>336</v>
      </c>
      <c r="C52" s="46" t="n">
        <v>2</v>
      </c>
      <c r="D52" s="46" t="n">
        <v>4</v>
      </c>
      <c r="E52" s="46" t="n">
        <v>6</v>
      </c>
      <c r="F52" s="46" t="n">
        <v>8</v>
      </c>
      <c r="G52" s="46" t="n">
        <v>10</v>
      </c>
      <c r="H52" s="31" t="n">
        <v>120</v>
      </c>
      <c r="I52" s="47" t="n">
        <v>14</v>
      </c>
      <c r="J52" s="47" t="n">
        <v>2</v>
      </c>
    </row>
    <row r="53" customFormat="false" ht="15" hidden="false" customHeight="false" outlineLevel="0" collapsed="false">
      <c r="A53" s="4" t="s">
        <v>386</v>
      </c>
      <c r="B53" s="37" t="s">
        <v>336</v>
      </c>
      <c r="C53" s="46" t="n">
        <v>0</v>
      </c>
      <c r="D53" s="46" t="n">
        <v>0.5</v>
      </c>
      <c r="E53" s="46" t="n">
        <v>1</v>
      </c>
      <c r="F53" s="46" t="n">
        <v>1.5</v>
      </c>
      <c r="G53" s="46" t="n">
        <v>2</v>
      </c>
      <c r="H53" s="31" t="n">
        <v>900</v>
      </c>
      <c r="I53" s="47" t="n">
        <v>70</v>
      </c>
      <c r="J53" s="47" t="n">
        <v>9</v>
      </c>
    </row>
    <row r="54" customFormat="false" ht="15" hidden="false" customHeight="false" outlineLevel="0" collapsed="false">
      <c r="A54" s="4" t="s">
        <v>387</v>
      </c>
      <c r="B54" s="37" t="s">
        <v>336</v>
      </c>
      <c r="C54" s="46" t="n">
        <v>900</v>
      </c>
      <c r="D54" s="46" t="n">
        <v>1500</v>
      </c>
      <c r="E54" s="46" t="n">
        <v>2300</v>
      </c>
      <c r="F54" s="46" t="n">
        <v>3100</v>
      </c>
      <c r="G54" s="46" t="n">
        <v>3900</v>
      </c>
      <c r="H54" s="31" t="n">
        <v>0</v>
      </c>
      <c r="I54" s="47" t="n">
        <v>0.01</v>
      </c>
      <c r="J54" s="47" t="n">
        <v>0.02</v>
      </c>
    </row>
    <row r="56" customFormat="false" ht="15" hidden="false" customHeight="false" outlineLevel="0" collapsed="false">
      <c r="A56" s="9" t="s">
        <v>388</v>
      </c>
      <c r="B56" s="10"/>
      <c r="C56" s="10"/>
      <c r="D56" s="10"/>
      <c r="E56" s="10"/>
      <c r="F56" s="10"/>
      <c r="G56" s="10"/>
      <c r="H56" s="10"/>
      <c r="I56" s="10"/>
      <c r="J56" s="10"/>
      <c r="K56" s="10"/>
      <c r="L56" s="10"/>
    </row>
    <row r="57" customFormat="false" ht="15" hidden="false" customHeight="false" outlineLevel="0" collapsed="false">
      <c r="A57" s="29" t="s">
        <v>389</v>
      </c>
    </row>
    <row r="58" customFormat="false" ht="36" hidden="false" customHeight="true" outlineLevel="0" collapsed="false">
      <c r="A58" s="11" t="s">
        <v>390</v>
      </c>
      <c r="B58" s="12" t="s">
        <v>345</v>
      </c>
      <c r="C58" s="12" t="s">
        <v>391</v>
      </c>
      <c r="D58" s="12" t="s">
        <v>392</v>
      </c>
      <c r="E58" s="12" t="s">
        <v>393</v>
      </c>
      <c r="F58" s="12" t="s">
        <v>394</v>
      </c>
      <c r="G58" s="12" t="s">
        <v>395</v>
      </c>
      <c r="H58" s="12" t="s">
        <v>396</v>
      </c>
      <c r="I58" s="12" t="s">
        <v>397</v>
      </c>
    </row>
    <row r="59" customFormat="false" ht="15" hidden="false" customHeight="false" outlineLevel="0" collapsed="false">
      <c r="A59" s="4" t="s">
        <v>398</v>
      </c>
      <c r="B59" s="37"/>
      <c r="C59" s="41" t="n">
        <v>0.5</v>
      </c>
      <c r="D59" s="41" t="n">
        <v>0.32</v>
      </c>
      <c r="E59" s="41" t="n">
        <v>0.3</v>
      </c>
      <c r="F59" s="48" t="n">
        <v>1</v>
      </c>
      <c r="G59" s="41" t="n">
        <v>0.88</v>
      </c>
      <c r="H59" s="41" t="n">
        <v>0.12</v>
      </c>
      <c r="I59" s="41" t="n">
        <v>0</v>
      </c>
    </row>
    <row r="60" customFormat="false" ht="15" hidden="false" customHeight="false" outlineLevel="0" collapsed="false">
      <c r="A60" s="4" t="s">
        <v>399</v>
      </c>
      <c r="B60" s="37"/>
      <c r="C60" s="41" t="n">
        <v>0.38</v>
      </c>
      <c r="D60" s="41" t="n">
        <v>0.28</v>
      </c>
      <c r="E60" s="41" t="n">
        <v>0.26</v>
      </c>
      <c r="F60" s="48" t="n">
        <v>1</v>
      </c>
      <c r="G60" s="41" t="n">
        <v>0.25</v>
      </c>
      <c r="H60" s="41" t="n">
        <v>0.73</v>
      </c>
      <c r="I60" s="41" t="n">
        <v>0.02</v>
      </c>
    </row>
    <row r="61" customFormat="false" ht="15" hidden="false" customHeight="false" outlineLevel="0" collapsed="false">
      <c r="A61" s="4" t="s">
        <v>400</v>
      </c>
      <c r="B61" s="37"/>
      <c r="C61" s="41" t="n">
        <v>0.12</v>
      </c>
      <c r="D61" s="41" t="n">
        <v>0.18</v>
      </c>
      <c r="E61" s="41" t="n">
        <v>0.16</v>
      </c>
      <c r="F61" s="48" t="n">
        <v>3</v>
      </c>
      <c r="G61" s="41" t="n">
        <v>0</v>
      </c>
      <c r="H61" s="41" t="n">
        <v>0.3</v>
      </c>
      <c r="I61" s="41" t="n">
        <v>0.7</v>
      </c>
    </row>
    <row r="62" customFormat="false" ht="15" hidden="false" customHeight="false" outlineLevel="0" collapsed="false">
      <c r="A62" s="4" t="s">
        <v>401</v>
      </c>
      <c r="C62" s="49" t="n">
        <f aca="false">SUM(C59:C61)</f>
        <v>1</v>
      </c>
    </row>
    <row r="64" customFormat="false" ht="15" hidden="false" customHeight="false" outlineLevel="0" collapsed="false">
      <c r="A64" s="11" t="s">
        <v>402</v>
      </c>
      <c r="B64" s="12" t="s">
        <v>345</v>
      </c>
      <c r="C64" s="12" t="s">
        <v>87</v>
      </c>
      <c r="D64" s="12" t="s">
        <v>88</v>
      </c>
      <c r="E64" s="12" t="s">
        <v>89</v>
      </c>
      <c r="F64" s="12" t="s">
        <v>90</v>
      </c>
      <c r="G64" s="12" t="s">
        <v>91</v>
      </c>
    </row>
    <row r="65" customFormat="false" ht="15" hidden="false" customHeight="false" outlineLevel="0" collapsed="false">
      <c r="A65" s="4" t="s">
        <v>403</v>
      </c>
      <c r="B65" s="37" t="s">
        <v>366</v>
      </c>
      <c r="C65" s="50" t="n">
        <v>1</v>
      </c>
      <c r="D65" s="50" t="n">
        <v>1.1</v>
      </c>
      <c r="E65" s="50" t="n">
        <v>1.18</v>
      </c>
      <c r="F65" s="50" t="n">
        <v>1.24</v>
      </c>
      <c r="G65" s="50" t="n">
        <v>1.28</v>
      </c>
    </row>
    <row r="67" customFormat="false" ht="15" hidden="false" customHeight="false" outlineLevel="0" collapsed="false">
      <c r="A67" s="9" t="s">
        <v>404</v>
      </c>
      <c r="B67" s="10"/>
      <c r="C67" s="10"/>
      <c r="D67" s="10"/>
      <c r="E67" s="10"/>
      <c r="F67" s="10"/>
      <c r="G67" s="10"/>
      <c r="H67" s="10"/>
      <c r="I67" s="10"/>
      <c r="J67" s="10"/>
      <c r="K67" s="10"/>
      <c r="L67" s="10"/>
    </row>
    <row r="68" customFormat="false" ht="15" hidden="false" customHeight="false" outlineLevel="0" collapsed="false">
      <c r="A68" s="29" t="s">
        <v>405</v>
      </c>
    </row>
    <row r="69" customFormat="false" ht="15" hidden="false" customHeight="false" outlineLevel="0" collapsed="false">
      <c r="A69" s="11" t="s">
        <v>406</v>
      </c>
      <c r="B69" s="12" t="s">
        <v>345</v>
      </c>
      <c r="C69" s="12" t="s">
        <v>87</v>
      </c>
      <c r="D69" s="12" t="s">
        <v>88</v>
      </c>
      <c r="E69" s="12" t="s">
        <v>89</v>
      </c>
      <c r="F69" s="12" t="s">
        <v>90</v>
      </c>
      <c r="G69" s="12" t="s">
        <v>91</v>
      </c>
    </row>
    <row r="70" customFormat="false" ht="15" hidden="false" customHeight="false" outlineLevel="0" collapsed="false">
      <c r="A70" s="4" t="s">
        <v>407</v>
      </c>
      <c r="B70" s="37" t="s">
        <v>330</v>
      </c>
      <c r="C70" s="44" t="n">
        <v>0.003</v>
      </c>
      <c r="D70" s="44" t="n">
        <v>0.0035</v>
      </c>
      <c r="E70" s="44" t="n">
        <v>0.004</v>
      </c>
      <c r="F70" s="44" t="n">
        <v>0.0045</v>
      </c>
      <c r="G70" s="44" t="n">
        <v>0.0045</v>
      </c>
    </row>
    <row r="71" customFormat="false" ht="15" hidden="false" customHeight="false" outlineLevel="0" collapsed="false">
      <c r="A71" s="4" t="s">
        <v>408</v>
      </c>
      <c r="B71" s="37" t="s">
        <v>330</v>
      </c>
      <c r="C71" s="44" t="n">
        <v>0.0004</v>
      </c>
      <c r="D71" s="44" t="n">
        <v>0.0005</v>
      </c>
      <c r="E71" s="44" t="n">
        <v>0.0006</v>
      </c>
      <c r="F71" s="44" t="n">
        <v>0.0007</v>
      </c>
      <c r="G71" s="44" t="n">
        <v>0.0007</v>
      </c>
    </row>
    <row r="72" customFormat="false" ht="15" hidden="false" customHeight="false" outlineLevel="0" collapsed="false">
      <c r="A72" s="4" t="s">
        <v>409</v>
      </c>
      <c r="B72" s="37" t="s">
        <v>330</v>
      </c>
      <c r="C72" s="44" t="n">
        <v>0.01</v>
      </c>
      <c r="D72" s="44" t="n">
        <v>0.011</v>
      </c>
      <c r="E72" s="44" t="n">
        <v>0.012</v>
      </c>
      <c r="F72" s="44" t="n">
        <v>0.012</v>
      </c>
      <c r="G72" s="44" t="n">
        <v>0.012</v>
      </c>
    </row>
    <row r="73" customFormat="false" ht="15" hidden="false" customHeight="false" outlineLevel="0" collapsed="false">
      <c r="A73" s="4" t="s">
        <v>410</v>
      </c>
      <c r="B73" s="37" t="s">
        <v>330</v>
      </c>
      <c r="C73" s="44" t="n">
        <v>0.001</v>
      </c>
      <c r="D73" s="44" t="n">
        <v>0.0015</v>
      </c>
      <c r="E73" s="44" t="n">
        <v>0.002</v>
      </c>
      <c r="F73" s="44" t="n">
        <v>0.002</v>
      </c>
      <c r="G73" s="44" t="n">
        <v>0.002</v>
      </c>
    </row>
    <row r="74" customFormat="false" ht="15" hidden="false" customHeight="false" outlineLevel="0" collapsed="false">
      <c r="A74" s="4" t="s">
        <v>411</v>
      </c>
      <c r="B74" s="37" t="s">
        <v>330</v>
      </c>
      <c r="C74" s="44" t="n">
        <v>0.035</v>
      </c>
      <c r="D74" s="44" t="n">
        <v>0.03</v>
      </c>
      <c r="E74" s="44" t="n">
        <v>0.027</v>
      </c>
      <c r="F74" s="44" t="n">
        <v>0.025</v>
      </c>
      <c r="G74" s="44" t="n">
        <v>0.024</v>
      </c>
    </row>
    <row r="75" customFormat="false" ht="15" hidden="false" customHeight="false" outlineLevel="0" collapsed="false">
      <c r="A75" s="4" t="s">
        <v>412</v>
      </c>
      <c r="B75" s="37" t="s">
        <v>330</v>
      </c>
      <c r="C75" s="44" t="n">
        <v>0.055</v>
      </c>
      <c r="D75" s="44" t="n">
        <v>0.045</v>
      </c>
      <c r="E75" s="44" t="n">
        <v>0.04</v>
      </c>
      <c r="F75" s="44" t="n">
        <v>0.036</v>
      </c>
      <c r="G75" s="44" t="n">
        <v>0.033</v>
      </c>
    </row>
    <row r="76" customFormat="false" ht="15" hidden="false" customHeight="false" outlineLevel="0" collapsed="false">
      <c r="A76" s="4" t="s">
        <v>413</v>
      </c>
      <c r="B76" s="37" t="s">
        <v>330</v>
      </c>
      <c r="C76" s="44" t="n">
        <v>0.03</v>
      </c>
      <c r="D76" s="44" t="n">
        <v>0.024</v>
      </c>
      <c r="E76" s="44" t="n">
        <v>0.02</v>
      </c>
      <c r="F76" s="44" t="n">
        <v>0.018</v>
      </c>
      <c r="G76" s="44" t="n">
        <v>0.016</v>
      </c>
    </row>
    <row r="77" customFormat="false" ht="15" hidden="false" customHeight="false" outlineLevel="0" collapsed="false">
      <c r="A77" s="4" t="s">
        <v>414</v>
      </c>
      <c r="B77" s="37" t="s">
        <v>330</v>
      </c>
      <c r="C77" s="44" t="n">
        <v>0.01</v>
      </c>
      <c r="D77" s="44" t="n">
        <v>0.008</v>
      </c>
      <c r="E77" s="44" t="n">
        <v>0.007</v>
      </c>
      <c r="F77" s="44" t="n">
        <v>0.006</v>
      </c>
      <c r="G77" s="44" t="n">
        <v>0.005</v>
      </c>
    </row>
    <row r="79" customFormat="false" ht="15" hidden="false" customHeight="false" outlineLevel="0" collapsed="false">
      <c r="A79" s="9" t="s">
        <v>415</v>
      </c>
      <c r="B79" s="10"/>
      <c r="C79" s="10"/>
      <c r="D79" s="10"/>
      <c r="E79" s="10"/>
      <c r="F79" s="10"/>
      <c r="G79" s="10"/>
      <c r="H79" s="10"/>
      <c r="I79" s="10"/>
      <c r="J79" s="10"/>
      <c r="K79" s="10"/>
      <c r="L79" s="10"/>
    </row>
    <row r="80" customFormat="false" ht="15" hidden="false" customHeight="false" outlineLevel="0" collapsed="false">
      <c r="A80" s="29" t="s">
        <v>416</v>
      </c>
    </row>
    <row r="81" customFormat="false" ht="15" hidden="false" customHeight="false" outlineLevel="0" collapsed="false">
      <c r="A81" s="4" t="s">
        <v>417</v>
      </c>
      <c r="B81" s="37" t="s">
        <v>336</v>
      </c>
      <c r="C81" s="32" t="n">
        <v>55</v>
      </c>
    </row>
    <row r="82" customFormat="false" ht="15" hidden="false" customHeight="false" outlineLevel="0" collapsed="false">
      <c r="A82" s="4" t="s">
        <v>418</v>
      </c>
      <c r="B82" s="37" t="s">
        <v>336</v>
      </c>
      <c r="C82" s="32" t="n">
        <v>90</v>
      </c>
    </row>
    <row r="83" customFormat="false" ht="15" hidden="false" customHeight="false" outlineLevel="0" collapsed="false">
      <c r="A83" s="4" t="s">
        <v>419</v>
      </c>
      <c r="B83" s="37" t="s">
        <v>336</v>
      </c>
      <c r="C83" s="47" t="n">
        <v>0.8</v>
      </c>
    </row>
    <row r="84" customFormat="false" ht="15" hidden="false" customHeight="false" outlineLevel="0" collapsed="false">
      <c r="A84" s="4" t="s">
        <v>420</v>
      </c>
      <c r="B84" s="37" t="s">
        <v>336</v>
      </c>
      <c r="C84" s="47" t="n">
        <v>0.05</v>
      </c>
    </row>
    <row r="85" customFormat="false" ht="15" hidden="false" customHeight="false" outlineLevel="0" collapsed="false">
      <c r="A85" s="4" t="s">
        <v>421</v>
      </c>
      <c r="B85" s="37" t="s">
        <v>336</v>
      </c>
      <c r="C85" s="32" t="n">
        <v>550</v>
      </c>
    </row>
    <row r="86" customFormat="false" ht="15" hidden="false" customHeight="false" outlineLevel="0" collapsed="false">
      <c r="A86" s="4" t="s">
        <v>422</v>
      </c>
      <c r="B86" s="37" t="s">
        <v>336</v>
      </c>
      <c r="C86" s="32" t="n">
        <v>600</v>
      </c>
    </row>
    <row r="88" customFormat="false" ht="15" hidden="false" customHeight="false" outlineLevel="0" collapsed="false">
      <c r="A88" s="9" t="s">
        <v>423</v>
      </c>
      <c r="B88" s="10"/>
      <c r="C88" s="10"/>
      <c r="D88" s="10"/>
      <c r="E88" s="10"/>
      <c r="F88" s="10"/>
      <c r="G88" s="10"/>
      <c r="H88" s="10"/>
      <c r="I88" s="10"/>
      <c r="J88" s="10"/>
      <c r="K88" s="10"/>
      <c r="L88" s="10"/>
    </row>
    <row r="89" customFormat="false" ht="15" hidden="false" customHeight="false" outlineLevel="0" collapsed="false">
      <c r="A89" s="29" t="s">
        <v>424</v>
      </c>
    </row>
    <row r="90" customFormat="false" ht="15" hidden="false" customHeight="false" outlineLevel="0" collapsed="false">
      <c r="A90" s="4" t="s">
        <v>425</v>
      </c>
      <c r="B90" s="37" t="s">
        <v>327</v>
      </c>
      <c r="C90" s="32" t="n">
        <v>999</v>
      </c>
      <c r="D90" s="33" t="s">
        <v>426</v>
      </c>
    </row>
    <row r="91" customFormat="false" ht="15" hidden="false" customHeight="false" outlineLevel="0" collapsed="false">
      <c r="A91" s="4" t="s">
        <v>427</v>
      </c>
      <c r="B91" s="37" t="s">
        <v>327</v>
      </c>
      <c r="C91" s="32" t="n">
        <v>2999</v>
      </c>
      <c r="D91" s="33" t="s">
        <v>426</v>
      </c>
    </row>
    <row r="92" customFormat="false" ht="15" hidden="false" customHeight="false" outlineLevel="0" collapsed="false">
      <c r="A92" s="4" t="s">
        <v>428</v>
      </c>
      <c r="B92" s="37" t="s">
        <v>327</v>
      </c>
      <c r="C92" s="32" t="n">
        <v>16000</v>
      </c>
      <c r="D92" s="33" t="s">
        <v>429</v>
      </c>
    </row>
    <row r="93" customFormat="false" ht="15" hidden="false" customHeight="false" outlineLevel="0" collapsed="false">
      <c r="A93" s="4" t="s">
        <v>430</v>
      </c>
      <c r="B93" s="37" t="s">
        <v>330</v>
      </c>
      <c r="C93" s="41" t="n">
        <v>0.2</v>
      </c>
      <c r="D93" s="33" t="s">
        <v>431</v>
      </c>
    </row>
    <row r="94" customFormat="false" ht="15" hidden="false" customHeight="false" outlineLevel="0" collapsed="false">
      <c r="A94" s="11" t="s">
        <v>432</v>
      </c>
      <c r="B94" s="12" t="s">
        <v>345</v>
      </c>
      <c r="C94" s="12" t="s">
        <v>87</v>
      </c>
      <c r="D94" s="12" t="s">
        <v>88</v>
      </c>
      <c r="E94" s="12" t="s">
        <v>89</v>
      </c>
      <c r="F94" s="12" t="s">
        <v>90</v>
      </c>
      <c r="G94" s="12" t="s">
        <v>91</v>
      </c>
    </row>
    <row r="95" customFormat="false" ht="15" hidden="false" customHeight="false" outlineLevel="0" collapsed="false">
      <c r="A95" s="4" t="s">
        <v>433</v>
      </c>
      <c r="B95" s="37" t="s">
        <v>330</v>
      </c>
      <c r="C95" s="41" t="n">
        <v>0</v>
      </c>
      <c r="D95" s="41" t="n">
        <v>0.08</v>
      </c>
      <c r="E95" s="41" t="n">
        <v>0.08</v>
      </c>
      <c r="F95" s="41" t="n">
        <v>0.07</v>
      </c>
      <c r="G95" s="41" t="n">
        <v>0.06</v>
      </c>
      <c r="H95" s="33" t="s">
        <v>434</v>
      </c>
    </row>
    <row r="96" customFormat="false" ht="15" hidden="false" customHeight="false" outlineLevel="0" collapsed="false">
      <c r="A96" s="4" t="s">
        <v>435</v>
      </c>
      <c r="B96" s="37" t="s">
        <v>366</v>
      </c>
      <c r="C96" s="45" t="n">
        <f aca="false">1+C95</f>
        <v>1</v>
      </c>
      <c r="D96" s="45" t="n">
        <f aca="false">C96*(1+D95)</f>
        <v>1.08</v>
      </c>
      <c r="E96" s="45" t="n">
        <f aca="false">D96*(1+E95)</f>
        <v>1.1664</v>
      </c>
      <c r="F96" s="45" t="n">
        <f aca="false">E96*(1+F95)</f>
        <v>1.248048</v>
      </c>
      <c r="G96" s="45" t="n">
        <f aca="false">F96*(1+G95)</f>
        <v>1.32293088</v>
      </c>
    </row>
    <row r="97" customFormat="false" ht="15" hidden="false" customHeight="false" outlineLevel="0" collapsed="false">
      <c r="A97" s="4" t="s">
        <v>436</v>
      </c>
      <c r="B97" s="37" t="s">
        <v>330</v>
      </c>
      <c r="C97" s="41" t="n">
        <v>0.2</v>
      </c>
      <c r="D97" s="41" t="n">
        <v>0.26</v>
      </c>
      <c r="E97" s="41" t="n">
        <v>0.31</v>
      </c>
      <c r="F97" s="41" t="n">
        <v>0.35</v>
      </c>
      <c r="G97" s="41" t="n">
        <v>0.38</v>
      </c>
    </row>
    <row r="99" customFormat="false" ht="15" hidden="false" customHeight="false" outlineLevel="0" collapsed="false">
      <c r="A99" s="4" t="s">
        <v>437</v>
      </c>
      <c r="B99" s="37" t="s">
        <v>327</v>
      </c>
      <c r="C99" s="32" t="n">
        <v>79</v>
      </c>
      <c r="D99" s="33" t="s">
        <v>426</v>
      </c>
    </row>
    <row r="100" customFormat="false" ht="15" hidden="false" customHeight="false" outlineLevel="0" collapsed="false">
      <c r="A100" s="4" t="s">
        <v>438</v>
      </c>
      <c r="B100" s="37" t="s">
        <v>330</v>
      </c>
      <c r="C100" s="41" t="n">
        <v>0.2</v>
      </c>
    </row>
    <row r="101" customFormat="false" ht="15" hidden="false" customHeight="false" outlineLevel="0" collapsed="false">
      <c r="A101" s="4" t="s">
        <v>439</v>
      </c>
      <c r="B101" s="37" t="s">
        <v>336</v>
      </c>
      <c r="C101" s="51" t="n">
        <v>1.8</v>
      </c>
    </row>
    <row r="103" customFormat="false" ht="15" hidden="false" customHeight="false" outlineLevel="0" collapsed="false">
      <c r="A103" s="4" t="s">
        <v>440</v>
      </c>
      <c r="B103" s="37" t="s">
        <v>330</v>
      </c>
      <c r="C103" s="44" t="n">
        <v>0.02</v>
      </c>
      <c r="D103" s="33" t="s">
        <v>426</v>
      </c>
    </row>
    <row r="104" customFormat="false" ht="15" hidden="false" customHeight="false" outlineLevel="0" collapsed="false">
      <c r="A104" s="4" t="s">
        <v>441</v>
      </c>
      <c r="B104" s="37" t="s">
        <v>330</v>
      </c>
      <c r="C104" s="44" t="n">
        <v>0.01</v>
      </c>
      <c r="D104" s="33" t="s">
        <v>426</v>
      </c>
    </row>
    <row r="105" customFormat="false" ht="15" hidden="false" customHeight="false" outlineLevel="0" collapsed="false">
      <c r="A105" s="4" t="s">
        <v>442</v>
      </c>
      <c r="B105" s="37" t="s">
        <v>330</v>
      </c>
      <c r="C105" s="44" t="n">
        <v>0</v>
      </c>
      <c r="D105" s="33" t="s">
        <v>443</v>
      </c>
    </row>
    <row r="106" customFormat="false" ht="15" hidden="false" customHeight="false" outlineLevel="0" collapsed="false">
      <c r="A106" s="4" t="s">
        <v>444</v>
      </c>
      <c r="B106" s="37" t="s">
        <v>327</v>
      </c>
      <c r="C106" s="32" t="n">
        <v>30000</v>
      </c>
    </row>
    <row r="107" customFormat="false" ht="15" hidden="false" customHeight="false" outlineLevel="0" collapsed="false">
      <c r="A107" s="4" t="s">
        <v>445</v>
      </c>
      <c r="B107" s="37" t="s">
        <v>327</v>
      </c>
      <c r="C107" s="32" t="n">
        <v>140000</v>
      </c>
    </row>
    <row r="108" customFormat="false" ht="15" hidden="false" customHeight="false" outlineLevel="0" collapsed="false">
      <c r="A108" s="11" t="s">
        <v>446</v>
      </c>
      <c r="B108" s="12" t="s">
        <v>345</v>
      </c>
      <c r="C108" s="12" t="s">
        <v>87</v>
      </c>
      <c r="D108" s="12" t="s">
        <v>88</v>
      </c>
      <c r="E108" s="12" t="s">
        <v>89</v>
      </c>
      <c r="F108" s="12" t="s">
        <v>90</v>
      </c>
      <c r="G108" s="12" t="s">
        <v>91</v>
      </c>
    </row>
    <row r="109" customFormat="false" ht="15" hidden="false" customHeight="false" outlineLevel="0" collapsed="false">
      <c r="A109" s="4" t="s">
        <v>447</v>
      </c>
      <c r="B109" s="37" t="s">
        <v>330</v>
      </c>
      <c r="C109" s="41" t="n">
        <v>0.5</v>
      </c>
      <c r="D109" s="41" t="n">
        <v>0.55</v>
      </c>
      <c r="E109" s="41" t="n">
        <v>0.6</v>
      </c>
      <c r="F109" s="41" t="n">
        <v>0.64</v>
      </c>
      <c r="G109" s="41" t="n">
        <v>0.67</v>
      </c>
      <c r="H109" s="33" t="s">
        <v>448</v>
      </c>
    </row>
    <row r="110" customFormat="false" ht="15" hidden="false" customHeight="false" outlineLevel="0" collapsed="false">
      <c r="A110" s="4" t="s">
        <v>449</v>
      </c>
      <c r="B110" s="37" t="s">
        <v>330</v>
      </c>
      <c r="C110" s="41" t="n">
        <v>0.62</v>
      </c>
      <c r="D110" s="41" t="n">
        <v>0.66</v>
      </c>
      <c r="E110" s="41" t="n">
        <v>0.7</v>
      </c>
      <c r="F110" s="41" t="n">
        <v>0.73</v>
      </c>
      <c r="G110" s="41" t="n">
        <v>0.75</v>
      </c>
    </row>
    <row r="111" customFormat="false" ht="15" hidden="false" customHeight="false" outlineLevel="0" collapsed="false">
      <c r="A111" s="4" t="s">
        <v>450</v>
      </c>
      <c r="B111" s="37" t="s">
        <v>330</v>
      </c>
      <c r="C111" s="41" t="n">
        <v>0</v>
      </c>
      <c r="D111" s="41" t="n">
        <v>0.12</v>
      </c>
      <c r="E111" s="41" t="n">
        <v>0.12</v>
      </c>
      <c r="F111" s="41" t="n">
        <v>0.11</v>
      </c>
      <c r="G111" s="41" t="n">
        <v>0.1</v>
      </c>
    </row>
    <row r="112" customFormat="false" ht="15" hidden="false" customHeight="false" outlineLevel="0" collapsed="false">
      <c r="A112" s="4" t="s">
        <v>451</v>
      </c>
      <c r="B112" s="37" t="s">
        <v>366</v>
      </c>
      <c r="C112" s="45" t="n">
        <f aca="false">1+C111</f>
        <v>1</v>
      </c>
      <c r="D112" s="45" t="n">
        <f aca="false">C112*(1+D111)</f>
        <v>1.12</v>
      </c>
      <c r="E112" s="45" t="n">
        <f aca="false">D112*(1+E111)</f>
        <v>1.2544</v>
      </c>
      <c r="F112" s="45" t="n">
        <f aca="false">E112*(1+F111)</f>
        <v>1.392384</v>
      </c>
      <c r="G112" s="45" t="n">
        <f aca="false">F112*(1+G111)</f>
        <v>1.5316224</v>
      </c>
    </row>
    <row r="114" customFormat="false" ht="15" hidden="false" customHeight="false" outlineLevel="0" collapsed="false">
      <c r="A114" s="4" t="s">
        <v>452</v>
      </c>
      <c r="B114" s="37" t="s">
        <v>327</v>
      </c>
      <c r="C114" s="32" t="n">
        <v>3500</v>
      </c>
      <c r="D114" s="33" t="s">
        <v>453</v>
      </c>
    </row>
    <row r="115" customFormat="false" ht="15" hidden="false" customHeight="false" outlineLevel="0" collapsed="false">
      <c r="A115" s="4" t="s">
        <v>454</v>
      </c>
      <c r="B115" s="37" t="s">
        <v>330</v>
      </c>
      <c r="C115" s="41" t="n">
        <v>0.1</v>
      </c>
    </row>
    <row r="116" customFormat="false" ht="15" hidden="false" customHeight="false" outlineLevel="0" collapsed="false">
      <c r="A116" s="4" t="s">
        <v>455</v>
      </c>
      <c r="B116" s="37" t="s">
        <v>336</v>
      </c>
      <c r="C116" s="32" t="n">
        <v>110</v>
      </c>
    </row>
    <row r="117" customFormat="false" ht="15" hidden="false" customHeight="false" outlineLevel="0" collapsed="false">
      <c r="A117" s="4" t="s">
        <v>456</v>
      </c>
      <c r="B117" s="37" t="s">
        <v>327</v>
      </c>
      <c r="C117" s="47" t="n">
        <v>3.5</v>
      </c>
      <c r="D117" s="33" t="s">
        <v>457</v>
      </c>
    </row>
    <row r="118" customFormat="false" ht="15" hidden="false" customHeight="false" outlineLevel="0" collapsed="false">
      <c r="A118" s="11" t="s">
        <v>458</v>
      </c>
      <c r="B118" s="12" t="s">
        <v>345</v>
      </c>
      <c r="C118" s="12" t="s">
        <v>87</v>
      </c>
      <c r="D118" s="12" t="s">
        <v>88</v>
      </c>
      <c r="E118" s="12" t="s">
        <v>89</v>
      </c>
      <c r="F118" s="12" t="s">
        <v>90</v>
      </c>
      <c r="G118" s="12" t="s">
        <v>91</v>
      </c>
    </row>
    <row r="119" customFormat="false" ht="15" hidden="false" customHeight="false" outlineLevel="0" collapsed="false">
      <c r="A119" s="4" t="s">
        <v>459</v>
      </c>
      <c r="B119" s="37" t="s">
        <v>330</v>
      </c>
      <c r="C119" s="41" t="n">
        <v>0.2</v>
      </c>
      <c r="D119" s="41" t="n">
        <v>0.28</v>
      </c>
      <c r="E119" s="41" t="n">
        <v>0.34</v>
      </c>
      <c r="F119" s="41" t="n">
        <v>0.38</v>
      </c>
      <c r="G119" s="41" t="n">
        <v>0.4</v>
      </c>
    </row>
    <row r="120" customFormat="false" ht="15" hidden="false" customHeight="false" outlineLevel="0" collapsed="false">
      <c r="A120" s="4" t="s">
        <v>460</v>
      </c>
      <c r="B120" s="37" t="s">
        <v>327</v>
      </c>
      <c r="C120" s="32" t="n">
        <v>22</v>
      </c>
      <c r="D120" s="33" t="s">
        <v>461</v>
      </c>
    </row>
    <row r="121" customFormat="false" ht="15" hidden="false" customHeight="false" outlineLevel="0" collapsed="false">
      <c r="A121" s="4" t="s">
        <v>462</v>
      </c>
      <c r="B121" s="37" t="s">
        <v>330</v>
      </c>
      <c r="C121" s="41" t="n">
        <v>0.12</v>
      </c>
      <c r="D121" s="41" t="n">
        <v>0.15</v>
      </c>
      <c r="E121" s="41" t="n">
        <v>0.18</v>
      </c>
      <c r="F121" s="41" t="n">
        <v>0.2</v>
      </c>
      <c r="G121" s="41" t="n">
        <v>0.22</v>
      </c>
    </row>
    <row r="123" customFormat="false" ht="15" hidden="false" customHeight="false" outlineLevel="0" collapsed="false">
      <c r="A123" s="9" t="s">
        <v>463</v>
      </c>
      <c r="B123" s="10"/>
      <c r="C123" s="10"/>
      <c r="D123" s="10"/>
      <c r="E123" s="10"/>
      <c r="F123" s="10"/>
      <c r="G123" s="10"/>
      <c r="H123" s="10"/>
      <c r="I123" s="10"/>
      <c r="J123" s="10"/>
      <c r="K123" s="10"/>
      <c r="L123" s="10"/>
    </row>
    <row r="124" customFormat="false" ht="15" hidden="false" customHeight="false" outlineLevel="0" collapsed="false">
      <c r="A124" s="29" t="s">
        <v>464</v>
      </c>
    </row>
    <row r="125" customFormat="false" ht="36" hidden="false" customHeight="true" outlineLevel="0" collapsed="false">
      <c r="A125" s="11" t="s">
        <v>465</v>
      </c>
      <c r="B125" s="12" t="s">
        <v>345</v>
      </c>
      <c r="C125" s="12" t="s">
        <v>466</v>
      </c>
    </row>
    <row r="126" customFormat="false" ht="15" hidden="false" customHeight="false" outlineLevel="0" collapsed="false">
      <c r="A126" s="4" t="s">
        <v>467</v>
      </c>
      <c r="B126" s="37" t="s">
        <v>468</v>
      </c>
      <c r="C126" s="48" t="n">
        <v>1</v>
      </c>
    </row>
    <row r="127" customFormat="false" ht="15" hidden="false" customHeight="false" outlineLevel="0" collapsed="false">
      <c r="A127" s="4" t="s">
        <v>469</v>
      </c>
      <c r="B127" s="37" t="s">
        <v>468</v>
      </c>
      <c r="C127" s="48" t="n">
        <v>1</v>
      </c>
    </row>
    <row r="128" customFormat="false" ht="15" hidden="false" customHeight="false" outlineLevel="0" collapsed="false">
      <c r="A128" s="4" t="s">
        <v>470</v>
      </c>
      <c r="B128" s="37" t="s">
        <v>468</v>
      </c>
      <c r="C128" s="48" t="n">
        <v>1</v>
      </c>
    </row>
    <row r="129" customFormat="false" ht="15" hidden="false" customHeight="false" outlineLevel="0" collapsed="false">
      <c r="A129" s="4" t="s">
        <v>471</v>
      </c>
      <c r="B129" s="37" t="s">
        <v>468</v>
      </c>
      <c r="C129" s="48" t="n">
        <v>1</v>
      </c>
    </row>
    <row r="130" customFormat="false" ht="15" hidden="false" customHeight="false" outlineLevel="0" collapsed="false">
      <c r="A130" s="4" t="s">
        <v>472</v>
      </c>
      <c r="B130" s="37" t="s">
        <v>468</v>
      </c>
      <c r="C130" s="48" t="n">
        <v>1</v>
      </c>
    </row>
    <row r="131" customFormat="false" ht="15" hidden="false" customHeight="false" outlineLevel="0" collapsed="false">
      <c r="A131" s="4" t="s">
        <v>473</v>
      </c>
      <c r="B131" s="37" t="s">
        <v>468</v>
      </c>
      <c r="C131" s="48" t="n">
        <v>4</v>
      </c>
    </row>
    <row r="132" customFormat="false" ht="15" hidden="false" customHeight="false" outlineLevel="0" collapsed="false">
      <c r="A132" s="4" t="s">
        <v>474</v>
      </c>
      <c r="B132" s="37" t="s">
        <v>468</v>
      </c>
      <c r="C132" s="48" t="n">
        <v>19</v>
      </c>
    </row>
    <row r="133" customFormat="false" ht="15" hidden="false" customHeight="false" outlineLevel="0" collapsed="false">
      <c r="A133" s="4" t="s">
        <v>475</v>
      </c>
      <c r="B133" s="37" t="s">
        <v>468</v>
      </c>
      <c r="C133" s="48" t="n">
        <v>25</v>
      </c>
    </row>
    <row r="135" customFormat="false" ht="15" hidden="false" customHeight="false" outlineLevel="0" collapsed="false">
      <c r="A135" s="9" t="s">
        <v>476</v>
      </c>
      <c r="B135" s="10"/>
      <c r="C135" s="10"/>
      <c r="D135" s="10"/>
      <c r="E135" s="10"/>
      <c r="F135" s="10"/>
      <c r="G135" s="10"/>
      <c r="H135" s="10"/>
      <c r="I135" s="10"/>
      <c r="J135" s="10"/>
      <c r="K135" s="10"/>
      <c r="L135" s="10"/>
    </row>
    <row r="136" customFormat="false" ht="15" hidden="false" customHeight="false" outlineLevel="0" collapsed="false">
      <c r="A136" s="4" t="s">
        <v>477</v>
      </c>
      <c r="B136" s="37" t="s">
        <v>330</v>
      </c>
      <c r="C136" s="44" t="n">
        <v>0.024</v>
      </c>
      <c r="D136" s="33" t="s">
        <v>478</v>
      </c>
    </row>
    <row r="137" customFormat="false" ht="15" hidden="false" customHeight="false" outlineLevel="0" collapsed="false">
      <c r="A137" s="4" t="s">
        <v>479</v>
      </c>
      <c r="B137" s="37" t="s">
        <v>330</v>
      </c>
      <c r="C137" s="44" t="n">
        <v>0.06</v>
      </c>
      <c r="D137" s="33" t="s">
        <v>480</v>
      </c>
    </row>
    <row r="138" customFormat="false" ht="15" hidden="false" customHeight="false" outlineLevel="0" collapsed="false">
      <c r="A138" s="4" t="s">
        <v>481</v>
      </c>
      <c r="B138" s="37" t="s">
        <v>324</v>
      </c>
      <c r="C138" s="47" t="n">
        <v>0.1</v>
      </c>
    </row>
    <row r="139" customFormat="false" ht="15" hidden="false" customHeight="false" outlineLevel="0" collapsed="false">
      <c r="A139" s="4" t="s">
        <v>482</v>
      </c>
      <c r="B139" s="37" t="s">
        <v>324</v>
      </c>
      <c r="C139" s="47" t="n">
        <v>0.9</v>
      </c>
    </row>
    <row r="140" customFormat="false" ht="15" hidden="false" customHeight="false" outlineLevel="0" collapsed="false">
      <c r="A140" s="4" t="s">
        <v>483</v>
      </c>
      <c r="B140" s="37" t="s">
        <v>324</v>
      </c>
      <c r="C140" s="47" t="n">
        <v>0.04</v>
      </c>
    </row>
    <row r="141" customFormat="false" ht="15" hidden="false" customHeight="false" outlineLevel="0" collapsed="false">
      <c r="A141" s="4" t="s">
        <v>484</v>
      </c>
      <c r="B141" s="37" t="s">
        <v>324</v>
      </c>
      <c r="C141" s="47" t="n">
        <v>0.55</v>
      </c>
    </row>
    <row r="142" customFormat="false" ht="15" hidden="false" customHeight="false" outlineLevel="0" collapsed="false">
      <c r="A142" s="4" t="s">
        <v>485</v>
      </c>
      <c r="B142" s="37" t="s">
        <v>324</v>
      </c>
      <c r="C142" s="47" t="n">
        <v>0.06</v>
      </c>
    </row>
    <row r="143" customFormat="false" ht="15" hidden="false" customHeight="false" outlineLevel="0" collapsed="false">
      <c r="A143" s="4" t="s">
        <v>486</v>
      </c>
      <c r="B143" s="37" t="s">
        <v>324</v>
      </c>
      <c r="C143" s="47" t="n">
        <v>0.7</v>
      </c>
    </row>
    <row r="144" customFormat="false" ht="15" hidden="false" customHeight="false" outlineLevel="0" collapsed="false">
      <c r="A144" s="4" t="s">
        <v>487</v>
      </c>
      <c r="B144" s="37" t="s">
        <v>324</v>
      </c>
      <c r="C144" s="47" t="n">
        <v>0.8</v>
      </c>
    </row>
    <row r="145" customFormat="false" ht="15" hidden="false" customHeight="false" outlineLevel="0" collapsed="false">
      <c r="A145" s="4" t="s">
        <v>488</v>
      </c>
      <c r="B145" s="37" t="s">
        <v>327</v>
      </c>
      <c r="C145" s="32" t="n">
        <v>1400</v>
      </c>
    </row>
    <row r="146" customFormat="false" ht="15" hidden="false" customHeight="false" outlineLevel="0" collapsed="false">
      <c r="A146" s="4" t="s">
        <v>489</v>
      </c>
      <c r="B146" s="37" t="s">
        <v>330</v>
      </c>
      <c r="C146" s="44" t="n">
        <v>0.12</v>
      </c>
    </row>
    <row r="148" customFormat="false" ht="15" hidden="false" customHeight="false" outlineLevel="0" collapsed="false">
      <c r="A148" s="9" t="s">
        <v>490</v>
      </c>
      <c r="B148" s="10"/>
      <c r="C148" s="10"/>
      <c r="D148" s="10"/>
      <c r="E148" s="10"/>
      <c r="F148" s="10"/>
      <c r="G148" s="10"/>
      <c r="H148" s="10"/>
      <c r="I148" s="10"/>
      <c r="J148" s="10"/>
      <c r="K148" s="10"/>
      <c r="L148" s="10"/>
    </row>
    <row r="149" customFormat="false" ht="15" hidden="false" customHeight="false" outlineLevel="0" collapsed="false">
      <c r="A149" s="29" t="s">
        <v>491</v>
      </c>
    </row>
    <row r="150" customFormat="false" ht="15" hidden="false" customHeight="false" outlineLevel="0" collapsed="false">
      <c r="A150" s="11" t="s">
        <v>492</v>
      </c>
      <c r="B150" s="12" t="s">
        <v>345</v>
      </c>
      <c r="C150" s="12" t="s">
        <v>87</v>
      </c>
      <c r="D150" s="12" t="s">
        <v>88</v>
      </c>
      <c r="E150" s="12" t="s">
        <v>89</v>
      </c>
      <c r="F150" s="12" t="s">
        <v>90</v>
      </c>
      <c r="G150" s="12" t="s">
        <v>91</v>
      </c>
    </row>
    <row r="151" customFormat="false" ht="15" hidden="false" customHeight="false" outlineLevel="0" collapsed="false">
      <c r="A151" s="4" t="s">
        <v>493</v>
      </c>
      <c r="B151" s="37" t="s">
        <v>330</v>
      </c>
      <c r="C151" s="41" t="n">
        <v>0.08</v>
      </c>
      <c r="D151" s="41" t="n">
        <v>0.1</v>
      </c>
      <c r="E151" s="41" t="n">
        <v>0.12</v>
      </c>
      <c r="F151" s="41" t="n">
        <v>0.13</v>
      </c>
      <c r="G151" s="41" t="n">
        <v>0.14</v>
      </c>
    </row>
    <row r="152" customFormat="false" ht="15" hidden="false" customHeight="false" outlineLevel="0" collapsed="false">
      <c r="A152" s="4" t="s">
        <v>494</v>
      </c>
      <c r="B152" s="37" t="s">
        <v>330</v>
      </c>
      <c r="C152" s="41" t="n">
        <v>0.2</v>
      </c>
    </row>
    <row r="153" customFormat="false" ht="15" hidden="false" customHeight="false" outlineLevel="0" collapsed="false">
      <c r="A153" s="4" t="s">
        <v>495</v>
      </c>
      <c r="B153" s="37" t="s">
        <v>330</v>
      </c>
      <c r="C153" s="41" t="n">
        <v>0.12</v>
      </c>
    </row>
    <row r="154" customFormat="false" ht="15" hidden="false" customHeight="false" outlineLevel="0" collapsed="false">
      <c r="A154" s="4" t="s">
        <v>496</v>
      </c>
      <c r="B154" s="37" t="s">
        <v>330</v>
      </c>
      <c r="C154" s="41" t="n">
        <v>0.07</v>
      </c>
    </row>
    <row r="155" customFormat="false" ht="15" hidden="false" customHeight="false" outlineLevel="0" collapsed="false">
      <c r="A155" s="4" t="s">
        <v>497</v>
      </c>
      <c r="B155" s="37" t="s">
        <v>330</v>
      </c>
      <c r="C155" s="41" t="n">
        <v>0.02</v>
      </c>
    </row>
    <row r="157" customFormat="false" ht="15" hidden="false" customHeight="false" outlineLevel="0" collapsed="false">
      <c r="A157" s="9" t="s">
        <v>498</v>
      </c>
      <c r="B157" s="10"/>
      <c r="C157" s="10"/>
      <c r="D157" s="10"/>
      <c r="E157" s="10"/>
      <c r="F157" s="10"/>
      <c r="G157" s="10"/>
      <c r="H157" s="10"/>
      <c r="I157" s="10"/>
      <c r="J157" s="10"/>
      <c r="K157" s="10"/>
      <c r="L157" s="10"/>
    </row>
    <row r="158" customFormat="false" ht="15" hidden="false" customHeight="false" outlineLevel="0" collapsed="false">
      <c r="A158" s="29" t="s">
        <v>499</v>
      </c>
    </row>
    <row r="159" customFormat="false" ht="15" hidden="false" customHeight="false" outlineLevel="0" collapsed="false">
      <c r="A159" s="11" t="s">
        <v>500</v>
      </c>
      <c r="B159" s="12" t="s">
        <v>345</v>
      </c>
      <c r="C159" s="12" t="s">
        <v>87</v>
      </c>
      <c r="D159" s="12" t="s">
        <v>88</v>
      </c>
      <c r="E159" s="12" t="s">
        <v>89</v>
      </c>
      <c r="F159" s="12" t="s">
        <v>90</v>
      </c>
      <c r="G159" s="12" t="s">
        <v>91</v>
      </c>
    </row>
    <row r="160" customFormat="false" ht="15" hidden="false" customHeight="false" outlineLevel="0" collapsed="false">
      <c r="A160" s="4" t="s">
        <v>501</v>
      </c>
      <c r="B160" s="37" t="s">
        <v>330</v>
      </c>
      <c r="C160" s="41" t="n">
        <v>0</v>
      </c>
      <c r="D160" s="41" t="n">
        <v>0.08</v>
      </c>
      <c r="E160" s="41" t="n">
        <v>0.08</v>
      </c>
      <c r="F160" s="41" t="n">
        <v>0.07</v>
      </c>
      <c r="G160" s="41" t="n">
        <v>0.06</v>
      </c>
    </row>
    <row r="161" customFormat="false" ht="15" hidden="false" customHeight="false" outlineLevel="0" collapsed="false">
      <c r="A161" s="4" t="s">
        <v>502</v>
      </c>
      <c r="B161" s="37" t="s">
        <v>366</v>
      </c>
      <c r="C161" s="45" t="n">
        <f aca="false">1+C160</f>
        <v>1</v>
      </c>
      <c r="D161" s="45" t="n">
        <f aca="false">C161*(1+D160)</f>
        <v>1.08</v>
      </c>
      <c r="E161" s="45" t="n">
        <f aca="false">D161*(1+E160)</f>
        <v>1.1664</v>
      </c>
      <c r="F161" s="45" t="n">
        <f aca="false">E161*(1+F160)</f>
        <v>1.248048</v>
      </c>
      <c r="G161" s="45" t="n">
        <f aca="false">F161*(1+G160)</f>
        <v>1.32293088</v>
      </c>
    </row>
    <row r="163" customFormat="false" ht="15" hidden="false" customHeight="false" outlineLevel="0" collapsed="false">
      <c r="A163" s="4" t="s">
        <v>503</v>
      </c>
      <c r="B163" s="37" t="s">
        <v>324</v>
      </c>
      <c r="C163" s="31" t="n">
        <v>35</v>
      </c>
    </row>
    <row r="164" customFormat="false" ht="15" hidden="false" customHeight="false" outlineLevel="0" collapsed="false">
      <c r="A164" s="4" t="s">
        <v>504</v>
      </c>
      <c r="B164" s="37" t="s">
        <v>324</v>
      </c>
      <c r="C164" s="31" t="n">
        <v>28</v>
      </c>
    </row>
    <row r="165" customFormat="false" ht="15" hidden="false" customHeight="false" outlineLevel="0" collapsed="false">
      <c r="A165" s="4" t="s">
        <v>505</v>
      </c>
      <c r="B165" s="37" t="s">
        <v>324</v>
      </c>
      <c r="C165" s="31" t="n">
        <v>75</v>
      </c>
    </row>
    <row r="166" customFormat="false" ht="15" hidden="false" customHeight="false" outlineLevel="0" collapsed="false">
      <c r="A166" s="4" t="s">
        <v>506</v>
      </c>
      <c r="B166" s="37" t="s">
        <v>324</v>
      </c>
      <c r="C166" s="31" t="n">
        <v>420</v>
      </c>
    </row>
    <row r="167" customFormat="false" ht="15" hidden="false" customHeight="false" outlineLevel="0" collapsed="false">
      <c r="A167" s="4" t="s">
        <v>507</v>
      </c>
      <c r="B167" s="37" t="s">
        <v>324</v>
      </c>
      <c r="C167" s="31" t="n">
        <v>70</v>
      </c>
    </row>
    <row r="168" customFormat="false" ht="15" hidden="false" customHeight="false" outlineLevel="0" collapsed="false">
      <c r="A168" s="4" t="s">
        <v>508</v>
      </c>
      <c r="B168" s="37" t="s">
        <v>327</v>
      </c>
      <c r="C168" s="32" t="n">
        <v>15000</v>
      </c>
    </row>
    <row r="169" customFormat="false" ht="15" hidden="false" customHeight="false" outlineLevel="0" collapsed="false">
      <c r="A169" s="4" t="s">
        <v>509</v>
      </c>
      <c r="B169" s="37" t="s">
        <v>324</v>
      </c>
      <c r="C169" s="31" t="n">
        <v>180</v>
      </c>
    </row>
    <row r="170" customFormat="false" ht="15" hidden="false" customHeight="false" outlineLevel="0" collapsed="false">
      <c r="A170" s="4" t="s">
        <v>510</v>
      </c>
      <c r="B170" s="37" t="s">
        <v>324</v>
      </c>
      <c r="C170" s="31" t="n">
        <v>350</v>
      </c>
    </row>
    <row r="171" customFormat="false" ht="15" hidden="false" customHeight="false" outlineLevel="0" collapsed="false">
      <c r="A171" s="4" t="s">
        <v>511</v>
      </c>
      <c r="B171" s="37" t="s">
        <v>324</v>
      </c>
      <c r="C171" s="31" t="n">
        <v>120</v>
      </c>
    </row>
    <row r="172" customFormat="false" ht="15" hidden="false" customHeight="false" outlineLevel="0" collapsed="false">
      <c r="A172" s="4" t="s">
        <v>512</v>
      </c>
      <c r="B172" s="37" t="s">
        <v>324</v>
      </c>
      <c r="C172" s="31" t="n">
        <v>1200</v>
      </c>
    </row>
    <row r="173" customFormat="false" ht="15" hidden="false" customHeight="false" outlineLevel="0" collapsed="false">
      <c r="A173" s="4" t="s">
        <v>513</v>
      </c>
      <c r="B173" s="37" t="s">
        <v>324</v>
      </c>
      <c r="C173" s="31" t="n">
        <v>200</v>
      </c>
    </row>
    <row r="174" customFormat="false" ht="15" hidden="false" customHeight="false" outlineLevel="0" collapsed="false">
      <c r="A174" s="4" t="s">
        <v>514</v>
      </c>
      <c r="B174" s="37" t="s">
        <v>324</v>
      </c>
      <c r="C174" s="31" t="n">
        <v>900</v>
      </c>
    </row>
    <row r="175" customFormat="false" ht="15" hidden="false" customHeight="false" outlineLevel="0" collapsed="false">
      <c r="A175" s="4" t="s">
        <v>515</v>
      </c>
      <c r="B175" s="37" t="s">
        <v>324</v>
      </c>
      <c r="C175" s="31" t="n">
        <v>500</v>
      </c>
    </row>
    <row r="176" customFormat="false" ht="15" hidden="false" customHeight="false" outlineLevel="0" collapsed="false">
      <c r="A176" s="4" t="s">
        <v>516</v>
      </c>
      <c r="B176" s="37" t="s">
        <v>324</v>
      </c>
      <c r="C176" s="31" t="n">
        <v>350</v>
      </c>
    </row>
    <row r="177" customFormat="false" ht="15" hidden="false" customHeight="false" outlineLevel="0" collapsed="false">
      <c r="A177" s="4" t="s">
        <v>517</v>
      </c>
      <c r="B177" s="37" t="s">
        <v>324</v>
      </c>
      <c r="C177" s="31" t="n">
        <v>5</v>
      </c>
    </row>
    <row r="178" customFormat="false" ht="15" hidden="false" customHeight="false" outlineLevel="0" collapsed="false">
      <c r="A178" s="4" t="s">
        <v>518</v>
      </c>
      <c r="B178" s="37" t="s">
        <v>324</v>
      </c>
      <c r="C178" s="31" t="n">
        <v>400</v>
      </c>
    </row>
    <row r="179" customFormat="false" ht="15" hidden="false" customHeight="false" outlineLevel="0" collapsed="false">
      <c r="A179" s="11" t="s">
        <v>519</v>
      </c>
      <c r="B179" s="12" t="s">
        <v>345</v>
      </c>
      <c r="C179" s="12" t="s">
        <v>87</v>
      </c>
      <c r="D179" s="12" t="s">
        <v>88</v>
      </c>
      <c r="E179" s="12" t="s">
        <v>89</v>
      </c>
      <c r="F179" s="12" t="s">
        <v>90</v>
      </c>
      <c r="G179" s="12" t="s">
        <v>91</v>
      </c>
    </row>
    <row r="180" customFormat="false" ht="15" hidden="false" customHeight="false" outlineLevel="0" collapsed="false">
      <c r="A180" s="4" t="s">
        <v>520</v>
      </c>
      <c r="B180" s="37" t="s">
        <v>327</v>
      </c>
      <c r="C180" s="32" t="n">
        <v>27500</v>
      </c>
      <c r="D180" s="32" t="n">
        <v>33000</v>
      </c>
      <c r="E180" s="32" t="n">
        <v>42000</v>
      </c>
      <c r="F180" s="32" t="n">
        <v>52000</v>
      </c>
      <c r="G180" s="32" t="n">
        <v>60000</v>
      </c>
      <c r="H180" s="33" t="s">
        <v>521</v>
      </c>
    </row>
    <row r="181" customFormat="false" ht="15" hidden="false" customHeight="false" outlineLevel="0" collapsed="false">
      <c r="A181" s="4" t="s">
        <v>522</v>
      </c>
      <c r="B181" s="37" t="s">
        <v>330</v>
      </c>
      <c r="C181" s="41" t="n">
        <v>0.06</v>
      </c>
    </row>
    <row r="183" customFormat="false" ht="15" hidden="false" customHeight="false" outlineLevel="0" collapsed="false">
      <c r="A183" s="9" t="s">
        <v>523</v>
      </c>
      <c r="B183" s="10"/>
      <c r="C183" s="10"/>
      <c r="D183" s="10"/>
      <c r="E183" s="10"/>
      <c r="F183" s="10"/>
      <c r="G183" s="10"/>
      <c r="H183" s="10"/>
      <c r="I183" s="10"/>
      <c r="J183" s="10"/>
      <c r="K183" s="10"/>
      <c r="L183" s="10"/>
    </row>
    <row r="184" customFormat="false" ht="15" hidden="false" customHeight="false" outlineLevel="0" collapsed="false">
      <c r="A184" s="4" t="s">
        <v>524</v>
      </c>
      <c r="B184" s="37" t="s">
        <v>525</v>
      </c>
      <c r="C184" s="32" t="n">
        <v>5</v>
      </c>
    </row>
    <row r="185" customFormat="false" ht="15" hidden="false" customHeight="false" outlineLevel="0" collapsed="false">
      <c r="A185" s="4" t="s">
        <v>526</v>
      </c>
      <c r="B185" s="37" t="s">
        <v>525</v>
      </c>
      <c r="C185" s="32" t="n">
        <v>8</v>
      </c>
    </row>
    <row r="186" customFormat="false" ht="15" hidden="false" customHeight="false" outlineLevel="0" collapsed="false">
      <c r="A186" s="4" t="s">
        <v>527</v>
      </c>
      <c r="B186" s="37" t="s">
        <v>525</v>
      </c>
      <c r="C186" s="32" t="n">
        <v>30</v>
      </c>
    </row>
    <row r="187" customFormat="false" ht="15" hidden="false" customHeight="false" outlineLevel="0" collapsed="false">
      <c r="A187" s="4" t="s">
        <v>528</v>
      </c>
      <c r="B187" s="37" t="s">
        <v>525</v>
      </c>
      <c r="C187" s="32" t="n">
        <v>12</v>
      </c>
    </row>
    <row r="188" customFormat="false" ht="15" hidden="false" customHeight="false" outlineLevel="0" collapsed="false">
      <c r="A188" s="4" t="s">
        <v>529</v>
      </c>
      <c r="B188" s="37" t="s">
        <v>16</v>
      </c>
      <c r="C188" s="51" t="n">
        <v>5.5</v>
      </c>
    </row>
    <row r="189" customFormat="false" ht="15" hidden="false" customHeight="false" outlineLevel="0" collapsed="false">
      <c r="A189" s="4" t="s">
        <v>530</v>
      </c>
      <c r="B189" s="37" t="s">
        <v>324</v>
      </c>
      <c r="C189" s="31" t="n">
        <v>25000</v>
      </c>
    </row>
    <row r="190" customFormat="false" ht="15" hidden="false" customHeight="false" outlineLevel="0" collapsed="false">
      <c r="A190" s="4" t="s">
        <v>531</v>
      </c>
      <c r="B190" s="37" t="s">
        <v>468</v>
      </c>
      <c r="C190" s="48" t="n">
        <v>1</v>
      </c>
    </row>
    <row r="191" customFormat="false" ht="15" hidden="false" customHeight="false" outlineLevel="0" collapsed="false">
      <c r="A191" s="4" t="s">
        <v>532</v>
      </c>
      <c r="B191" s="37" t="s">
        <v>324</v>
      </c>
      <c r="C191" s="31" t="n">
        <v>75000</v>
      </c>
    </row>
    <row r="192" customFormat="false" ht="15" hidden="false" customHeight="false" outlineLevel="0" collapsed="false">
      <c r="A192" s="4" t="s">
        <v>533</v>
      </c>
      <c r="B192" s="37" t="s">
        <v>324</v>
      </c>
      <c r="C192" s="31" t="n">
        <v>50000</v>
      </c>
    </row>
    <row r="193" customFormat="false" ht="15" hidden="false" customHeight="false" outlineLevel="0" collapsed="false">
      <c r="A193" s="4" t="s">
        <v>534</v>
      </c>
      <c r="B193" s="37" t="s">
        <v>468</v>
      </c>
      <c r="C193" s="48" t="n">
        <v>13</v>
      </c>
    </row>
    <row r="194" customFormat="false" ht="15" hidden="false" customHeight="false" outlineLevel="0" collapsed="false">
      <c r="A194" s="4" t="s">
        <v>535</v>
      </c>
      <c r="B194" s="37" t="s">
        <v>330</v>
      </c>
      <c r="C194" s="41" t="n">
        <v>0.225</v>
      </c>
      <c r="D194" s="33" t="s">
        <v>536</v>
      </c>
    </row>
    <row r="195" customFormat="false" ht="15" hidden="false" customHeight="false" outlineLevel="0" collapsed="false">
      <c r="A195" s="4" t="s">
        <v>537</v>
      </c>
      <c r="B195" s="37" t="s">
        <v>468</v>
      </c>
      <c r="C195" s="48" t="n">
        <v>4</v>
      </c>
    </row>
    <row r="196" customFormat="false" ht="15" hidden="false" customHeight="false" outlineLevel="0" collapsed="false">
      <c r="A196" s="4" t="s">
        <v>538</v>
      </c>
      <c r="B196" s="37" t="s">
        <v>324</v>
      </c>
      <c r="C196" s="31" t="n">
        <v>0</v>
      </c>
    </row>
    <row r="198" customFormat="false" ht="15" hidden="false" customHeight="false" outlineLevel="0" collapsed="false">
      <c r="A198" s="9" t="s">
        <v>539</v>
      </c>
      <c r="B198" s="10"/>
      <c r="C198" s="10"/>
      <c r="D198" s="10"/>
      <c r="E198" s="10"/>
      <c r="F198" s="10"/>
      <c r="G198" s="10"/>
      <c r="H198" s="10"/>
      <c r="I198" s="10"/>
      <c r="J198" s="10"/>
      <c r="K198" s="10"/>
      <c r="L198" s="10"/>
    </row>
    <row r="199" customFormat="false" ht="15" hidden="false" customHeight="false" outlineLevel="0" collapsed="false">
      <c r="A199" s="29" t="s">
        <v>540</v>
      </c>
    </row>
    <row r="200" customFormat="false" ht="36" hidden="false" customHeight="true" outlineLevel="0" collapsed="false">
      <c r="A200" s="11" t="s">
        <v>541</v>
      </c>
      <c r="B200" s="12" t="s">
        <v>345</v>
      </c>
      <c r="C200" s="12" t="s">
        <v>542</v>
      </c>
      <c r="D200" s="12" t="s">
        <v>543</v>
      </c>
      <c r="E200" s="12" t="s">
        <v>544</v>
      </c>
    </row>
    <row r="201" customFormat="false" ht="15" hidden="false" customHeight="false" outlineLevel="0" collapsed="false">
      <c r="A201" s="4" t="s">
        <v>545</v>
      </c>
      <c r="B201" s="37" t="s">
        <v>327</v>
      </c>
      <c r="C201" s="32" t="n">
        <v>46000</v>
      </c>
      <c r="E201" s="48" t="n">
        <v>36</v>
      </c>
    </row>
    <row r="202" customFormat="false" ht="15" hidden="false" customHeight="false" outlineLevel="0" collapsed="false">
      <c r="A202" s="4" t="s">
        <v>546</v>
      </c>
      <c r="B202" s="37" t="s">
        <v>327</v>
      </c>
      <c r="C202" s="32" t="n">
        <v>72000</v>
      </c>
      <c r="E202" s="48" t="n">
        <v>36</v>
      </c>
    </row>
    <row r="203" customFormat="false" ht="15" hidden="false" customHeight="false" outlineLevel="0" collapsed="false">
      <c r="A203" s="4" t="s">
        <v>547</v>
      </c>
      <c r="B203" s="37" t="s">
        <v>330</v>
      </c>
      <c r="C203" s="41" t="n">
        <v>0.1</v>
      </c>
      <c r="D203" s="33" t="s">
        <v>548</v>
      </c>
    </row>
    <row r="204" customFormat="false" ht="36" hidden="false" customHeight="true" outlineLevel="0" collapsed="false">
      <c r="A204" s="11" t="s">
        <v>549</v>
      </c>
      <c r="B204" s="12" t="s">
        <v>345</v>
      </c>
      <c r="C204" s="12" t="s">
        <v>542</v>
      </c>
      <c r="D204" s="12" t="s">
        <v>543</v>
      </c>
      <c r="E204" s="12" t="s">
        <v>544</v>
      </c>
    </row>
    <row r="205" customFormat="false" ht="15" hidden="false" customHeight="false" outlineLevel="0" collapsed="false">
      <c r="A205" s="4" t="s">
        <v>550</v>
      </c>
      <c r="B205" s="37" t="s">
        <v>327</v>
      </c>
      <c r="C205" s="32" t="n">
        <v>350000</v>
      </c>
      <c r="D205" s="48" t="n">
        <v>1</v>
      </c>
      <c r="E205" s="48" t="n">
        <v>60</v>
      </c>
    </row>
    <row r="206" customFormat="false" ht="15" hidden="false" customHeight="false" outlineLevel="0" collapsed="false">
      <c r="A206" s="4" t="s">
        <v>551</v>
      </c>
      <c r="B206" s="37" t="s">
        <v>327</v>
      </c>
      <c r="C206" s="32" t="n">
        <v>150000</v>
      </c>
      <c r="D206" s="48" t="n">
        <v>1</v>
      </c>
      <c r="E206" s="48" t="n">
        <v>48</v>
      </c>
    </row>
    <row r="207" customFormat="false" ht="15" hidden="false" customHeight="false" outlineLevel="0" collapsed="false">
      <c r="A207" s="4" t="s">
        <v>552</v>
      </c>
      <c r="B207" s="37" t="s">
        <v>327</v>
      </c>
      <c r="C207" s="32" t="n">
        <v>90000</v>
      </c>
      <c r="D207" s="48" t="n">
        <v>1</v>
      </c>
      <c r="E207" s="48" t="n">
        <v>120</v>
      </c>
    </row>
    <row r="208" customFormat="false" ht="15" hidden="false" customHeight="false" outlineLevel="0" collapsed="false">
      <c r="A208" s="4" t="s">
        <v>553</v>
      </c>
      <c r="B208" s="37" t="s">
        <v>327</v>
      </c>
      <c r="C208" s="32" t="n">
        <v>180000</v>
      </c>
      <c r="D208" s="48" t="n">
        <v>1</v>
      </c>
      <c r="E208" s="48" t="n">
        <v>36</v>
      </c>
    </row>
    <row r="209" customFormat="false" ht="15" hidden="false" customHeight="false" outlineLevel="0" collapsed="false">
      <c r="A209" s="4" t="s">
        <v>554</v>
      </c>
      <c r="B209" s="37" t="s">
        <v>327</v>
      </c>
      <c r="C209" s="32" t="n">
        <v>80000</v>
      </c>
      <c r="D209" s="48" t="n">
        <v>3</v>
      </c>
      <c r="E209" s="48" t="n">
        <v>36</v>
      </c>
    </row>
    <row r="210" customFormat="false" ht="15" hidden="false" customHeight="false" outlineLevel="0" collapsed="false">
      <c r="A210" s="4" t="s">
        <v>555</v>
      </c>
      <c r="B210" s="37" t="s">
        <v>327</v>
      </c>
      <c r="C210" s="32" t="n">
        <v>120000</v>
      </c>
      <c r="D210" s="48" t="n">
        <v>16</v>
      </c>
      <c r="E210" s="48" t="n">
        <v>60</v>
      </c>
    </row>
    <row r="211" customFormat="false" ht="15" hidden="false" customHeight="false" outlineLevel="0" collapsed="false">
      <c r="A211" s="4" t="s">
        <v>556</v>
      </c>
      <c r="B211" s="37" t="s">
        <v>327</v>
      </c>
      <c r="C211" s="52" t="n">
        <f aca="false">C19</f>
        <v>3000000</v>
      </c>
      <c r="D211" s="48" t="n">
        <v>0</v>
      </c>
      <c r="E211" s="48" t="n">
        <v>60</v>
      </c>
    </row>
    <row r="212" customFormat="false" ht="15" hidden="false" customHeight="false" outlineLevel="0" collapsed="false">
      <c r="A212" s="29" t="s">
        <v>557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319</v>
      </c>
    </row>
    <row r="2" customFormat="false" ht="15" hidden="false" customHeight="false" outlineLevel="0" collapsed="false">
      <c r="A2" s="8" t="s">
        <v>558</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560</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561</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622</v>
      </c>
      <c r="B6" s="59" t="n">
        <f aca="false">SUM(C6:N6)</f>
        <v>29689.3203883495</v>
      </c>
      <c r="C6" s="60" t="n">
        <f aca="false">(Payroll!C76*'Assumption Setting'!$C$201+Payroll!C75*'Assumption Setting'!$C$202)*(1+'Assumption Setting'!$C$203)/'Timeline and FX'!C8</f>
        <v>29689.3203883495</v>
      </c>
      <c r="D6" s="60" t="n">
        <f aca="false">(Payroll!D76*'Assumption Setting'!$C$201+Payroll!D75*'Assumption Setting'!$C$202)*(1+'Assumption Setting'!$C$203)/'Timeline and FX'!D8</f>
        <v>0</v>
      </c>
      <c r="E6" s="60" t="n">
        <f aca="false">(Payroll!E76*'Assumption Setting'!$C$201+Payroll!E75*'Assumption Setting'!$C$202)*(1+'Assumption Setting'!$C$203)/'Timeline and FX'!E8</f>
        <v>0</v>
      </c>
      <c r="F6" s="60" t="n">
        <f aca="false">(Payroll!F76*'Assumption Setting'!$C$201+Payroll!F75*'Assumption Setting'!$C$202)*(1+'Assumption Setting'!$C$203)/'Timeline and FX'!F8</f>
        <v>0</v>
      </c>
      <c r="G6" s="60" t="n">
        <f aca="false">(Payroll!G76*'Assumption Setting'!$C$201+Payroll!G75*'Assumption Setting'!$C$202)*(1+'Assumption Setting'!$C$203)/'Timeline and FX'!G8</f>
        <v>0</v>
      </c>
      <c r="H6" s="60" t="n">
        <f aca="false">(Payroll!H76*'Assumption Setting'!$C$201+Payroll!H75*'Assumption Setting'!$C$202)*(1+'Assumption Setting'!$C$203)/'Timeline and FX'!H8</f>
        <v>0</v>
      </c>
      <c r="I6" s="60" t="n">
        <f aca="false">(Payroll!I76*'Assumption Setting'!$C$201+Payroll!I75*'Assumption Setting'!$C$202)*(1+'Assumption Setting'!$C$203)/'Timeline and FX'!I8</f>
        <v>0</v>
      </c>
      <c r="J6" s="60" t="n">
        <f aca="false">(Payroll!J76*'Assumption Setting'!$C$201+Payroll!J75*'Assumption Setting'!$C$202)*(1+'Assumption Setting'!$C$203)/'Timeline and FX'!J8</f>
        <v>0</v>
      </c>
      <c r="K6" s="60" t="n">
        <f aca="false">(Payroll!K76*'Assumption Setting'!$C$201+Payroll!K75*'Assumption Setting'!$C$202)*(1+'Assumption Setting'!$C$203)/'Timeline and FX'!K8</f>
        <v>0</v>
      </c>
      <c r="L6" s="60" t="n">
        <f aca="false">(Payroll!L76*'Assumption Setting'!$C$201+Payroll!L75*'Assumption Setting'!$C$202)*(1+'Assumption Setting'!$C$203)/'Timeline and FX'!L8</f>
        <v>0</v>
      </c>
      <c r="M6" s="60" t="n">
        <f aca="false">(Payroll!M76*'Assumption Setting'!$C$201+Payroll!M75*'Assumption Setting'!$C$202)*(1+'Assumption Setting'!$C$203)/'Timeline and FX'!M8</f>
        <v>0</v>
      </c>
      <c r="N6" s="60" t="n">
        <f aca="false">(Payroll!N76*'Assumption Setting'!$C$201+Payroll!N75*'Assumption Setting'!$C$202)*(1+'Assumption Setting'!$C$203)/'Timeline and FX'!N8</f>
        <v>0</v>
      </c>
      <c r="O6" s="59" t="n">
        <f aca="false">SUM(P6:AA6)</f>
        <v>16819.8002158169</v>
      </c>
      <c r="P6" s="60" t="n">
        <f aca="false">(Payroll!P76*'Assumption Setting'!$C$201+Payroll!P75*'Assumption Setting'!$C$202)*(1+'Assumption Setting'!$C$203)/'Timeline and FX'!P8</f>
        <v>13218.5381938084</v>
      </c>
      <c r="Q6" s="60" t="n">
        <f aca="false">(Payroll!Q76*'Assumption Setting'!$C$201+Payroll!Q75*'Assumption Setting'!$C$202)*(1+'Assumption Setting'!$C$203)/'Timeline and FX'!Q8</f>
        <v>0</v>
      </c>
      <c r="R6" s="60" t="n">
        <f aca="false">(Payroll!R76*'Assumption Setting'!$C$201+Payroll!R75*'Assumption Setting'!$C$202)*(1+'Assumption Setting'!$C$203)/'Timeline and FX'!R8</f>
        <v>0</v>
      </c>
      <c r="S6" s="60" t="n">
        <f aca="false">(Payroll!S76*'Assumption Setting'!$C$201+Payroll!S75*'Assumption Setting'!$C$202)*(1+'Assumption Setting'!$C$203)/'Timeline and FX'!S8</f>
        <v>0</v>
      </c>
      <c r="T6" s="60" t="n">
        <f aca="false">(Payroll!T76*'Assumption Setting'!$C$201+Payroll!T75*'Assumption Setting'!$C$202)*(1+'Assumption Setting'!$C$203)/'Timeline and FX'!T8</f>
        <v>909.080064545974</v>
      </c>
      <c r="U6" s="60" t="n">
        <f aca="false">(Payroll!U76*'Assumption Setting'!$C$201+Payroll!U75*'Assumption Setting'!$C$202)*(1+'Assumption Setting'!$C$203)/'Timeline and FX'!U8</f>
        <v>0</v>
      </c>
      <c r="V6" s="60" t="n">
        <f aca="false">(Payroll!V76*'Assumption Setting'!$C$201+Payroll!V75*'Assumption Setting'!$C$202)*(1+'Assumption Setting'!$C$203)/'Timeline and FX'!V8</f>
        <v>1800.5885559728</v>
      </c>
      <c r="W6" s="60" t="n">
        <f aca="false">(Payroll!W76*'Assumption Setting'!$C$201+Payroll!W75*'Assumption Setting'!$C$202)*(1+'Assumption Setting'!$C$203)/'Timeline and FX'!W8</f>
        <v>0</v>
      </c>
      <c r="X6" s="60" t="n">
        <f aca="false">(Payroll!X76*'Assumption Setting'!$C$201+Payroll!X75*'Assumption Setting'!$C$202)*(1+'Assumption Setting'!$C$203)/'Timeline and FX'!X8</f>
        <v>891.593401489736</v>
      </c>
      <c r="Y6" s="60" t="n">
        <f aca="false">(Payroll!Y76*'Assumption Setting'!$C$201+Payroll!Y75*'Assumption Setting'!$C$202)*(1+'Assumption Setting'!$C$203)/'Timeline and FX'!Y8</f>
        <v>0</v>
      </c>
      <c r="Z6" s="60" t="n">
        <f aca="false">(Payroll!Z76*'Assumption Setting'!$C$201+Payroll!Z75*'Assumption Setting'!$C$202)*(1+'Assumption Setting'!$C$203)/'Timeline and FX'!Z8</f>
        <v>0</v>
      </c>
      <c r="AA6" s="60" t="n">
        <f aca="false">(Payroll!AA76*'Assumption Setting'!$C$201+Payroll!AA75*'Assumption Setting'!$C$202)*(1+'Assumption Setting'!$C$203)/'Timeline and FX'!AA8</f>
        <v>0</v>
      </c>
      <c r="AB6" s="59" t="n">
        <f aca="false">SUM(AC6:AN6)</f>
        <v>20303.9718457872</v>
      </c>
      <c r="AC6" s="60" t="n">
        <f aca="false">(Payroll!AC76*'Assumption Setting'!$C$201+Payroll!AC75*'Assumption Setting'!$C$202)*(1+'Assumption Setting'!$C$203)/'Timeline and FX'!AC8</f>
        <v>15207.7061594666</v>
      </c>
      <c r="AD6" s="60" t="n">
        <f aca="false">(Payroll!AD76*'Assumption Setting'!$C$201+Payroll!AD75*'Assumption Setting'!$C$202)*(1+'Assumption Setting'!$C$203)/'Timeline and FX'!AD8</f>
        <v>0</v>
      </c>
      <c r="AE6" s="60" t="n">
        <f aca="false">(Payroll!AE76*'Assumption Setting'!$C$201+Payroll!AE75*'Assumption Setting'!$C$202)*(1+'Assumption Setting'!$C$203)/'Timeline and FX'!AE8</f>
        <v>0</v>
      </c>
      <c r="AF6" s="60" t="n">
        <f aca="false">(Payroll!AF76*'Assumption Setting'!$C$201+Payroll!AF75*'Assumption Setting'!$C$202)*(1+'Assumption Setting'!$C$203)/'Timeline and FX'!AF8</f>
        <v>861.797224271789</v>
      </c>
      <c r="AG6" s="60" t="n">
        <f aca="false">(Payroll!AG76*'Assumption Setting'!$C$201+Payroll!AG75*'Assumption Setting'!$C$202)*(1+'Assumption Setting'!$C$203)/'Timeline and FX'!AG8</f>
        <v>857.622702401862</v>
      </c>
      <c r="AH6" s="60" t="n">
        <f aca="false">(Payroll!AH76*'Assumption Setting'!$C$201+Payroll!AH75*'Assumption Setting'!$C$202)*(1+'Assumption Setting'!$C$203)/'Timeline and FX'!AH8</f>
        <v>0</v>
      </c>
      <c r="AI6" s="60" t="n">
        <f aca="false">(Payroll!AI76*'Assumption Setting'!$C$201+Payroll!AI75*'Assumption Setting'!$C$202)*(1+'Assumption Setting'!$C$203)/'Timeline and FX'!AI8</f>
        <v>1698.66844903094</v>
      </c>
      <c r="AJ6" s="60" t="n">
        <f aca="false">(Payroll!AJ76*'Assumption Setting'!$C$201+Payroll!AJ75*'Assumption Setting'!$C$202)*(1+'Assumption Setting'!$C$203)/'Timeline and FX'!AJ8</f>
        <v>0</v>
      </c>
      <c r="AK6" s="60" t="n">
        <f aca="false">(Payroll!AK76*'Assumption Setting'!$C$201+Payroll!AK75*'Assumption Setting'!$C$202)*(1+'Assumption Setting'!$C$203)/'Timeline and FX'!AK8</f>
        <v>841.125850462015</v>
      </c>
      <c r="AL6" s="60" t="n">
        <f aca="false">(Payroll!AL76*'Assumption Setting'!$C$201+Payroll!AL75*'Assumption Setting'!$C$202)*(1+'Assumption Setting'!$C$203)/'Timeline and FX'!AL8</f>
        <v>837.051460153921</v>
      </c>
      <c r="AM6" s="60" t="n">
        <f aca="false">(Payroll!AM76*'Assumption Setting'!$C$201+Payroll!AM75*'Assumption Setting'!$C$202)*(1+'Assumption Setting'!$C$203)/'Timeline and FX'!AM8</f>
        <v>0</v>
      </c>
      <c r="AN6" s="60" t="n">
        <f aca="false">(Payroll!AN76*'Assumption Setting'!$C$201+Payroll!AN75*'Assumption Setting'!$C$202)*(1+'Assumption Setting'!$C$203)/'Timeline and FX'!AN8</f>
        <v>0</v>
      </c>
      <c r="AO6" s="59" t="n">
        <f aca="false">SUM(AP6:BA6)</f>
        <v>21889.7763813505</v>
      </c>
      <c r="AP6" s="60" t="n">
        <f aca="false">(Payroll!AP76*'Assumption Setting'!$C$201+Payroll!AP75*'Assumption Setting'!$C$202)*(1+'Assumption Setting'!$C$203)/'Timeline and FX'!AP8</f>
        <v>13055.6722689761</v>
      </c>
      <c r="AQ6" s="60" t="n">
        <f aca="false">(Payroll!AQ76*'Assumption Setting'!$C$201+Payroll!AQ75*'Assumption Setting'!$C$202)*(1+'Assumption Setting'!$C$203)/'Timeline and FX'!AQ8</f>
        <v>820.950307554393</v>
      </c>
      <c r="AR6" s="60" t="n">
        <f aca="false">(Payroll!AR76*'Assumption Setting'!$C$201+Payroll!AR75*'Assumption Setting'!$C$202)*(1+'Assumption Setting'!$C$203)/'Timeline and FX'!AR8</f>
        <v>816.973647016985</v>
      </c>
      <c r="AS6" s="60" t="n">
        <f aca="false">(Payroll!AS76*'Assumption Setting'!$C$201+Payroll!AS75*'Assumption Setting'!$C$202)*(1+'Assumption Setting'!$C$203)/'Timeline and FX'!AS8</f>
        <v>813.016249313009</v>
      </c>
      <c r="AT6" s="60" t="n">
        <f aca="false">(Payroll!AT76*'Assumption Setting'!$C$201+Payroll!AT75*'Assumption Setting'!$C$202)*(1+'Assumption Setting'!$C$203)/'Timeline and FX'!AT8</f>
        <v>809.078021133832</v>
      </c>
      <c r="AU6" s="60" t="n">
        <f aca="false">(Payroll!AU76*'Assumption Setting'!$C$201+Payroll!AU75*'Assumption Setting'!$C$202)*(1+'Assumption Setting'!$C$203)/'Timeline and FX'!AU8</f>
        <v>805.158869622809</v>
      </c>
      <c r="AV6" s="60" t="n">
        <f aca="false">(Payroll!AV76*'Assumption Setting'!$C$201+Payroll!AV75*'Assumption Setting'!$C$202)*(1+'Assumption Setting'!$C$203)/'Timeline and FX'!AV8</f>
        <v>1602.51740474617</v>
      </c>
      <c r="AW6" s="60" t="n">
        <f aca="false">(Payroll!AW76*'Assumption Setting'!$C$201+Payroll!AW75*'Assumption Setting'!$C$202)*(1+'Assumption Setting'!$C$203)/'Timeline and FX'!AW8</f>
        <v>797.37742742543</v>
      </c>
      <c r="AX6" s="60" t="n">
        <f aca="false">(Payroll!AX76*'Assumption Setting'!$C$201+Payroll!AX75*'Assumption Setting'!$C$202)*(1+'Assumption Setting'!$C$203)/'Timeline and FX'!AX8</f>
        <v>793.514953266052</v>
      </c>
      <c r="AY6" s="60" t="n">
        <f aca="false">(Payroll!AY76*'Assumption Setting'!$C$201+Payroll!AY75*'Assumption Setting'!$C$202)*(1+'Assumption Setting'!$C$203)/'Timeline and FX'!AY8</f>
        <v>789.671188824454</v>
      </c>
      <c r="AZ6" s="60" t="n">
        <f aca="false">(Payroll!AZ76*'Assumption Setting'!$C$201+Payroll!AZ75*'Assumption Setting'!$C$202)*(1+'Assumption Setting'!$C$203)/'Timeline and FX'!AZ8</f>
        <v>785.846043471283</v>
      </c>
      <c r="BA6" s="60" t="n">
        <f aca="false">(Payroll!BA76*'Assumption Setting'!$C$201+Payroll!BA75*'Assumption Setting'!$C$202)*(1+'Assumption Setting'!$C$203)/'Timeline and FX'!BA8</f>
        <v>0</v>
      </c>
      <c r="BB6" s="59" t="n">
        <f aca="false">SUM(BC6:BN6)</f>
        <v>26848.4233790335</v>
      </c>
      <c r="BC6" s="60" t="n">
        <f aca="false">(Payroll!BC76*'Assumption Setting'!$C$201+Payroll!BC75*'Assumption Setting'!$C$202)*(1+'Assumption Setting'!$C$203)/'Timeline and FX'!BC8</f>
        <v>13974.6854838459</v>
      </c>
      <c r="BD6" s="60" t="n">
        <f aca="false">(Payroll!BD76*'Assumption Setting'!$C$201+Payroll!BD75*'Assumption Setting'!$C$202)*(1+'Assumption Setting'!$C$203)/'Timeline and FX'!BD8</f>
        <v>1548.96284444225</v>
      </c>
      <c r="BE6" s="60" t="n">
        <f aca="false">(Payroll!BE76*'Assumption Setting'!$C$201+Payroll!BE75*'Assumption Setting'!$C$202)*(1+'Assumption Setting'!$C$203)/'Timeline and FX'!BE8</f>
        <v>1541.4597113528</v>
      </c>
      <c r="BF6" s="60" t="n">
        <f aca="false">(Payroll!BF76*'Assumption Setting'!$C$201+Payroll!BF75*'Assumption Setting'!$C$202)*(1+'Assumption Setting'!$C$203)/'Timeline and FX'!BF8</f>
        <v>0</v>
      </c>
      <c r="BG6" s="60" t="n">
        <f aca="false">(Payroll!BG76*'Assumption Setting'!$C$201+Payroll!BG75*'Assumption Setting'!$C$202)*(1+'Assumption Setting'!$C$203)/'Timeline and FX'!BG8</f>
        <v>1526.5623040261</v>
      </c>
      <c r="BH6" s="60" t="n">
        <f aca="false">(Payroll!BH76*'Assumption Setting'!$C$201+Payroll!BH75*'Assumption Setting'!$C$202)*(1+'Assumption Setting'!$C$203)/'Timeline and FX'!BH8</f>
        <v>1519.1676785336</v>
      </c>
      <c r="BI6" s="60" t="n">
        <f aca="false">(Payroll!BI76*'Assumption Setting'!$C$201+Payroll!BI75*'Assumption Setting'!$C$202)*(1+'Assumption Setting'!$C$203)/'Timeline and FX'!BI8</f>
        <v>2267.71330860307</v>
      </c>
      <c r="BJ6" s="60" t="n">
        <f aca="false">(Payroll!BJ76*'Assumption Setting'!$C$201+Payroll!BJ75*'Assumption Setting'!$C$202)*(1+'Assumption Setting'!$C$203)/'Timeline and FX'!BJ8</f>
        <v>0</v>
      </c>
      <c r="BK6" s="60" t="n">
        <f aca="false">(Payroll!BK76*'Assumption Setting'!$C$201+Payroll!BK75*'Assumption Setting'!$C$202)*(1+'Assumption Setting'!$C$203)/'Timeline and FX'!BK8</f>
        <v>1497.19802503029</v>
      </c>
      <c r="BL6" s="60" t="n">
        <f aca="false">(Payroll!BL76*'Assumption Setting'!$C$201+Payroll!BL75*'Assumption Setting'!$C$202)*(1+'Assumption Setting'!$C$203)/'Timeline and FX'!BL8</f>
        <v>1489.94563929142</v>
      </c>
      <c r="BM6" s="60" t="n">
        <f aca="false">(Payroll!BM76*'Assumption Setting'!$C$201+Payroll!BM75*'Assumption Setting'!$C$202)*(1+'Assumption Setting'!$C$203)/'Timeline and FX'!BM8</f>
        <v>1482.72838390808</v>
      </c>
      <c r="BN6" s="60" t="n">
        <f aca="false">(Payroll!BN76*'Assumption Setting'!$C$201+Payroll!BN75*'Assumption Setting'!$C$202)*(1+'Assumption Setting'!$C$203)/'Timeline and FX'!BN8</f>
        <v>0</v>
      </c>
    </row>
    <row r="7" customFormat="false" ht="15" hidden="false" customHeight="false" outlineLevel="0" collapsed="false">
      <c r="A7" s="4" t="s">
        <v>550</v>
      </c>
      <c r="B7" s="59" t="n">
        <f aca="false">SUM(C7:N7)</f>
        <v>6796.11650485437</v>
      </c>
      <c r="C7" s="60" t="n">
        <f aca="false">IF(1='Assumption Setting'!$D$205,'Assumption Setting'!$C$205/'Timeline and FX'!C8,0)</f>
        <v>6796.11650485437</v>
      </c>
      <c r="D7" s="60" t="n">
        <f aca="false">IF(2='Assumption Setting'!$D$205,'Assumption Setting'!$C$205/'Timeline and FX'!D8,0)</f>
        <v>0</v>
      </c>
      <c r="E7" s="60" t="n">
        <f aca="false">IF(3='Assumption Setting'!$D$205,'Assumption Setting'!$C$205/'Timeline and FX'!E8,0)</f>
        <v>0</v>
      </c>
      <c r="F7" s="60" t="n">
        <f aca="false">IF(4='Assumption Setting'!$D$205,'Assumption Setting'!$C$205/'Timeline and FX'!F8,0)</f>
        <v>0</v>
      </c>
      <c r="G7" s="60" t="n">
        <f aca="false">IF(5='Assumption Setting'!$D$205,'Assumption Setting'!$C$205/'Timeline and FX'!G8,0)</f>
        <v>0</v>
      </c>
      <c r="H7" s="60" t="n">
        <f aca="false">IF(6='Assumption Setting'!$D$205,'Assumption Setting'!$C$205/'Timeline and FX'!H8,0)</f>
        <v>0</v>
      </c>
      <c r="I7" s="60" t="n">
        <f aca="false">IF(7='Assumption Setting'!$D$205,'Assumption Setting'!$C$205/'Timeline and FX'!I8,0)</f>
        <v>0</v>
      </c>
      <c r="J7" s="60" t="n">
        <f aca="false">IF(8='Assumption Setting'!$D$205,'Assumption Setting'!$C$205/'Timeline and FX'!J8,0)</f>
        <v>0</v>
      </c>
      <c r="K7" s="60" t="n">
        <f aca="false">IF(9='Assumption Setting'!$D$205,'Assumption Setting'!$C$205/'Timeline and FX'!K8,0)</f>
        <v>0</v>
      </c>
      <c r="L7" s="60" t="n">
        <f aca="false">IF(10='Assumption Setting'!$D$205,'Assumption Setting'!$C$205/'Timeline and FX'!L8,0)</f>
        <v>0</v>
      </c>
      <c r="M7" s="60" t="n">
        <f aca="false">IF(11='Assumption Setting'!$D$205,'Assumption Setting'!$C$205/'Timeline and FX'!M8,0)</f>
        <v>0</v>
      </c>
      <c r="N7" s="60" t="n">
        <f aca="false">IF(12='Assumption Setting'!$D$205,'Assumption Setting'!$C$205/'Timeline and FX'!N8,0)</f>
        <v>0</v>
      </c>
      <c r="O7" s="59" t="n">
        <f aca="false">SUM(P7:AA7)</f>
        <v>0</v>
      </c>
      <c r="P7" s="60" t="n">
        <f aca="false">IF(13='Assumption Setting'!$D$205,'Assumption Setting'!$C$205/'Timeline and FX'!P8,0)</f>
        <v>0</v>
      </c>
      <c r="Q7" s="60" t="n">
        <f aca="false">IF(14='Assumption Setting'!$D$205,'Assumption Setting'!$C$205/'Timeline and FX'!Q8,0)</f>
        <v>0</v>
      </c>
      <c r="R7" s="60" t="n">
        <f aca="false">IF(15='Assumption Setting'!$D$205,'Assumption Setting'!$C$205/'Timeline and FX'!R8,0)</f>
        <v>0</v>
      </c>
      <c r="S7" s="60" t="n">
        <f aca="false">IF(16='Assumption Setting'!$D$205,'Assumption Setting'!$C$205/'Timeline and FX'!S8,0)</f>
        <v>0</v>
      </c>
      <c r="T7" s="60" t="n">
        <f aca="false">IF(17='Assumption Setting'!$D$205,'Assumption Setting'!$C$205/'Timeline and FX'!T8,0)</f>
        <v>0</v>
      </c>
      <c r="U7" s="60" t="n">
        <f aca="false">IF(18='Assumption Setting'!$D$205,'Assumption Setting'!$C$205/'Timeline and FX'!U8,0)</f>
        <v>0</v>
      </c>
      <c r="V7" s="60" t="n">
        <f aca="false">IF(19='Assumption Setting'!$D$205,'Assumption Setting'!$C$205/'Timeline and FX'!V8,0)</f>
        <v>0</v>
      </c>
      <c r="W7" s="60" t="n">
        <f aca="false">IF(20='Assumption Setting'!$D$205,'Assumption Setting'!$C$205/'Timeline and FX'!W8,0)</f>
        <v>0</v>
      </c>
      <c r="X7" s="60" t="n">
        <f aca="false">IF(21='Assumption Setting'!$D$205,'Assumption Setting'!$C$205/'Timeline and FX'!X8,0)</f>
        <v>0</v>
      </c>
      <c r="Y7" s="60" t="n">
        <f aca="false">IF(22='Assumption Setting'!$D$205,'Assumption Setting'!$C$205/'Timeline and FX'!Y8,0)</f>
        <v>0</v>
      </c>
      <c r="Z7" s="60" t="n">
        <f aca="false">IF(23='Assumption Setting'!$D$205,'Assumption Setting'!$C$205/'Timeline and FX'!Z8,0)</f>
        <v>0</v>
      </c>
      <c r="AA7" s="60" t="n">
        <f aca="false">IF(24='Assumption Setting'!$D$205,'Assumption Setting'!$C$205/'Timeline and FX'!AA8,0)</f>
        <v>0</v>
      </c>
      <c r="AB7" s="59" t="n">
        <f aca="false">SUM(AC7:AN7)</f>
        <v>0</v>
      </c>
      <c r="AC7" s="60" t="n">
        <f aca="false">IF(25='Assumption Setting'!$D$205,'Assumption Setting'!$C$205/'Timeline and FX'!AC8,0)</f>
        <v>0</v>
      </c>
      <c r="AD7" s="60" t="n">
        <f aca="false">IF(26='Assumption Setting'!$D$205,'Assumption Setting'!$C$205/'Timeline and FX'!AD8,0)</f>
        <v>0</v>
      </c>
      <c r="AE7" s="60" t="n">
        <f aca="false">IF(27='Assumption Setting'!$D$205,'Assumption Setting'!$C$205/'Timeline and FX'!AE8,0)</f>
        <v>0</v>
      </c>
      <c r="AF7" s="60" t="n">
        <f aca="false">IF(28='Assumption Setting'!$D$205,'Assumption Setting'!$C$205/'Timeline and FX'!AF8,0)</f>
        <v>0</v>
      </c>
      <c r="AG7" s="60" t="n">
        <f aca="false">IF(29='Assumption Setting'!$D$205,'Assumption Setting'!$C$205/'Timeline and FX'!AG8,0)</f>
        <v>0</v>
      </c>
      <c r="AH7" s="60" t="n">
        <f aca="false">IF(30='Assumption Setting'!$D$205,'Assumption Setting'!$C$205/'Timeline and FX'!AH8,0)</f>
        <v>0</v>
      </c>
      <c r="AI7" s="60" t="n">
        <f aca="false">IF(31='Assumption Setting'!$D$205,'Assumption Setting'!$C$205/'Timeline and FX'!AI8,0)</f>
        <v>0</v>
      </c>
      <c r="AJ7" s="60" t="n">
        <f aca="false">IF(32='Assumption Setting'!$D$205,'Assumption Setting'!$C$205/'Timeline and FX'!AJ8,0)</f>
        <v>0</v>
      </c>
      <c r="AK7" s="60" t="n">
        <f aca="false">IF(33='Assumption Setting'!$D$205,'Assumption Setting'!$C$205/'Timeline and FX'!AK8,0)</f>
        <v>0</v>
      </c>
      <c r="AL7" s="60" t="n">
        <f aca="false">IF(34='Assumption Setting'!$D$205,'Assumption Setting'!$C$205/'Timeline and FX'!AL8,0)</f>
        <v>0</v>
      </c>
      <c r="AM7" s="60" t="n">
        <f aca="false">IF(35='Assumption Setting'!$D$205,'Assumption Setting'!$C$205/'Timeline and FX'!AM8,0)</f>
        <v>0</v>
      </c>
      <c r="AN7" s="60" t="n">
        <f aca="false">IF(36='Assumption Setting'!$D$205,'Assumption Setting'!$C$205/'Timeline and FX'!AN8,0)</f>
        <v>0</v>
      </c>
      <c r="AO7" s="59" t="n">
        <f aca="false">SUM(AP7:BA7)</f>
        <v>0</v>
      </c>
      <c r="AP7" s="60" t="n">
        <f aca="false">IF(37='Assumption Setting'!$D$205,'Assumption Setting'!$C$205/'Timeline and FX'!AP8,0)</f>
        <v>0</v>
      </c>
      <c r="AQ7" s="60" t="n">
        <f aca="false">IF(38='Assumption Setting'!$D$205,'Assumption Setting'!$C$205/'Timeline and FX'!AQ8,0)</f>
        <v>0</v>
      </c>
      <c r="AR7" s="60" t="n">
        <f aca="false">IF(39='Assumption Setting'!$D$205,'Assumption Setting'!$C$205/'Timeline and FX'!AR8,0)</f>
        <v>0</v>
      </c>
      <c r="AS7" s="60" t="n">
        <f aca="false">IF(40='Assumption Setting'!$D$205,'Assumption Setting'!$C$205/'Timeline and FX'!AS8,0)</f>
        <v>0</v>
      </c>
      <c r="AT7" s="60" t="n">
        <f aca="false">IF(41='Assumption Setting'!$D$205,'Assumption Setting'!$C$205/'Timeline and FX'!AT8,0)</f>
        <v>0</v>
      </c>
      <c r="AU7" s="60" t="n">
        <f aca="false">IF(42='Assumption Setting'!$D$205,'Assumption Setting'!$C$205/'Timeline and FX'!AU8,0)</f>
        <v>0</v>
      </c>
      <c r="AV7" s="60" t="n">
        <f aca="false">IF(43='Assumption Setting'!$D$205,'Assumption Setting'!$C$205/'Timeline and FX'!AV8,0)</f>
        <v>0</v>
      </c>
      <c r="AW7" s="60" t="n">
        <f aca="false">IF(44='Assumption Setting'!$D$205,'Assumption Setting'!$C$205/'Timeline and FX'!AW8,0)</f>
        <v>0</v>
      </c>
      <c r="AX7" s="60" t="n">
        <f aca="false">IF(45='Assumption Setting'!$D$205,'Assumption Setting'!$C$205/'Timeline and FX'!AX8,0)</f>
        <v>0</v>
      </c>
      <c r="AY7" s="60" t="n">
        <f aca="false">IF(46='Assumption Setting'!$D$205,'Assumption Setting'!$C$205/'Timeline and FX'!AY8,0)</f>
        <v>0</v>
      </c>
      <c r="AZ7" s="60" t="n">
        <f aca="false">IF(47='Assumption Setting'!$D$205,'Assumption Setting'!$C$205/'Timeline and FX'!AZ8,0)</f>
        <v>0</v>
      </c>
      <c r="BA7" s="60" t="n">
        <f aca="false">IF(48='Assumption Setting'!$D$205,'Assumption Setting'!$C$205/'Timeline and FX'!BA8,0)</f>
        <v>0</v>
      </c>
      <c r="BB7" s="59" t="n">
        <f aca="false">SUM(BC7:BN7)</f>
        <v>0</v>
      </c>
      <c r="BC7" s="60" t="n">
        <f aca="false">IF(49='Assumption Setting'!$D$205,'Assumption Setting'!$C$205/'Timeline and FX'!BC8,0)</f>
        <v>0</v>
      </c>
      <c r="BD7" s="60" t="n">
        <f aca="false">IF(50='Assumption Setting'!$D$205,'Assumption Setting'!$C$205/'Timeline and FX'!BD8,0)</f>
        <v>0</v>
      </c>
      <c r="BE7" s="60" t="n">
        <f aca="false">IF(51='Assumption Setting'!$D$205,'Assumption Setting'!$C$205/'Timeline and FX'!BE8,0)</f>
        <v>0</v>
      </c>
      <c r="BF7" s="60" t="n">
        <f aca="false">IF(52='Assumption Setting'!$D$205,'Assumption Setting'!$C$205/'Timeline and FX'!BF8,0)</f>
        <v>0</v>
      </c>
      <c r="BG7" s="60" t="n">
        <f aca="false">IF(53='Assumption Setting'!$D$205,'Assumption Setting'!$C$205/'Timeline and FX'!BG8,0)</f>
        <v>0</v>
      </c>
      <c r="BH7" s="60" t="n">
        <f aca="false">IF(54='Assumption Setting'!$D$205,'Assumption Setting'!$C$205/'Timeline and FX'!BH8,0)</f>
        <v>0</v>
      </c>
      <c r="BI7" s="60" t="n">
        <f aca="false">IF(55='Assumption Setting'!$D$205,'Assumption Setting'!$C$205/'Timeline and FX'!BI8,0)</f>
        <v>0</v>
      </c>
      <c r="BJ7" s="60" t="n">
        <f aca="false">IF(56='Assumption Setting'!$D$205,'Assumption Setting'!$C$205/'Timeline and FX'!BJ8,0)</f>
        <v>0</v>
      </c>
      <c r="BK7" s="60" t="n">
        <f aca="false">IF(57='Assumption Setting'!$D$205,'Assumption Setting'!$C$205/'Timeline and FX'!BK8,0)</f>
        <v>0</v>
      </c>
      <c r="BL7" s="60" t="n">
        <f aca="false">IF(58='Assumption Setting'!$D$205,'Assumption Setting'!$C$205/'Timeline and FX'!BL8,0)</f>
        <v>0</v>
      </c>
      <c r="BM7" s="60" t="n">
        <f aca="false">IF(59='Assumption Setting'!$D$205,'Assumption Setting'!$C$205/'Timeline and FX'!BM8,0)</f>
        <v>0</v>
      </c>
      <c r="BN7" s="60" t="n">
        <f aca="false">IF(60='Assumption Setting'!$D$205,'Assumption Setting'!$C$205/'Timeline and FX'!BN8,0)</f>
        <v>0</v>
      </c>
    </row>
    <row r="8" customFormat="false" ht="15" hidden="false" customHeight="false" outlineLevel="0" collapsed="false">
      <c r="A8" s="4" t="s">
        <v>551</v>
      </c>
      <c r="B8" s="59" t="n">
        <f aca="false">SUM(C8:N8)</f>
        <v>2912.6213592233</v>
      </c>
      <c r="C8" s="60" t="n">
        <f aca="false">IF(1='Assumption Setting'!$D$206,'Assumption Setting'!$C$206/'Timeline and FX'!C8,0)</f>
        <v>2912.6213592233</v>
      </c>
      <c r="D8" s="60" t="n">
        <f aca="false">IF(2='Assumption Setting'!$D$206,'Assumption Setting'!$C$206/'Timeline and FX'!D8,0)</f>
        <v>0</v>
      </c>
      <c r="E8" s="60" t="n">
        <f aca="false">IF(3='Assumption Setting'!$D$206,'Assumption Setting'!$C$206/'Timeline and FX'!E8,0)</f>
        <v>0</v>
      </c>
      <c r="F8" s="60" t="n">
        <f aca="false">IF(4='Assumption Setting'!$D$206,'Assumption Setting'!$C$206/'Timeline and FX'!F8,0)</f>
        <v>0</v>
      </c>
      <c r="G8" s="60" t="n">
        <f aca="false">IF(5='Assumption Setting'!$D$206,'Assumption Setting'!$C$206/'Timeline and FX'!G8,0)</f>
        <v>0</v>
      </c>
      <c r="H8" s="60" t="n">
        <f aca="false">IF(6='Assumption Setting'!$D$206,'Assumption Setting'!$C$206/'Timeline and FX'!H8,0)</f>
        <v>0</v>
      </c>
      <c r="I8" s="60" t="n">
        <f aca="false">IF(7='Assumption Setting'!$D$206,'Assumption Setting'!$C$206/'Timeline and FX'!I8,0)</f>
        <v>0</v>
      </c>
      <c r="J8" s="60" t="n">
        <f aca="false">IF(8='Assumption Setting'!$D$206,'Assumption Setting'!$C$206/'Timeline and FX'!J8,0)</f>
        <v>0</v>
      </c>
      <c r="K8" s="60" t="n">
        <f aca="false">IF(9='Assumption Setting'!$D$206,'Assumption Setting'!$C$206/'Timeline and FX'!K8,0)</f>
        <v>0</v>
      </c>
      <c r="L8" s="60" t="n">
        <f aca="false">IF(10='Assumption Setting'!$D$206,'Assumption Setting'!$C$206/'Timeline and FX'!L8,0)</f>
        <v>0</v>
      </c>
      <c r="M8" s="60" t="n">
        <f aca="false">IF(11='Assumption Setting'!$D$206,'Assumption Setting'!$C$206/'Timeline and FX'!M8,0)</f>
        <v>0</v>
      </c>
      <c r="N8" s="60" t="n">
        <f aca="false">IF(12='Assumption Setting'!$D$206,'Assumption Setting'!$C$206/'Timeline and FX'!N8,0)</f>
        <v>0</v>
      </c>
      <c r="O8" s="59" t="n">
        <f aca="false">SUM(P8:AA8)</f>
        <v>0</v>
      </c>
      <c r="P8" s="60" t="n">
        <f aca="false">IF(13='Assumption Setting'!$D$206,'Assumption Setting'!$C$206/'Timeline and FX'!P8,0)</f>
        <v>0</v>
      </c>
      <c r="Q8" s="60" t="n">
        <f aca="false">IF(14='Assumption Setting'!$D$206,'Assumption Setting'!$C$206/'Timeline and FX'!Q8,0)</f>
        <v>0</v>
      </c>
      <c r="R8" s="60" t="n">
        <f aca="false">IF(15='Assumption Setting'!$D$206,'Assumption Setting'!$C$206/'Timeline and FX'!R8,0)</f>
        <v>0</v>
      </c>
      <c r="S8" s="60" t="n">
        <f aca="false">IF(16='Assumption Setting'!$D$206,'Assumption Setting'!$C$206/'Timeline and FX'!S8,0)</f>
        <v>0</v>
      </c>
      <c r="T8" s="60" t="n">
        <f aca="false">IF(17='Assumption Setting'!$D$206,'Assumption Setting'!$C$206/'Timeline and FX'!T8,0)</f>
        <v>0</v>
      </c>
      <c r="U8" s="60" t="n">
        <f aca="false">IF(18='Assumption Setting'!$D$206,'Assumption Setting'!$C$206/'Timeline and FX'!U8,0)</f>
        <v>0</v>
      </c>
      <c r="V8" s="60" t="n">
        <f aca="false">IF(19='Assumption Setting'!$D$206,'Assumption Setting'!$C$206/'Timeline and FX'!V8,0)</f>
        <v>0</v>
      </c>
      <c r="W8" s="60" t="n">
        <f aca="false">IF(20='Assumption Setting'!$D$206,'Assumption Setting'!$C$206/'Timeline and FX'!W8,0)</f>
        <v>0</v>
      </c>
      <c r="X8" s="60" t="n">
        <f aca="false">IF(21='Assumption Setting'!$D$206,'Assumption Setting'!$C$206/'Timeline and FX'!X8,0)</f>
        <v>0</v>
      </c>
      <c r="Y8" s="60" t="n">
        <f aca="false">IF(22='Assumption Setting'!$D$206,'Assumption Setting'!$C$206/'Timeline and FX'!Y8,0)</f>
        <v>0</v>
      </c>
      <c r="Z8" s="60" t="n">
        <f aca="false">IF(23='Assumption Setting'!$D$206,'Assumption Setting'!$C$206/'Timeline and FX'!Z8,0)</f>
        <v>0</v>
      </c>
      <c r="AA8" s="60" t="n">
        <f aca="false">IF(24='Assumption Setting'!$D$206,'Assumption Setting'!$C$206/'Timeline and FX'!AA8,0)</f>
        <v>0</v>
      </c>
      <c r="AB8" s="59" t="n">
        <f aca="false">SUM(AC8:AN8)</f>
        <v>0</v>
      </c>
      <c r="AC8" s="60" t="n">
        <f aca="false">IF(25='Assumption Setting'!$D$206,'Assumption Setting'!$C$206/'Timeline and FX'!AC8,0)</f>
        <v>0</v>
      </c>
      <c r="AD8" s="60" t="n">
        <f aca="false">IF(26='Assumption Setting'!$D$206,'Assumption Setting'!$C$206/'Timeline and FX'!AD8,0)</f>
        <v>0</v>
      </c>
      <c r="AE8" s="60" t="n">
        <f aca="false">IF(27='Assumption Setting'!$D$206,'Assumption Setting'!$C$206/'Timeline and FX'!AE8,0)</f>
        <v>0</v>
      </c>
      <c r="AF8" s="60" t="n">
        <f aca="false">IF(28='Assumption Setting'!$D$206,'Assumption Setting'!$C$206/'Timeline and FX'!AF8,0)</f>
        <v>0</v>
      </c>
      <c r="AG8" s="60" t="n">
        <f aca="false">IF(29='Assumption Setting'!$D$206,'Assumption Setting'!$C$206/'Timeline and FX'!AG8,0)</f>
        <v>0</v>
      </c>
      <c r="AH8" s="60" t="n">
        <f aca="false">IF(30='Assumption Setting'!$D$206,'Assumption Setting'!$C$206/'Timeline and FX'!AH8,0)</f>
        <v>0</v>
      </c>
      <c r="AI8" s="60" t="n">
        <f aca="false">IF(31='Assumption Setting'!$D$206,'Assumption Setting'!$C$206/'Timeline and FX'!AI8,0)</f>
        <v>0</v>
      </c>
      <c r="AJ8" s="60" t="n">
        <f aca="false">IF(32='Assumption Setting'!$D$206,'Assumption Setting'!$C$206/'Timeline and FX'!AJ8,0)</f>
        <v>0</v>
      </c>
      <c r="AK8" s="60" t="n">
        <f aca="false">IF(33='Assumption Setting'!$D$206,'Assumption Setting'!$C$206/'Timeline and FX'!AK8,0)</f>
        <v>0</v>
      </c>
      <c r="AL8" s="60" t="n">
        <f aca="false">IF(34='Assumption Setting'!$D$206,'Assumption Setting'!$C$206/'Timeline and FX'!AL8,0)</f>
        <v>0</v>
      </c>
      <c r="AM8" s="60" t="n">
        <f aca="false">IF(35='Assumption Setting'!$D$206,'Assumption Setting'!$C$206/'Timeline and FX'!AM8,0)</f>
        <v>0</v>
      </c>
      <c r="AN8" s="60" t="n">
        <f aca="false">IF(36='Assumption Setting'!$D$206,'Assumption Setting'!$C$206/'Timeline and FX'!AN8,0)</f>
        <v>0</v>
      </c>
      <c r="AO8" s="59" t="n">
        <f aca="false">SUM(AP8:BA8)</f>
        <v>0</v>
      </c>
      <c r="AP8" s="60" t="n">
        <f aca="false">IF(37='Assumption Setting'!$D$206,'Assumption Setting'!$C$206/'Timeline and FX'!AP8,0)</f>
        <v>0</v>
      </c>
      <c r="AQ8" s="60" t="n">
        <f aca="false">IF(38='Assumption Setting'!$D$206,'Assumption Setting'!$C$206/'Timeline and FX'!AQ8,0)</f>
        <v>0</v>
      </c>
      <c r="AR8" s="60" t="n">
        <f aca="false">IF(39='Assumption Setting'!$D$206,'Assumption Setting'!$C$206/'Timeline and FX'!AR8,0)</f>
        <v>0</v>
      </c>
      <c r="AS8" s="60" t="n">
        <f aca="false">IF(40='Assumption Setting'!$D$206,'Assumption Setting'!$C$206/'Timeline and FX'!AS8,0)</f>
        <v>0</v>
      </c>
      <c r="AT8" s="60" t="n">
        <f aca="false">IF(41='Assumption Setting'!$D$206,'Assumption Setting'!$C$206/'Timeline and FX'!AT8,0)</f>
        <v>0</v>
      </c>
      <c r="AU8" s="60" t="n">
        <f aca="false">IF(42='Assumption Setting'!$D$206,'Assumption Setting'!$C$206/'Timeline and FX'!AU8,0)</f>
        <v>0</v>
      </c>
      <c r="AV8" s="60" t="n">
        <f aca="false">IF(43='Assumption Setting'!$D$206,'Assumption Setting'!$C$206/'Timeline and FX'!AV8,0)</f>
        <v>0</v>
      </c>
      <c r="AW8" s="60" t="n">
        <f aca="false">IF(44='Assumption Setting'!$D$206,'Assumption Setting'!$C$206/'Timeline and FX'!AW8,0)</f>
        <v>0</v>
      </c>
      <c r="AX8" s="60" t="n">
        <f aca="false">IF(45='Assumption Setting'!$D$206,'Assumption Setting'!$C$206/'Timeline and FX'!AX8,0)</f>
        <v>0</v>
      </c>
      <c r="AY8" s="60" t="n">
        <f aca="false">IF(46='Assumption Setting'!$D$206,'Assumption Setting'!$C$206/'Timeline and FX'!AY8,0)</f>
        <v>0</v>
      </c>
      <c r="AZ8" s="60" t="n">
        <f aca="false">IF(47='Assumption Setting'!$D$206,'Assumption Setting'!$C$206/'Timeline and FX'!AZ8,0)</f>
        <v>0</v>
      </c>
      <c r="BA8" s="60" t="n">
        <f aca="false">IF(48='Assumption Setting'!$D$206,'Assumption Setting'!$C$206/'Timeline and FX'!BA8,0)</f>
        <v>0</v>
      </c>
      <c r="BB8" s="59" t="n">
        <f aca="false">SUM(BC8:BN8)</f>
        <v>0</v>
      </c>
      <c r="BC8" s="60" t="n">
        <f aca="false">IF(49='Assumption Setting'!$D$206,'Assumption Setting'!$C$206/'Timeline and FX'!BC8,0)</f>
        <v>0</v>
      </c>
      <c r="BD8" s="60" t="n">
        <f aca="false">IF(50='Assumption Setting'!$D$206,'Assumption Setting'!$C$206/'Timeline and FX'!BD8,0)</f>
        <v>0</v>
      </c>
      <c r="BE8" s="60" t="n">
        <f aca="false">IF(51='Assumption Setting'!$D$206,'Assumption Setting'!$C$206/'Timeline and FX'!BE8,0)</f>
        <v>0</v>
      </c>
      <c r="BF8" s="60" t="n">
        <f aca="false">IF(52='Assumption Setting'!$D$206,'Assumption Setting'!$C$206/'Timeline and FX'!BF8,0)</f>
        <v>0</v>
      </c>
      <c r="BG8" s="60" t="n">
        <f aca="false">IF(53='Assumption Setting'!$D$206,'Assumption Setting'!$C$206/'Timeline and FX'!BG8,0)</f>
        <v>0</v>
      </c>
      <c r="BH8" s="60" t="n">
        <f aca="false">IF(54='Assumption Setting'!$D$206,'Assumption Setting'!$C$206/'Timeline and FX'!BH8,0)</f>
        <v>0</v>
      </c>
      <c r="BI8" s="60" t="n">
        <f aca="false">IF(55='Assumption Setting'!$D$206,'Assumption Setting'!$C$206/'Timeline and FX'!BI8,0)</f>
        <v>0</v>
      </c>
      <c r="BJ8" s="60" t="n">
        <f aca="false">IF(56='Assumption Setting'!$D$206,'Assumption Setting'!$C$206/'Timeline and FX'!BJ8,0)</f>
        <v>0</v>
      </c>
      <c r="BK8" s="60" t="n">
        <f aca="false">IF(57='Assumption Setting'!$D$206,'Assumption Setting'!$C$206/'Timeline and FX'!BK8,0)</f>
        <v>0</v>
      </c>
      <c r="BL8" s="60" t="n">
        <f aca="false">IF(58='Assumption Setting'!$D$206,'Assumption Setting'!$C$206/'Timeline and FX'!BL8,0)</f>
        <v>0</v>
      </c>
      <c r="BM8" s="60" t="n">
        <f aca="false">IF(59='Assumption Setting'!$D$206,'Assumption Setting'!$C$206/'Timeline and FX'!BM8,0)</f>
        <v>0</v>
      </c>
      <c r="BN8" s="60" t="n">
        <f aca="false">IF(60='Assumption Setting'!$D$206,'Assumption Setting'!$C$206/'Timeline and FX'!BN8,0)</f>
        <v>0</v>
      </c>
    </row>
    <row r="9" customFormat="false" ht="15" hidden="false" customHeight="false" outlineLevel="0" collapsed="false">
      <c r="A9" s="4" t="s">
        <v>553</v>
      </c>
      <c r="B9" s="59" t="n">
        <f aca="false">SUM(C9:N9)</f>
        <v>3495.14563106796</v>
      </c>
      <c r="C9" s="60" t="n">
        <f aca="false">IF(1='Assumption Setting'!$D$208,'Assumption Setting'!$C$208/'Timeline and FX'!C8,0)</f>
        <v>3495.14563106796</v>
      </c>
      <c r="D9" s="60" t="n">
        <f aca="false">IF(2='Assumption Setting'!$D$208,'Assumption Setting'!$C$208/'Timeline and FX'!D8,0)</f>
        <v>0</v>
      </c>
      <c r="E9" s="60" t="n">
        <f aca="false">IF(3='Assumption Setting'!$D$208,'Assumption Setting'!$C$208/'Timeline and FX'!E8,0)</f>
        <v>0</v>
      </c>
      <c r="F9" s="60" t="n">
        <f aca="false">IF(4='Assumption Setting'!$D$208,'Assumption Setting'!$C$208/'Timeline and FX'!F8,0)</f>
        <v>0</v>
      </c>
      <c r="G9" s="60" t="n">
        <f aca="false">IF(5='Assumption Setting'!$D$208,'Assumption Setting'!$C$208/'Timeline and FX'!G8,0)</f>
        <v>0</v>
      </c>
      <c r="H9" s="60" t="n">
        <f aca="false">IF(6='Assumption Setting'!$D$208,'Assumption Setting'!$C$208/'Timeline and FX'!H8,0)</f>
        <v>0</v>
      </c>
      <c r="I9" s="60" t="n">
        <f aca="false">IF(7='Assumption Setting'!$D$208,'Assumption Setting'!$C$208/'Timeline and FX'!I8,0)</f>
        <v>0</v>
      </c>
      <c r="J9" s="60" t="n">
        <f aca="false">IF(8='Assumption Setting'!$D$208,'Assumption Setting'!$C$208/'Timeline and FX'!J8,0)</f>
        <v>0</v>
      </c>
      <c r="K9" s="60" t="n">
        <f aca="false">IF(9='Assumption Setting'!$D$208,'Assumption Setting'!$C$208/'Timeline and FX'!K8,0)</f>
        <v>0</v>
      </c>
      <c r="L9" s="60" t="n">
        <f aca="false">IF(10='Assumption Setting'!$D$208,'Assumption Setting'!$C$208/'Timeline and FX'!L8,0)</f>
        <v>0</v>
      </c>
      <c r="M9" s="60" t="n">
        <f aca="false">IF(11='Assumption Setting'!$D$208,'Assumption Setting'!$C$208/'Timeline and FX'!M8,0)</f>
        <v>0</v>
      </c>
      <c r="N9" s="60" t="n">
        <f aca="false">IF(12='Assumption Setting'!$D$208,'Assumption Setting'!$C$208/'Timeline and FX'!N8,0)</f>
        <v>0</v>
      </c>
      <c r="O9" s="59" t="n">
        <f aca="false">SUM(P9:AA9)</f>
        <v>0</v>
      </c>
      <c r="P9" s="60" t="n">
        <f aca="false">IF(13='Assumption Setting'!$D$208,'Assumption Setting'!$C$208/'Timeline and FX'!P8,0)</f>
        <v>0</v>
      </c>
      <c r="Q9" s="60" t="n">
        <f aca="false">IF(14='Assumption Setting'!$D$208,'Assumption Setting'!$C$208/'Timeline and FX'!Q8,0)</f>
        <v>0</v>
      </c>
      <c r="R9" s="60" t="n">
        <f aca="false">IF(15='Assumption Setting'!$D$208,'Assumption Setting'!$C$208/'Timeline and FX'!R8,0)</f>
        <v>0</v>
      </c>
      <c r="S9" s="60" t="n">
        <f aca="false">IF(16='Assumption Setting'!$D$208,'Assumption Setting'!$C$208/'Timeline and FX'!S8,0)</f>
        <v>0</v>
      </c>
      <c r="T9" s="60" t="n">
        <f aca="false">IF(17='Assumption Setting'!$D$208,'Assumption Setting'!$C$208/'Timeline and FX'!T8,0)</f>
        <v>0</v>
      </c>
      <c r="U9" s="60" t="n">
        <f aca="false">IF(18='Assumption Setting'!$D$208,'Assumption Setting'!$C$208/'Timeline and FX'!U8,0)</f>
        <v>0</v>
      </c>
      <c r="V9" s="60" t="n">
        <f aca="false">IF(19='Assumption Setting'!$D$208,'Assumption Setting'!$C$208/'Timeline and FX'!V8,0)</f>
        <v>0</v>
      </c>
      <c r="W9" s="60" t="n">
        <f aca="false">IF(20='Assumption Setting'!$D$208,'Assumption Setting'!$C$208/'Timeline and FX'!W8,0)</f>
        <v>0</v>
      </c>
      <c r="X9" s="60" t="n">
        <f aca="false">IF(21='Assumption Setting'!$D$208,'Assumption Setting'!$C$208/'Timeline and FX'!X8,0)</f>
        <v>0</v>
      </c>
      <c r="Y9" s="60" t="n">
        <f aca="false">IF(22='Assumption Setting'!$D$208,'Assumption Setting'!$C$208/'Timeline and FX'!Y8,0)</f>
        <v>0</v>
      </c>
      <c r="Z9" s="60" t="n">
        <f aca="false">IF(23='Assumption Setting'!$D$208,'Assumption Setting'!$C$208/'Timeline and FX'!Z8,0)</f>
        <v>0</v>
      </c>
      <c r="AA9" s="60" t="n">
        <f aca="false">IF(24='Assumption Setting'!$D$208,'Assumption Setting'!$C$208/'Timeline and FX'!AA8,0)</f>
        <v>0</v>
      </c>
      <c r="AB9" s="59" t="n">
        <f aca="false">SUM(AC9:AN9)</f>
        <v>0</v>
      </c>
      <c r="AC9" s="60" t="n">
        <f aca="false">IF(25='Assumption Setting'!$D$208,'Assumption Setting'!$C$208/'Timeline and FX'!AC8,0)</f>
        <v>0</v>
      </c>
      <c r="AD9" s="60" t="n">
        <f aca="false">IF(26='Assumption Setting'!$D$208,'Assumption Setting'!$C$208/'Timeline and FX'!AD8,0)</f>
        <v>0</v>
      </c>
      <c r="AE9" s="60" t="n">
        <f aca="false">IF(27='Assumption Setting'!$D$208,'Assumption Setting'!$C$208/'Timeline and FX'!AE8,0)</f>
        <v>0</v>
      </c>
      <c r="AF9" s="60" t="n">
        <f aca="false">IF(28='Assumption Setting'!$D$208,'Assumption Setting'!$C$208/'Timeline and FX'!AF8,0)</f>
        <v>0</v>
      </c>
      <c r="AG9" s="60" t="n">
        <f aca="false">IF(29='Assumption Setting'!$D$208,'Assumption Setting'!$C$208/'Timeline and FX'!AG8,0)</f>
        <v>0</v>
      </c>
      <c r="AH9" s="60" t="n">
        <f aca="false">IF(30='Assumption Setting'!$D$208,'Assumption Setting'!$C$208/'Timeline and FX'!AH8,0)</f>
        <v>0</v>
      </c>
      <c r="AI9" s="60" t="n">
        <f aca="false">IF(31='Assumption Setting'!$D$208,'Assumption Setting'!$C$208/'Timeline and FX'!AI8,0)</f>
        <v>0</v>
      </c>
      <c r="AJ9" s="60" t="n">
        <f aca="false">IF(32='Assumption Setting'!$D$208,'Assumption Setting'!$C$208/'Timeline and FX'!AJ8,0)</f>
        <v>0</v>
      </c>
      <c r="AK9" s="60" t="n">
        <f aca="false">IF(33='Assumption Setting'!$D$208,'Assumption Setting'!$C$208/'Timeline and FX'!AK8,0)</f>
        <v>0</v>
      </c>
      <c r="AL9" s="60" t="n">
        <f aca="false">IF(34='Assumption Setting'!$D$208,'Assumption Setting'!$C$208/'Timeline and FX'!AL8,0)</f>
        <v>0</v>
      </c>
      <c r="AM9" s="60" t="n">
        <f aca="false">IF(35='Assumption Setting'!$D$208,'Assumption Setting'!$C$208/'Timeline and FX'!AM8,0)</f>
        <v>0</v>
      </c>
      <c r="AN9" s="60" t="n">
        <f aca="false">IF(36='Assumption Setting'!$D$208,'Assumption Setting'!$C$208/'Timeline and FX'!AN8,0)</f>
        <v>0</v>
      </c>
      <c r="AO9" s="59" t="n">
        <f aca="false">SUM(AP9:BA9)</f>
        <v>0</v>
      </c>
      <c r="AP9" s="60" t="n">
        <f aca="false">IF(37='Assumption Setting'!$D$208,'Assumption Setting'!$C$208/'Timeline and FX'!AP8,0)</f>
        <v>0</v>
      </c>
      <c r="AQ9" s="60" t="n">
        <f aca="false">IF(38='Assumption Setting'!$D$208,'Assumption Setting'!$C$208/'Timeline and FX'!AQ8,0)</f>
        <v>0</v>
      </c>
      <c r="AR9" s="60" t="n">
        <f aca="false">IF(39='Assumption Setting'!$D$208,'Assumption Setting'!$C$208/'Timeline and FX'!AR8,0)</f>
        <v>0</v>
      </c>
      <c r="AS9" s="60" t="n">
        <f aca="false">IF(40='Assumption Setting'!$D$208,'Assumption Setting'!$C$208/'Timeline and FX'!AS8,0)</f>
        <v>0</v>
      </c>
      <c r="AT9" s="60" t="n">
        <f aca="false">IF(41='Assumption Setting'!$D$208,'Assumption Setting'!$C$208/'Timeline and FX'!AT8,0)</f>
        <v>0</v>
      </c>
      <c r="AU9" s="60" t="n">
        <f aca="false">IF(42='Assumption Setting'!$D$208,'Assumption Setting'!$C$208/'Timeline and FX'!AU8,0)</f>
        <v>0</v>
      </c>
      <c r="AV9" s="60" t="n">
        <f aca="false">IF(43='Assumption Setting'!$D$208,'Assumption Setting'!$C$208/'Timeline and FX'!AV8,0)</f>
        <v>0</v>
      </c>
      <c r="AW9" s="60" t="n">
        <f aca="false">IF(44='Assumption Setting'!$D$208,'Assumption Setting'!$C$208/'Timeline and FX'!AW8,0)</f>
        <v>0</v>
      </c>
      <c r="AX9" s="60" t="n">
        <f aca="false">IF(45='Assumption Setting'!$D$208,'Assumption Setting'!$C$208/'Timeline and FX'!AX8,0)</f>
        <v>0</v>
      </c>
      <c r="AY9" s="60" t="n">
        <f aca="false">IF(46='Assumption Setting'!$D$208,'Assumption Setting'!$C$208/'Timeline and FX'!AY8,0)</f>
        <v>0</v>
      </c>
      <c r="AZ9" s="60" t="n">
        <f aca="false">IF(47='Assumption Setting'!$D$208,'Assumption Setting'!$C$208/'Timeline and FX'!AZ8,0)</f>
        <v>0</v>
      </c>
      <c r="BA9" s="60" t="n">
        <f aca="false">IF(48='Assumption Setting'!$D$208,'Assumption Setting'!$C$208/'Timeline and FX'!BA8,0)</f>
        <v>0</v>
      </c>
      <c r="BB9" s="59" t="n">
        <f aca="false">SUM(BC9:BN9)</f>
        <v>0</v>
      </c>
      <c r="BC9" s="60" t="n">
        <f aca="false">IF(49='Assumption Setting'!$D$208,'Assumption Setting'!$C$208/'Timeline and FX'!BC8,0)</f>
        <v>0</v>
      </c>
      <c r="BD9" s="60" t="n">
        <f aca="false">IF(50='Assumption Setting'!$D$208,'Assumption Setting'!$C$208/'Timeline and FX'!BD8,0)</f>
        <v>0</v>
      </c>
      <c r="BE9" s="60" t="n">
        <f aca="false">IF(51='Assumption Setting'!$D$208,'Assumption Setting'!$C$208/'Timeline and FX'!BE8,0)</f>
        <v>0</v>
      </c>
      <c r="BF9" s="60" t="n">
        <f aca="false">IF(52='Assumption Setting'!$D$208,'Assumption Setting'!$C$208/'Timeline and FX'!BF8,0)</f>
        <v>0</v>
      </c>
      <c r="BG9" s="60" t="n">
        <f aca="false">IF(53='Assumption Setting'!$D$208,'Assumption Setting'!$C$208/'Timeline and FX'!BG8,0)</f>
        <v>0</v>
      </c>
      <c r="BH9" s="60" t="n">
        <f aca="false">IF(54='Assumption Setting'!$D$208,'Assumption Setting'!$C$208/'Timeline and FX'!BH8,0)</f>
        <v>0</v>
      </c>
      <c r="BI9" s="60" t="n">
        <f aca="false">IF(55='Assumption Setting'!$D$208,'Assumption Setting'!$C$208/'Timeline and FX'!BI8,0)</f>
        <v>0</v>
      </c>
      <c r="BJ9" s="60" t="n">
        <f aca="false">IF(56='Assumption Setting'!$D$208,'Assumption Setting'!$C$208/'Timeline and FX'!BJ8,0)</f>
        <v>0</v>
      </c>
      <c r="BK9" s="60" t="n">
        <f aca="false">IF(57='Assumption Setting'!$D$208,'Assumption Setting'!$C$208/'Timeline and FX'!BK8,0)</f>
        <v>0</v>
      </c>
      <c r="BL9" s="60" t="n">
        <f aca="false">IF(58='Assumption Setting'!$D$208,'Assumption Setting'!$C$208/'Timeline and FX'!BL8,0)</f>
        <v>0</v>
      </c>
      <c r="BM9" s="60" t="n">
        <f aca="false">IF(59='Assumption Setting'!$D$208,'Assumption Setting'!$C$208/'Timeline and FX'!BM8,0)</f>
        <v>0</v>
      </c>
      <c r="BN9" s="60" t="n">
        <f aca="false">IF(60='Assumption Setting'!$D$208,'Assumption Setting'!$C$208/'Timeline and FX'!BN8,0)</f>
        <v>0</v>
      </c>
    </row>
    <row r="10" customFormat="false" ht="15" hidden="false" customHeight="false" outlineLevel="0" collapsed="false">
      <c r="A10" s="4" t="s">
        <v>554</v>
      </c>
      <c r="B10" s="59" t="n">
        <f aca="false">SUM(C10:N10)</f>
        <v>1538.38527300487</v>
      </c>
      <c r="C10" s="60" t="n">
        <f aca="false">IF(1='Assumption Setting'!$D$209,'Assumption Setting'!$C$209/'Timeline and FX'!C8,0)</f>
        <v>0</v>
      </c>
      <c r="D10" s="60" t="n">
        <f aca="false">IF(2='Assumption Setting'!$D$209,'Assumption Setting'!$C$209/'Timeline and FX'!D8,0)</f>
        <v>0</v>
      </c>
      <c r="E10" s="60" t="n">
        <f aca="false">IF(3='Assumption Setting'!$D$209,'Assumption Setting'!$C$209/'Timeline and FX'!E8,0)</f>
        <v>1538.38527300487</v>
      </c>
      <c r="F10" s="60" t="n">
        <f aca="false">IF(4='Assumption Setting'!$D$209,'Assumption Setting'!$C$209/'Timeline and FX'!F8,0)</f>
        <v>0</v>
      </c>
      <c r="G10" s="60" t="n">
        <f aca="false">IF(5='Assumption Setting'!$D$209,'Assumption Setting'!$C$209/'Timeline and FX'!G8,0)</f>
        <v>0</v>
      </c>
      <c r="H10" s="60" t="n">
        <f aca="false">IF(6='Assumption Setting'!$D$209,'Assumption Setting'!$C$209/'Timeline and FX'!H8,0)</f>
        <v>0</v>
      </c>
      <c r="I10" s="60" t="n">
        <f aca="false">IF(7='Assumption Setting'!$D$209,'Assumption Setting'!$C$209/'Timeline and FX'!I8,0)</f>
        <v>0</v>
      </c>
      <c r="J10" s="60" t="n">
        <f aca="false">IF(8='Assumption Setting'!$D$209,'Assumption Setting'!$C$209/'Timeline and FX'!J8,0)</f>
        <v>0</v>
      </c>
      <c r="K10" s="60" t="n">
        <f aca="false">IF(9='Assumption Setting'!$D$209,'Assumption Setting'!$C$209/'Timeline and FX'!K8,0)</f>
        <v>0</v>
      </c>
      <c r="L10" s="60" t="n">
        <f aca="false">IF(10='Assumption Setting'!$D$209,'Assumption Setting'!$C$209/'Timeline and FX'!L8,0)</f>
        <v>0</v>
      </c>
      <c r="M10" s="60" t="n">
        <f aca="false">IF(11='Assumption Setting'!$D$209,'Assumption Setting'!$C$209/'Timeline and FX'!M8,0)</f>
        <v>0</v>
      </c>
      <c r="N10" s="60" t="n">
        <f aca="false">IF(12='Assumption Setting'!$D$209,'Assumption Setting'!$C$209/'Timeline and FX'!N8,0)</f>
        <v>0</v>
      </c>
      <c r="O10" s="59" t="n">
        <f aca="false">SUM(P10:AA10)</f>
        <v>0</v>
      </c>
      <c r="P10" s="60" t="n">
        <f aca="false">IF(13='Assumption Setting'!$D$209,'Assumption Setting'!$C$209/'Timeline and FX'!P8,0)</f>
        <v>0</v>
      </c>
      <c r="Q10" s="60" t="n">
        <f aca="false">IF(14='Assumption Setting'!$D$209,'Assumption Setting'!$C$209/'Timeline and FX'!Q8,0)</f>
        <v>0</v>
      </c>
      <c r="R10" s="60" t="n">
        <f aca="false">IF(15='Assumption Setting'!$D$209,'Assumption Setting'!$C$209/'Timeline and FX'!R8,0)</f>
        <v>0</v>
      </c>
      <c r="S10" s="60" t="n">
        <f aca="false">IF(16='Assumption Setting'!$D$209,'Assumption Setting'!$C$209/'Timeline and FX'!S8,0)</f>
        <v>0</v>
      </c>
      <c r="T10" s="60" t="n">
        <f aca="false">IF(17='Assumption Setting'!$D$209,'Assumption Setting'!$C$209/'Timeline and FX'!T8,0)</f>
        <v>0</v>
      </c>
      <c r="U10" s="60" t="n">
        <f aca="false">IF(18='Assumption Setting'!$D$209,'Assumption Setting'!$C$209/'Timeline and FX'!U8,0)</f>
        <v>0</v>
      </c>
      <c r="V10" s="60" t="n">
        <f aca="false">IF(19='Assumption Setting'!$D$209,'Assumption Setting'!$C$209/'Timeline and FX'!V8,0)</f>
        <v>0</v>
      </c>
      <c r="W10" s="60" t="n">
        <f aca="false">IF(20='Assumption Setting'!$D$209,'Assumption Setting'!$C$209/'Timeline and FX'!W8,0)</f>
        <v>0</v>
      </c>
      <c r="X10" s="60" t="n">
        <f aca="false">IF(21='Assumption Setting'!$D$209,'Assumption Setting'!$C$209/'Timeline and FX'!X8,0)</f>
        <v>0</v>
      </c>
      <c r="Y10" s="60" t="n">
        <f aca="false">IF(22='Assumption Setting'!$D$209,'Assumption Setting'!$C$209/'Timeline and FX'!Y8,0)</f>
        <v>0</v>
      </c>
      <c r="Z10" s="60" t="n">
        <f aca="false">IF(23='Assumption Setting'!$D$209,'Assumption Setting'!$C$209/'Timeline and FX'!Z8,0)</f>
        <v>0</v>
      </c>
      <c r="AA10" s="60" t="n">
        <f aca="false">IF(24='Assumption Setting'!$D$209,'Assumption Setting'!$C$209/'Timeline and FX'!AA8,0)</f>
        <v>0</v>
      </c>
      <c r="AB10" s="59" t="n">
        <f aca="false">SUM(AC10:AN10)</f>
        <v>0</v>
      </c>
      <c r="AC10" s="60" t="n">
        <f aca="false">IF(25='Assumption Setting'!$D$209,'Assumption Setting'!$C$209/'Timeline and FX'!AC8,0)</f>
        <v>0</v>
      </c>
      <c r="AD10" s="60" t="n">
        <f aca="false">IF(26='Assumption Setting'!$D$209,'Assumption Setting'!$C$209/'Timeline and FX'!AD8,0)</f>
        <v>0</v>
      </c>
      <c r="AE10" s="60" t="n">
        <f aca="false">IF(27='Assumption Setting'!$D$209,'Assumption Setting'!$C$209/'Timeline and FX'!AE8,0)</f>
        <v>0</v>
      </c>
      <c r="AF10" s="60" t="n">
        <f aca="false">IF(28='Assumption Setting'!$D$209,'Assumption Setting'!$C$209/'Timeline and FX'!AF8,0)</f>
        <v>0</v>
      </c>
      <c r="AG10" s="60" t="n">
        <f aca="false">IF(29='Assumption Setting'!$D$209,'Assumption Setting'!$C$209/'Timeline and FX'!AG8,0)</f>
        <v>0</v>
      </c>
      <c r="AH10" s="60" t="n">
        <f aca="false">IF(30='Assumption Setting'!$D$209,'Assumption Setting'!$C$209/'Timeline and FX'!AH8,0)</f>
        <v>0</v>
      </c>
      <c r="AI10" s="60" t="n">
        <f aca="false">IF(31='Assumption Setting'!$D$209,'Assumption Setting'!$C$209/'Timeline and FX'!AI8,0)</f>
        <v>0</v>
      </c>
      <c r="AJ10" s="60" t="n">
        <f aca="false">IF(32='Assumption Setting'!$D$209,'Assumption Setting'!$C$209/'Timeline and FX'!AJ8,0)</f>
        <v>0</v>
      </c>
      <c r="AK10" s="60" t="n">
        <f aca="false">IF(33='Assumption Setting'!$D$209,'Assumption Setting'!$C$209/'Timeline and FX'!AK8,0)</f>
        <v>0</v>
      </c>
      <c r="AL10" s="60" t="n">
        <f aca="false">IF(34='Assumption Setting'!$D$209,'Assumption Setting'!$C$209/'Timeline and FX'!AL8,0)</f>
        <v>0</v>
      </c>
      <c r="AM10" s="60" t="n">
        <f aca="false">IF(35='Assumption Setting'!$D$209,'Assumption Setting'!$C$209/'Timeline and FX'!AM8,0)</f>
        <v>0</v>
      </c>
      <c r="AN10" s="60" t="n">
        <f aca="false">IF(36='Assumption Setting'!$D$209,'Assumption Setting'!$C$209/'Timeline and FX'!AN8,0)</f>
        <v>0</v>
      </c>
      <c r="AO10" s="59" t="n">
        <f aca="false">SUM(AP10:BA10)</f>
        <v>0</v>
      </c>
      <c r="AP10" s="60" t="n">
        <f aca="false">IF(37='Assumption Setting'!$D$209,'Assumption Setting'!$C$209/'Timeline and FX'!AP8,0)</f>
        <v>0</v>
      </c>
      <c r="AQ10" s="60" t="n">
        <f aca="false">IF(38='Assumption Setting'!$D$209,'Assumption Setting'!$C$209/'Timeline and FX'!AQ8,0)</f>
        <v>0</v>
      </c>
      <c r="AR10" s="60" t="n">
        <f aca="false">IF(39='Assumption Setting'!$D$209,'Assumption Setting'!$C$209/'Timeline and FX'!AR8,0)</f>
        <v>0</v>
      </c>
      <c r="AS10" s="60" t="n">
        <f aca="false">IF(40='Assumption Setting'!$D$209,'Assumption Setting'!$C$209/'Timeline and FX'!AS8,0)</f>
        <v>0</v>
      </c>
      <c r="AT10" s="60" t="n">
        <f aca="false">IF(41='Assumption Setting'!$D$209,'Assumption Setting'!$C$209/'Timeline and FX'!AT8,0)</f>
        <v>0</v>
      </c>
      <c r="AU10" s="60" t="n">
        <f aca="false">IF(42='Assumption Setting'!$D$209,'Assumption Setting'!$C$209/'Timeline and FX'!AU8,0)</f>
        <v>0</v>
      </c>
      <c r="AV10" s="60" t="n">
        <f aca="false">IF(43='Assumption Setting'!$D$209,'Assumption Setting'!$C$209/'Timeline and FX'!AV8,0)</f>
        <v>0</v>
      </c>
      <c r="AW10" s="60" t="n">
        <f aca="false">IF(44='Assumption Setting'!$D$209,'Assumption Setting'!$C$209/'Timeline and FX'!AW8,0)</f>
        <v>0</v>
      </c>
      <c r="AX10" s="60" t="n">
        <f aca="false">IF(45='Assumption Setting'!$D$209,'Assumption Setting'!$C$209/'Timeline and FX'!AX8,0)</f>
        <v>0</v>
      </c>
      <c r="AY10" s="60" t="n">
        <f aca="false">IF(46='Assumption Setting'!$D$209,'Assumption Setting'!$C$209/'Timeline and FX'!AY8,0)</f>
        <v>0</v>
      </c>
      <c r="AZ10" s="60" t="n">
        <f aca="false">IF(47='Assumption Setting'!$D$209,'Assumption Setting'!$C$209/'Timeline and FX'!AZ8,0)</f>
        <v>0</v>
      </c>
      <c r="BA10" s="60" t="n">
        <f aca="false">IF(48='Assumption Setting'!$D$209,'Assumption Setting'!$C$209/'Timeline and FX'!BA8,0)</f>
        <v>0</v>
      </c>
      <c r="BB10" s="59" t="n">
        <f aca="false">SUM(BC10:BN10)</f>
        <v>0</v>
      </c>
      <c r="BC10" s="60" t="n">
        <f aca="false">IF(49='Assumption Setting'!$D$209,'Assumption Setting'!$C$209/'Timeline and FX'!BC8,0)</f>
        <v>0</v>
      </c>
      <c r="BD10" s="60" t="n">
        <f aca="false">IF(50='Assumption Setting'!$D$209,'Assumption Setting'!$C$209/'Timeline and FX'!BD8,0)</f>
        <v>0</v>
      </c>
      <c r="BE10" s="60" t="n">
        <f aca="false">IF(51='Assumption Setting'!$D$209,'Assumption Setting'!$C$209/'Timeline and FX'!BE8,0)</f>
        <v>0</v>
      </c>
      <c r="BF10" s="60" t="n">
        <f aca="false">IF(52='Assumption Setting'!$D$209,'Assumption Setting'!$C$209/'Timeline and FX'!BF8,0)</f>
        <v>0</v>
      </c>
      <c r="BG10" s="60" t="n">
        <f aca="false">IF(53='Assumption Setting'!$D$209,'Assumption Setting'!$C$209/'Timeline and FX'!BG8,0)</f>
        <v>0</v>
      </c>
      <c r="BH10" s="60" t="n">
        <f aca="false">IF(54='Assumption Setting'!$D$209,'Assumption Setting'!$C$209/'Timeline and FX'!BH8,0)</f>
        <v>0</v>
      </c>
      <c r="BI10" s="60" t="n">
        <f aca="false">IF(55='Assumption Setting'!$D$209,'Assumption Setting'!$C$209/'Timeline and FX'!BI8,0)</f>
        <v>0</v>
      </c>
      <c r="BJ10" s="60" t="n">
        <f aca="false">IF(56='Assumption Setting'!$D$209,'Assumption Setting'!$C$209/'Timeline and FX'!BJ8,0)</f>
        <v>0</v>
      </c>
      <c r="BK10" s="60" t="n">
        <f aca="false">IF(57='Assumption Setting'!$D$209,'Assumption Setting'!$C$209/'Timeline and FX'!BK8,0)</f>
        <v>0</v>
      </c>
      <c r="BL10" s="60" t="n">
        <f aca="false">IF(58='Assumption Setting'!$D$209,'Assumption Setting'!$C$209/'Timeline and FX'!BL8,0)</f>
        <v>0</v>
      </c>
      <c r="BM10" s="60" t="n">
        <f aca="false">IF(59='Assumption Setting'!$D$209,'Assumption Setting'!$C$209/'Timeline and FX'!BM8,0)</f>
        <v>0</v>
      </c>
      <c r="BN10" s="60" t="n">
        <f aca="false">IF(60='Assumption Setting'!$D$209,'Assumption Setting'!$C$209/'Timeline and FX'!BN8,0)</f>
        <v>0</v>
      </c>
    </row>
    <row r="11" customFormat="false" ht="15" hidden="false" customHeight="false" outlineLevel="0" collapsed="false">
      <c r="A11" s="4" t="s">
        <v>555</v>
      </c>
      <c r="B11" s="59" t="n">
        <f aca="false">SUM(C11:N11)</f>
        <v>0</v>
      </c>
      <c r="C11" s="60" t="n">
        <f aca="false">IF(1='Assumption Setting'!$D$210,'Assumption Setting'!$C$210/'Timeline and FX'!C8,0)</f>
        <v>0</v>
      </c>
      <c r="D11" s="60" t="n">
        <f aca="false">IF(2='Assumption Setting'!$D$210,'Assumption Setting'!$C$210/'Timeline and FX'!D8,0)</f>
        <v>0</v>
      </c>
      <c r="E11" s="60" t="n">
        <f aca="false">IF(3='Assumption Setting'!$D$210,'Assumption Setting'!$C$210/'Timeline and FX'!E8,0)</f>
        <v>0</v>
      </c>
      <c r="F11" s="60" t="n">
        <f aca="false">IF(4='Assumption Setting'!$D$210,'Assumption Setting'!$C$210/'Timeline and FX'!F8,0)</f>
        <v>0</v>
      </c>
      <c r="G11" s="60" t="n">
        <f aca="false">IF(5='Assumption Setting'!$D$210,'Assumption Setting'!$C$210/'Timeline and FX'!G8,0)</f>
        <v>0</v>
      </c>
      <c r="H11" s="60" t="n">
        <f aca="false">IF(6='Assumption Setting'!$D$210,'Assumption Setting'!$C$210/'Timeline and FX'!H8,0)</f>
        <v>0</v>
      </c>
      <c r="I11" s="60" t="n">
        <f aca="false">IF(7='Assumption Setting'!$D$210,'Assumption Setting'!$C$210/'Timeline and FX'!I8,0)</f>
        <v>0</v>
      </c>
      <c r="J11" s="60" t="n">
        <f aca="false">IF(8='Assumption Setting'!$D$210,'Assumption Setting'!$C$210/'Timeline and FX'!J8,0)</f>
        <v>0</v>
      </c>
      <c r="K11" s="60" t="n">
        <f aca="false">IF(9='Assumption Setting'!$D$210,'Assumption Setting'!$C$210/'Timeline and FX'!K8,0)</f>
        <v>0</v>
      </c>
      <c r="L11" s="60" t="n">
        <f aca="false">IF(10='Assumption Setting'!$D$210,'Assumption Setting'!$C$210/'Timeline and FX'!L8,0)</f>
        <v>0</v>
      </c>
      <c r="M11" s="60" t="n">
        <f aca="false">IF(11='Assumption Setting'!$D$210,'Assumption Setting'!$C$210/'Timeline and FX'!M8,0)</f>
        <v>0</v>
      </c>
      <c r="N11" s="60" t="n">
        <f aca="false">IF(12='Assumption Setting'!$D$210,'Assumption Setting'!$C$210/'Timeline and FX'!N8,0)</f>
        <v>0</v>
      </c>
      <c r="O11" s="59" t="n">
        <f aca="false">SUM(P11:AA11)</f>
        <v>2166.41515666742</v>
      </c>
      <c r="P11" s="60" t="n">
        <f aca="false">IF(13='Assumption Setting'!$D$210,'Assumption Setting'!$C$210/'Timeline and FX'!P8,0)</f>
        <v>0</v>
      </c>
      <c r="Q11" s="60" t="n">
        <f aca="false">IF(14='Assumption Setting'!$D$210,'Assumption Setting'!$C$210/'Timeline and FX'!Q8,0)</f>
        <v>0</v>
      </c>
      <c r="R11" s="60" t="n">
        <f aca="false">IF(15='Assumption Setting'!$D$210,'Assumption Setting'!$C$210/'Timeline and FX'!R8,0)</f>
        <v>0</v>
      </c>
      <c r="S11" s="60" t="n">
        <f aca="false">IF(16='Assumption Setting'!$D$210,'Assumption Setting'!$C$210/'Timeline and FX'!S8,0)</f>
        <v>2166.41515666742</v>
      </c>
      <c r="T11" s="60" t="n">
        <f aca="false">IF(17='Assumption Setting'!$D$210,'Assumption Setting'!$C$210/'Timeline and FX'!T8,0)</f>
        <v>0</v>
      </c>
      <c r="U11" s="60" t="n">
        <f aca="false">IF(18='Assumption Setting'!$D$210,'Assumption Setting'!$C$210/'Timeline and FX'!U8,0)</f>
        <v>0</v>
      </c>
      <c r="V11" s="60" t="n">
        <f aca="false">IF(19='Assumption Setting'!$D$210,'Assumption Setting'!$C$210/'Timeline and FX'!V8,0)</f>
        <v>0</v>
      </c>
      <c r="W11" s="60" t="n">
        <f aca="false">IF(20='Assumption Setting'!$D$210,'Assumption Setting'!$C$210/'Timeline and FX'!W8,0)</f>
        <v>0</v>
      </c>
      <c r="X11" s="60" t="n">
        <f aca="false">IF(21='Assumption Setting'!$D$210,'Assumption Setting'!$C$210/'Timeline and FX'!X8,0)</f>
        <v>0</v>
      </c>
      <c r="Y11" s="60" t="n">
        <f aca="false">IF(22='Assumption Setting'!$D$210,'Assumption Setting'!$C$210/'Timeline and FX'!Y8,0)</f>
        <v>0</v>
      </c>
      <c r="Z11" s="60" t="n">
        <f aca="false">IF(23='Assumption Setting'!$D$210,'Assumption Setting'!$C$210/'Timeline and FX'!Z8,0)</f>
        <v>0</v>
      </c>
      <c r="AA11" s="60" t="n">
        <f aca="false">IF(24='Assumption Setting'!$D$210,'Assumption Setting'!$C$210/'Timeline and FX'!AA8,0)</f>
        <v>0</v>
      </c>
      <c r="AB11" s="59" t="n">
        <f aca="false">SUM(AC11:AN11)</f>
        <v>0</v>
      </c>
      <c r="AC11" s="60" t="n">
        <f aca="false">IF(25='Assumption Setting'!$D$210,'Assumption Setting'!$C$210/'Timeline and FX'!AC8,0)</f>
        <v>0</v>
      </c>
      <c r="AD11" s="60" t="n">
        <f aca="false">IF(26='Assumption Setting'!$D$210,'Assumption Setting'!$C$210/'Timeline and FX'!AD8,0)</f>
        <v>0</v>
      </c>
      <c r="AE11" s="60" t="n">
        <f aca="false">IF(27='Assumption Setting'!$D$210,'Assumption Setting'!$C$210/'Timeline and FX'!AE8,0)</f>
        <v>0</v>
      </c>
      <c r="AF11" s="60" t="n">
        <f aca="false">IF(28='Assumption Setting'!$D$210,'Assumption Setting'!$C$210/'Timeline and FX'!AF8,0)</f>
        <v>0</v>
      </c>
      <c r="AG11" s="60" t="n">
        <f aca="false">IF(29='Assumption Setting'!$D$210,'Assumption Setting'!$C$210/'Timeline and FX'!AG8,0)</f>
        <v>0</v>
      </c>
      <c r="AH11" s="60" t="n">
        <f aca="false">IF(30='Assumption Setting'!$D$210,'Assumption Setting'!$C$210/'Timeline and FX'!AH8,0)</f>
        <v>0</v>
      </c>
      <c r="AI11" s="60" t="n">
        <f aca="false">IF(31='Assumption Setting'!$D$210,'Assumption Setting'!$C$210/'Timeline and FX'!AI8,0)</f>
        <v>0</v>
      </c>
      <c r="AJ11" s="60" t="n">
        <f aca="false">IF(32='Assumption Setting'!$D$210,'Assumption Setting'!$C$210/'Timeline and FX'!AJ8,0)</f>
        <v>0</v>
      </c>
      <c r="AK11" s="60" t="n">
        <f aca="false">IF(33='Assumption Setting'!$D$210,'Assumption Setting'!$C$210/'Timeline and FX'!AK8,0)</f>
        <v>0</v>
      </c>
      <c r="AL11" s="60" t="n">
        <f aca="false">IF(34='Assumption Setting'!$D$210,'Assumption Setting'!$C$210/'Timeline and FX'!AL8,0)</f>
        <v>0</v>
      </c>
      <c r="AM11" s="60" t="n">
        <f aca="false">IF(35='Assumption Setting'!$D$210,'Assumption Setting'!$C$210/'Timeline and FX'!AM8,0)</f>
        <v>0</v>
      </c>
      <c r="AN11" s="60" t="n">
        <f aca="false">IF(36='Assumption Setting'!$D$210,'Assumption Setting'!$C$210/'Timeline and FX'!AN8,0)</f>
        <v>0</v>
      </c>
      <c r="AO11" s="59" t="n">
        <f aca="false">SUM(AP11:BA11)</f>
        <v>0</v>
      </c>
      <c r="AP11" s="60" t="n">
        <f aca="false">IF(37='Assumption Setting'!$D$210,'Assumption Setting'!$C$210/'Timeline and FX'!AP8,0)</f>
        <v>0</v>
      </c>
      <c r="AQ11" s="60" t="n">
        <f aca="false">IF(38='Assumption Setting'!$D$210,'Assumption Setting'!$C$210/'Timeline and FX'!AQ8,0)</f>
        <v>0</v>
      </c>
      <c r="AR11" s="60" t="n">
        <f aca="false">IF(39='Assumption Setting'!$D$210,'Assumption Setting'!$C$210/'Timeline and FX'!AR8,0)</f>
        <v>0</v>
      </c>
      <c r="AS11" s="60" t="n">
        <f aca="false">IF(40='Assumption Setting'!$D$210,'Assumption Setting'!$C$210/'Timeline and FX'!AS8,0)</f>
        <v>0</v>
      </c>
      <c r="AT11" s="60" t="n">
        <f aca="false">IF(41='Assumption Setting'!$D$210,'Assumption Setting'!$C$210/'Timeline and FX'!AT8,0)</f>
        <v>0</v>
      </c>
      <c r="AU11" s="60" t="n">
        <f aca="false">IF(42='Assumption Setting'!$D$210,'Assumption Setting'!$C$210/'Timeline and FX'!AU8,0)</f>
        <v>0</v>
      </c>
      <c r="AV11" s="60" t="n">
        <f aca="false">IF(43='Assumption Setting'!$D$210,'Assumption Setting'!$C$210/'Timeline and FX'!AV8,0)</f>
        <v>0</v>
      </c>
      <c r="AW11" s="60" t="n">
        <f aca="false">IF(44='Assumption Setting'!$D$210,'Assumption Setting'!$C$210/'Timeline and FX'!AW8,0)</f>
        <v>0</v>
      </c>
      <c r="AX11" s="60" t="n">
        <f aca="false">IF(45='Assumption Setting'!$D$210,'Assumption Setting'!$C$210/'Timeline and FX'!AX8,0)</f>
        <v>0</v>
      </c>
      <c r="AY11" s="60" t="n">
        <f aca="false">IF(46='Assumption Setting'!$D$210,'Assumption Setting'!$C$210/'Timeline and FX'!AY8,0)</f>
        <v>0</v>
      </c>
      <c r="AZ11" s="60" t="n">
        <f aca="false">IF(47='Assumption Setting'!$D$210,'Assumption Setting'!$C$210/'Timeline and FX'!AZ8,0)</f>
        <v>0</v>
      </c>
      <c r="BA11" s="60" t="n">
        <f aca="false">IF(48='Assumption Setting'!$D$210,'Assumption Setting'!$C$210/'Timeline and FX'!BA8,0)</f>
        <v>0</v>
      </c>
      <c r="BB11" s="59" t="n">
        <f aca="false">SUM(BC11:BN11)</f>
        <v>0</v>
      </c>
      <c r="BC11" s="60" t="n">
        <f aca="false">IF(49='Assumption Setting'!$D$210,'Assumption Setting'!$C$210/'Timeline and FX'!BC8,0)</f>
        <v>0</v>
      </c>
      <c r="BD11" s="60" t="n">
        <f aca="false">IF(50='Assumption Setting'!$D$210,'Assumption Setting'!$C$210/'Timeline and FX'!BD8,0)</f>
        <v>0</v>
      </c>
      <c r="BE11" s="60" t="n">
        <f aca="false">IF(51='Assumption Setting'!$D$210,'Assumption Setting'!$C$210/'Timeline and FX'!BE8,0)</f>
        <v>0</v>
      </c>
      <c r="BF11" s="60" t="n">
        <f aca="false">IF(52='Assumption Setting'!$D$210,'Assumption Setting'!$C$210/'Timeline and FX'!BF8,0)</f>
        <v>0</v>
      </c>
      <c r="BG11" s="60" t="n">
        <f aca="false">IF(53='Assumption Setting'!$D$210,'Assumption Setting'!$C$210/'Timeline and FX'!BG8,0)</f>
        <v>0</v>
      </c>
      <c r="BH11" s="60" t="n">
        <f aca="false">IF(54='Assumption Setting'!$D$210,'Assumption Setting'!$C$210/'Timeline and FX'!BH8,0)</f>
        <v>0</v>
      </c>
      <c r="BI11" s="60" t="n">
        <f aca="false">IF(55='Assumption Setting'!$D$210,'Assumption Setting'!$C$210/'Timeline and FX'!BI8,0)</f>
        <v>0</v>
      </c>
      <c r="BJ11" s="60" t="n">
        <f aca="false">IF(56='Assumption Setting'!$D$210,'Assumption Setting'!$C$210/'Timeline and FX'!BJ8,0)</f>
        <v>0</v>
      </c>
      <c r="BK11" s="60" t="n">
        <f aca="false">IF(57='Assumption Setting'!$D$210,'Assumption Setting'!$C$210/'Timeline and FX'!BK8,0)</f>
        <v>0</v>
      </c>
      <c r="BL11" s="60" t="n">
        <f aca="false">IF(58='Assumption Setting'!$D$210,'Assumption Setting'!$C$210/'Timeline and FX'!BL8,0)</f>
        <v>0</v>
      </c>
      <c r="BM11" s="60" t="n">
        <f aca="false">IF(59='Assumption Setting'!$D$210,'Assumption Setting'!$C$210/'Timeline and FX'!BM8,0)</f>
        <v>0</v>
      </c>
      <c r="BN11" s="60" t="n">
        <f aca="false">IF(60='Assumption Setting'!$D$210,'Assumption Setting'!$C$210/'Timeline and FX'!BN8,0)</f>
        <v>0</v>
      </c>
    </row>
    <row r="12" customFormat="false" ht="15" hidden="false" customHeight="false" outlineLevel="0" collapsed="false">
      <c r="A12" s="4" t="s">
        <v>552</v>
      </c>
      <c r="B12" s="59" t="n">
        <f aca="false">SUM(C12:N12)</f>
        <v>1747.57281553398</v>
      </c>
      <c r="C12" s="60" t="n">
        <f aca="false">IF(1='Assumption Setting'!$D$207,'Assumption Setting'!$C$207/'Timeline and FX'!C8,0)</f>
        <v>1747.57281553398</v>
      </c>
      <c r="D12" s="60" t="n">
        <f aca="false">IF(2='Assumption Setting'!$D$207,'Assumption Setting'!$C$207/'Timeline and FX'!D8,0)</f>
        <v>0</v>
      </c>
      <c r="E12" s="60" t="n">
        <f aca="false">IF(3='Assumption Setting'!$D$207,'Assumption Setting'!$C$207/'Timeline and FX'!E8,0)</f>
        <v>0</v>
      </c>
      <c r="F12" s="60" t="n">
        <f aca="false">IF(4='Assumption Setting'!$D$207,'Assumption Setting'!$C$207/'Timeline and FX'!F8,0)</f>
        <v>0</v>
      </c>
      <c r="G12" s="60" t="n">
        <f aca="false">IF(5='Assumption Setting'!$D$207,'Assumption Setting'!$C$207/'Timeline and FX'!G8,0)</f>
        <v>0</v>
      </c>
      <c r="H12" s="60" t="n">
        <f aca="false">IF(6='Assumption Setting'!$D$207,'Assumption Setting'!$C$207/'Timeline and FX'!H8,0)</f>
        <v>0</v>
      </c>
      <c r="I12" s="60" t="n">
        <f aca="false">IF(7='Assumption Setting'!$D$207,'Assumption Setting'!$C$207/'Timeline and FX'!I8,0)</f>
        <v>0</v>
      </c>
      <c r="J12" s="60" t="n">
        <f aca="false">IF(8='Assumption Setting'!$D$207,'Assumption Setting'!$C$207/'Timeline and FX'!J8,0)</f>
        <v>0</v>
      </c>
      <c r="K12" s="60" t="n">
        <f aca="false">IF(9='Assumption Setting'!$D$207,'Assumption Setting'!$C$207/'Timeline and FX'!K8,0)</f>
        <v>0</v>
      </c>
      <c r="L12" s="60" t="n">
        <f aca="false">IF(10='Assumption Setting'!$D$207,'Assumption Setting'!$C$207/'Timeline and FX'!L8,0)</f>
        <v>0</v>
      </c>
      <c r="M12" s="60" t="n">
        <f aca="false">IF(11='Assumption Setting'!$D$207,'Assumption Setting'!$C$207/'Timeline and FX'!M8,0)</f>
        <v>0</v>
      </c>
      <c r="N12" s="60" t="n">
        <f aca="false">IF(12='Assumption Setting'!$D$207,'Assumption Setting'!$C$207/'Timeline and FX'!N8,0)</f>
        <v>0</v>
      </c>
      <c r="O12" s="59" t="n">
        <f aca="false">SUM(P12:AA12)</f>
        <v>0</v>
      </c>
      <c r="P12" s="60" t="n">
        <f aca="false">IF(13='Assumption Setting'!$D$207,'Assumption Setting'!$C$207/'Timeline and FX'!P8,0)</f>
        <v>0</v>
      </c>
      <c r="Q12" s="60" t="n">
        <f aca="false">IF(14='Assumption Setting'!$D$207,'Assumption Setting'!$C$207/'Timeline and FX'!Q8,0)</f>
        <v>0</v>
      </c>
      <c r="R12" s="60" t="n">
        <f aca="false">IF(15='Assumption Setting'!$D$207,'Assumption Setting'!$C$207/'Timeline and FX'!R8,0)</f>
        <v>0</v>
      </c>
      <c r="S12" s="60" t="n">
        <f aca="false">IF(16='Assumption Setting'!$D$207,'Assumption Setting'!$C$207/'Timeline and FX'!S8,0)</f>
        <v>0</v>
      </c>
      <c r="T12" s="60" t="n">
        <f aca="false">IF(17='Assumption Setting'!$D$207,'Assumption Setting'!$C$207/'Timeline and FX'!T8,0)</f>
        <v>0</v>
      </c>
      <c r="U12" s="60" t="n">
        <f aca="false">IF(18='Assumption Setting'!$D$207,'Assumption Setting'!$C$207/'Timeline and FX'!U8,0)</f>
        <v>0</v>
      </c>
      <c r="V12" s="60" t="n">
        <f aca="false">IF(19='Assumption Setting'!$D$207,'Assumption Setting'!$C$207/'Timeline and FX'!V8,0)</f>
        <v>0</v>
      </c>
      <c r="W12" s="60" t="n">
        <f aca="false">IF(20='Assumption Setting'!$D$207,'Assumption Setting'!$C$207/'Timeline and FX'!W8,0)</f>
        <v>0</v>
      </c>
      <c r="X12" s="60" t="n">
        <f aca="false">IF(21='Assumption Setting'!$D$207,'Assumption Setting'!$C$207/'Timeline and FX'!X8,0)</f>
        <v>0</v>
      </c>
      <c r="Y12" s="60" t="n">
        <f aca="false">IF(22='Assumption Setting'!$D$207,'Assumption Setting'!$C$207/'Timeline and FX'!Y8,0)</f>
        <v>0</v>
      </c>
      <c r="Z12" s="60" t="n">
        <f aca="false">IF(23='Assumption Setting'!$D$207,'Assumption Setting'!$C$207/'Timeline and FX'!Z8,0)</f>
        <v>0</v>
      </c>
      <c r="AA12" s="60" t="n">
        <f aca="false">IF(24='Assumption Setting'!$D$207,'Assumption Setting'!$C$207/'Timeline and FX'!AA8,0)</f>
        <v>0</v>
      </c>
      <c r="AB12" s="59" t="n">
        <f aca="false">SUM(AC12:AN12)</f>
        <v>0</v>
      </c>
      <c r="AC12" s="60" t="n">
        <f aca="false">IF(25='Assumption Setting'!$D$207,'Assumption Setting'!$C$207/'Timeline and FX'!AC8,0)</f>
        <v>0</v>
      </c>
      <c r="AD12" s="60" t="n">
        <f aca="false">IF(26='Assumption Setting'!$D$207,'Assumption Setting'!$C$207/'Timeline and FX'!AD8,0)</f>
        <v>0</v>
      </c>
      <c r="AE12" s="60" t="n">
        <f aca="false">IF(27='Assumption Setting'!$D$207,'Assumption Setting'!$C$207/'Timeline and FX'!AE8,0)</f>
        <v>0</v>
      </c>
      <c r="AF12" s="60" t="n">
        <f aca="false">IF(28='Assumption Setting'!$D$207,'Assumption Setting'!$C$207/'Timeline and FX'!AF8,0)</f>
        <v>0</v>
      </c>
      <c r="AG12" s="60" t="n">
        <f aca="false">IF(29='Assumption Setting'!$D$207,'Assumption Setting'!$C$207/'Timeline and FX'!AG8,0)</f>
        <v>0</v>
      </c>
      <c r="AH12" s="60" t="n">
        <f aca="false">IF(30='Assumption Setting'!$D$207,'Assumption Setting'!$C$207/'Timeline and FX'!AH8,0)</f>
        <v>0</v>
      </c>
      <c r="AI12" s="60" t="n">
        <f aca="false">IF(31='Assumption Setting'!$D$207,'Assumption Setting'!$C$207/'Timeline and FX'!AI8,0)</f>
        <v>0</v>
      </c>
      <c r="AJ12" s="60" t="n">
        <f aca="false">IF(32='Assumption Setting'!$D$207,'Assumption Setting'!$C$207/'Timeline and FX'!AJ8,0)</f>
        <v>0</v>
      </c>
      <c r="AK12" s="60" t="n">
        <f aca="false">IF(33='Assumption Setting'!$D$207,'Assumption Setting'!$C$207/'Timeline and FX'!AK8,0)</f>
        <v>0</v>
      </c>
      <c r="AL12" s="60" t="n">
        <f aca="false">IF(34='Assumption Setting'!$D$207,'Assumption Setting'!$C$207/'Timeline and FX'!AL8,0)</f>
        <v>0</v>
      </c>
      <c r="AM12" s="60" t="n">
        <f aca="false">IF(35='Assumption Setting'!$D$207,'Assumption Setting'!$C$207/'Timeline and FX'!AM8,0)</f>
        <v>0</v>
      </c>
      <c r="AN12" s="60" t="n">
        <f aca="false">IF(36='Assumption Setting'!$D$207,'Assumption Setting'!$C$207/'Timeline and FX'!AN8,0)</f>
        <v>0</v>
      </c>
      <c r="AO12" s="59" t="n">
        <f aca="false">SUM(AP12:BA12)</f>
        <v>0</v>
      </c>
      <c r="AP12" s="60" t="n">
        <f aca="false">IF(37='Assumption Setting'!$D$207,'Assumption Setting'!$C$207/'Timeline and FX'!AP8,0)</f>
        <v>0</v>
      </c>
      <c r="AQ12" s="60" t="n">
        <f aca="false">IF(38='Assumption Setting'!$D$207,'Assumption Setting'!$C$207/'Timeline and FX'!AQ8,0)</f>
        <v>0</v>
      </c>
      <c r="AR12" s="60" t="n">
        <f aca="false">IF(39='Assumption Setting'!$D$207,'Assumption Setting'!$C$207/'Timeline and FX'!AR8,0)</f>
        <v>0</v>
      </c>
      <c r="AS12" s="60" t="n">
        <f aca="false">IF(40='Assumption Setting'!$D$207,'Assumption Setting'!$C$207/'Timeline and FX'!AS8,0)</f>
        <v>0</v>
      </c>
      <c r="AT12" s="60" t="n">
        <f aca="false">IF(41='Assumption Setting'!$D$207,'Assumption Setting'!$C$207/'Timeline and FX'!AT8,0)</f>
        <v>0</v>
      </c>
      <c r="AU12" s="60" t="n">
        <f aca="false">IF(42='Assumption Setting'!$D$207,'Assumption Setting'!$C$207/'Timeline and FX'!AU8,0)</f>
        <v>0</v>
      </c>
      <c r="AV12" s="60" t="n">
        <f aca="false">IF(43='Assumption Setting'!$D$207,'Assumption Setting'!$C$207/'Timeline and FX'!AV8,0)</f>
        <v>0</v>
      </c>
      <c r="AW12" s="60" t="n">
        <f aca="false">IF(44='Assumption Setting'!$D$207,'Assumption Setting'!$C$207/'Timeline and FX'!AW8,0)</f>
        <v>0</v>
      </c>
      <c r="AX12" s="60" t="n">
        <f aca="false">IF(45='Assumption Setting'!$D$207,'Assumption Setting'!$C$207/'Timeline and FX'!AX8,0)</f>
        <v>0</v>
      </c>
      <c r="AY12" s="60" t="n">
        <f aca="false">IF(46='Assumption Setting'!$D$207,'Assumption Setting'!$C$207/'Timeline and FX'!AY8,0)</f>
        <v>0</v>
      </c>
      <c r="AZ12" s="60" t="n">
        <f aca="false">IF(47='Assumption Setting'!$D$207,'Assumption Setting'!$C$207/'Timeline and FX'!AZ8,0)</f>
        <v>0</v>
      </c>
      <c r="BA12" s="60" t="n">
        <f aca="false">IF(48='Assumption Setting'!$D$207,'Assumption Setting'!$C$207/'Timeline and FX'!BA8,0)</f>
        <v>0</v>
      </c>
      <c r="BB12" s="59" t="n">
        <f aca="false">SUM(BC12:BN12)</f>
        <v>0</v>
      </c>
      <c r="BC12" s="60" t="n">
        <f aca="false">IF(49='Assumption Setting'!$D$207,'Assumption Setting'!$C$207/'Timeline and FX'!BC8,0)</f>
        <v>0</v>
      </c>
      <c r="BD12" s="60" t="n">
        <f aca="false">IF(50='Assumption Setting'!$D$207,'Assumption Setting'!$C$207/'Timeline and FX'!BD8,0)</f>
        <v>0</v>
      </c>
      <c r="BE12" s="60" t="n">
        <f aca="false">IF(51='Assumption Setting'!$D$207,'Assumption Setting'!$C$207/'Timeline and FX'!BE8,0)</f>
        <v>0</v>
      </c>
      <c r="BF12" s="60" t="n">
        <f aca="false">IF(52='Assumption Setting'!$D$207,'Assumption Setting'!$C$207/'Timeline and FX'!BF8,0)</f>
        <v>0</v>
      </c>
      <c r="BG12" s="60" t="n">
        <f aca="false">IF(53='Assumption Setting'!$D$207,'Assumption Setting'!$C$207/'Timeline and FX'!BG8,0)</f>
        <v>0</v>
      </c>
      <c r="BH12" s="60" t="n">
        <f aca="false">IF(54='Assumption Setting'!$D$207,'Assumption Setting'!$C$207/'Timeline and FX'!BH8,0)</f>
        <v>0</v>
      </c>
      <c r="BI12" s="60" t="n">
        <f aca="false">IF(55='Assumption Setting'!$D$207,'Assumption Setting'!$C$207/'Timeline and FX'!BI8,0)</f>
        <v>0</v>
      </c>
      <c r="BJ12" s="60" t="n">
        <f aca="false">IF(56='Assumption Setting'!$D$207,'Assumption Setting'!$C$207/'Timeline and FX'!BJ8,0)</f>
        <v>0</v>
      </c>
      <c r="BK12" s="60" t="n">
        <f aca="false">IF(57='Assumption Setting'!$D$207,'Assumption Setting'!$C$207/'Timeline and FX'!BK8,0)</f>
        <v>0</v>
      </c>
      <c r="BL12" s="60" t="n">
        <f aca="false">IF(58='Assumption Setting'!$D$207,'Assumption Setting'!$C$207/'Timeline and FX'!BL8,0)</f>
        <v>0</v>
      </c>
      <c r="BM12" s="60" t="n">
        <f aca="false">IF(59='Assumption Setting'!$D$207,'Assumption Setting'!$C$207/'Timeline and FX'!BM8,0)</f>
        <v>0</v>
      </c>
      <c r="BN12" s="60" t="n">
        <f aca="false">IF(60='Assumption Setting'!$D$207,'Assumption Setting'!$C$207/'Timeline and FX'!BN8,0)</f>
        <v>0</v>
      </c>
    </row>
    <row r="13" customFormat="false" ht="15" hidden="false" customHeight="false" outlineLevel="0" collapsed="false">
      <c r="A13" s="13" t="s">
        <v>623</v>
      </c>
      <c r="B13" s="59" t="n">
        <f aca="false">SUM(C13:N13)</f>
        <v>46179.161972034</v>
      </c>
      <c r="C13" s="61" t="n">
        <f aca="false">SUM(C6:C12)</f>
        <v>44640.7766990291</v>
      </c>
      <c r="D13" s="61" t="n">
        <f aca="false">SUM(D6:D12)</f>
        <v>0</v>
      </c>
      <c r="E13" s="61" t="n">
        <f aca="false">SUM(E6:E12)</f>
        <v>1538.38527300487</v>
      </c>
      <c r="F13" s="61" t="n">
        <f aca="false">SUM(F6:F12)</f>
        <v>0</v>
      </c>
      <c r="G13" s="61" t="n">
        <f aca="false">SUM(G6:G12)</f>
        <v>0</v>
      </c>
      <c r="H13" s="61" t="n">
        <f aca="false">SUM(H6:H12)</f>
        <v>0</v>
      </c>
      <c r="I13" s="61" t="n">
        <f aca="false">SUM(I6:I12)</f>
        <v>0</v>
      </c>
      <c r="J13" s="61" t="n">
        <f aca="false">SUM(J6:J12)</f>
        <v>0</v>
      </c>
      <c r="K13" s="61" t="n">
        <f aca="false">SUM(K6:K12)</f>
        <v>0</v>
      </c>
      <c r="L13" s="61" t="n">
        <f aca="false">SUM(L6:L12)</f>
        <v>0</v>
      </c>
      <c r="M13" s="61" t="n">
        <f aca="false">SUM(M6:M12)</f>
        <v>0</v>
      </c>
      <c r="N13" s="61" t="n">
        <f aca="false">SUM(N6:N12)</f>
        <v>0</v>
      </c>
      <c r="O13" s="59" t="n">
        <f aca="false">SUM(P13:AA13)</f>
        <v>18986.2153724843</v>
      </c>
      <c r="P13" s="61" t="n">
        <f aca="false">SUM(P6:P12)</f>
        <v>13218.5381938084</v>
      </c>
      <c r="Q13" s="61" t="n">
        <f aca="false">SUM(Q6:Q12)</f>
        <v>0</v>
      </c>
      <c r="R13" s="61" t="n">
        <f aca="false">SUM(R6:R12)</f>
        <v>0</v>
      </c>
      <c r="S13" s="61" t="n">
        <f aca="false">SUM(S6:S12)</f>
        <v>2166.41515666742</v>
      </c>
      <c r="T13" s="61" t="n">
        <f aca="false">SUM(T6:T12)</f>
        <v>909.080064545974</v>
      </c>
      <c r="U13" s="61" t="n">
        <f aca="false">SUM(U6:U12)</f>
        <v>0</v>
      </c>
      <c r="V13" s="61" t="n">
        <f aca="false">SUM(V6:V12)</f>
        <v>1800.5885559728</v>
      </c>
      <c r="W13" s="61" t="n">
        <f aca="false">SUM(W6:W12)</f>
        <v>0</v>
      </c>
      <c r="X13" s="61" t="n">
        <f aca="false">SUM(X6:X12)</f>
        <v>891.593401489736</v>
      </c>
      <c r="Y13" s="61" t="n">
        <f aca="false">SUM(Y6:Y12)</f>
        <v>0</v>
      </c>
      <c r="Z13" s="61" t="n">
        <f aca="false">SUM(Z6:Z12)</f>
        <v>0</v>
      </c>
      <c r="AA13" s="61" t="n">
        <f aca="false">SUM(AA6:AA12)</f>
        <v>0</v>
      </c>
      <c r="AB13" s="59" t="n">
        <f aca="false">SUM(AC13:AN13)</f>
        <v>20303.9718457872</v>
      </c>
      <c r="AC13" s="61" t="n">
        <f aca="false">SUM(AC6:AC12)</f>
        <v>15207.7061594666</v>
      </c>
      <c r="AD13" s="61" t="n">
        <f aca="false">SUM(AD6:AD12)</f>
        <v>0</v>
      </c>
      <c r="AE13" s="61" t="n">
        <f aca="false">SUM(AE6:AE12)</f>
        <v>0</v>
      </c>
      <c r="AF13" s="61" t="n">
        <f aca="false">SUM(AF6:AF12)</f>
        <v>861.797224271789</v>
      </c>
      <c r="AG13" s="61" t="n">
        <f aca="false">SUM(AG6:AG12)</f>
        <v>857.622702401862</v>
      </c>
      <c r="AH13" s="61" t="n">
        <f aca="false">SUM(AH6:AH12)</f>
        <v>0</v>
      </c>
      <c r="AI13" s="61" t="n">
        <f aca="false">SUM(AI6:AI12)</f>
        <v>1698.66844903094</v>
      </c>
      <c r="AJ13" s="61" t="n">
        <f aca="false">SUM(AJ6:AJ12)</f>
        <v>0</v>
      </c>
      <c r="AK13" s="61" t="n">
        <f aca="false">SUM(AK6:AK12)</f>
        <v>841.125850462015</v>
      </c>
      <c r="AL13" s="61" t="n">
        <f aca="false">SUM(AL6:AL12)</f>
        <v>837.051460153921</v>
      </c>
      <c r="AM13" s="61" t="n">
        <f aca="false">SUM(AM6:AM12)</f>
        <v>0</v>
      </c>
      <c r="AN13" s="61" t="n">
        <f aca="false">SUM(AN6:AN12)</f>
        <v>0</v>
      </c>
      <c r="AO13" s="59" t="n">
        <f aca="false">SUM(AP13:BA13)</f>
        <v>21889.7763813505</v>
      </c>
      <c r="AP13" s="61" t="n">
        <f aca="false">SUM(AP6:AP12)</f>
        <v>13055.6722689761</v>
      </c>
      <c r="AQ13" s="61" t="n">
        <f aca="false">SUM(AQ6:AQ12)</f>
        <v>820.950307554393</v>
      </c>
      <c r="AR13" s="61" t="n">
        <f aca="false">SUM(AR6:AR12)</f>
        <v>816.973647016985</v>
      </c>
      <c r="AS13" s="61" t="n">
        <f aca="false">SUM(AS6:AS12)</f>
        <v>813.016249313009</v>
      </c>
      <c r="AT13" s="61" t="n">
        <f aca="false">SUM(AT6:AT12)</f>
        <v>809.078021133832</v>
      </c>
      <c r="AU13" s="61" t="n">
        <f aca="false">SUM(AU6:AU12)</f>
        <v>805.158869622809</v>
      </c>
      <c r="AV13" s="61" t="n">
        <f aca="false">SUM(AV6:AV12)</f>
        <v>1602.51740474617</v>
      </c>
      <c r="AW13" s="61" t="n">
        <f aca="false">SUM(AW6:AW12)</f>
        <v>797.37742742543</v>
      </c>
      <c r="AX13" s="61" t="n">
        <f aca="false">SUM(AX6:AX12)</f>
        <v>793.514953266052</v>
      </c>
      <c r="AY13" s="61" t="n">
        <f aca="false">SUM(AY6:AY12)</f>
        <v>789.671188824454</v>
      </c>
      <c r="AZ13" s="61" t="n">
        <f aca="false">SUM(AZ6:AZ12)</f>
        <v>785.846043471283</v>
      </c>
      <c r="BA13" s="61" t="n">
        <f aca="false">SUM(BA6:BA12)</f>
        <v>0</v>
      </c>
      <c r="BB13" s="59" t="n">
        <f aca="false">SUM(BC13:BN13)</f>
        <v>26848.4233790335</v>
      </c>
      <c r="BC13" s="61" t="n">
        <f aca="false">SUM(BC6:BC12)</f>
        <v>13974.6854838459</v>
      </c>
      <c r="BD13" s="61" t="n">
        <f aca="false">SUM(BD6:BD12)</f>
        <v>1548.96284444225</v>
      </c>
      <c r="BE13" s="61" t="n">
        <f aca="false">SUM(BE6:BE12)</f>
        <v>1541.4597113528</v>
      </c>
      <c r="BF13" s="61" t="n">
        <f aca="false">SUM(BF6:BF12)</f>
        <v>0</v>
      </c>
      <c r="BG13" s="61" t="n">
        <f aca="false">SUM(BG6:BG12)</f>
        <v>1526.5623040261</v>
      </c>
      <c r="BH13" s="61" t="n">
        <f aca="false">SUM(BH6:BH12)</f>
        <v>1519.1676785336</v>
      </c>
      <c r="BI13" s="61" t="n">
        <f aca="false">SUM(BI6:BI12)</f>
        <v>2267.71330860307</v>
      </c>
      <c r="BJ13" s="61" t="n">
        <f aca="false">SUM(BJ6:BJ12)</f>
        <v>0</v>
      </c>
      <c r="BK13" s="61" t="n">
        <f aca="false">SUM(BK6:BK12)</f>
        <v>1497.19802503029</v>
      </c>
      <c r="BL13" s="61" t="n">
        <f aca="false">SUM(BL6:BL12)</f>
        <v>1489.94563929142</v>
      </c>
      <c r="BM13" s="61" t="n">
        <f aca="false">SUM(BM6:BM12)</f>
        <v>1482.72838390808</v>
      </c>
      <c r="BN13" s="61" t="n">
        <f aca="false">SUM(BN6:BN12)</f>
        <v>0</v>
      </c>
    </row>
    <row r="14" customFormat="false" ht="15" hidden="false" customHeight="false" outlineLevel="0" collapsed="false">
      <c r="A14" s="4" t="s">
        <v>624</v>
      </c>
      <c r="B14" s="59" t="n">
        <f aca="false">SUM(C14:N14)</f>
        <v>44431.5891565</v>
      </c>
      <c r="C14" s="60" t="n">
        <f aca="false">SUM(C6:C11)</f>
        <v>42893.2038834952</v>
      </c>
      <c r="D14" s="60" t="n">
        <f aca="false">SUM(D6:D11)</f>
        <v>0</v>
      </c>
      <c r="E14" s="60" t="n">
        <f aca="false">SUM(E6:E11)</f>
        <v>1538.38527300487</v>
      </c>
      <c r="F14" s="60" t="n">
        <f aca="false">SUM(F6:F11)</f>
        <v>0</v>
      </c>
      <c r="G14" s="60" t="n">
        <f aca="false">SUM(G6:G11)</f>
        <v>0</v>
      </c>
      <c r="H14" s="60" t="n">
        <f aca="false">SUM(H6:H11)</f>
        <v>0</v>
      </c>
      <c r="I14" s="60" t="n">
        <f aca="false">SUM(I6:I11)</f>
        <v>0</v>
      </c>
      <c r="J14" s="60" t="n">
        <f aca="false">SUM(J6:J11)</f>
        <v>0</v>
      </c>
      <c r="K14" s="60" t="n">
        <f aca="false">SUM(K6:K11)</f>
        <v>0</v>
      </c>
      <c r="L14" s="60" t="n">
        <f aca="false">SUM(L6:L11)</f>
        <v>0</v>
      </c>
      <c r="M14" s="60" t="n">
        <f aca="false">SUM(M6:M11)</f>
        <v>0</v>
      </c>
      <c r="N14" s="60" t="n">
        <f aca="false">SUM(N6:N11)</f>
        <v>0</v>
      </c>
      <c r="O14" s="59" t="n">
        <f aca="false">SUM(P14:AA14)</f>
        <v>18986.2153724843</v>
      </c>
      <c r="P14" s="60" t="n">
        <f aca="false">SUM(P6:P11)</f>
        <v>13218.5381938084</v>
      </c>
      <c r="Q14" s="60" t="n">
        <f aca="false">SUM(Q6:Q11)</f>
        <v>0</v>
      </c>
      <c r="R14" s="60" t="n">
        <f aca="false">SUM(R6:R11)</f>
        <v>0</v>
      </c>
      <c r="S14" s="60" t="n">
        <f aca="false">SUM(S6:S11)</f>
        <v>2166.41515666742</v>
      </c>
      <c r="T14" s="60" t="n">
        <f aca="false">SUM(T6:T11)</f>
        <v>909.080064545974</v>
      </c>
      <c r="U14" s="60" t="n">
        <f aca="false">SUM(U6:U11)</f>
        <v>0</v>
      </c>
      <c r="V14" s="60" t="n">
        <f aca="false">SUM(V6:V11)</f>
        <v>1800.5885559728</v>
      </c>
      <c r="W14" s="60" t="n">
        <f aca="false">SUM(W6:W11)</f>
        <v>0</v>
      </c>
      <c r="X14" s="60" t="n">
        <f aca="false">SUM(X6:X11)</f>
        <v>891.593401489736</v>
      </c>
      <c r="Y14" s="60" t="n">
        <f aca="false">SUM(Y6:Y11)</f>
        <v>0</v>
      </c>
      <c r="Z14" s="60" t="n">
        <f aca="false">SUM(Z6:Z11)</f>
        <v>0</v>
      </c>
      <c r="AA14" s="60" t="n">
        <f aca="false">SUM(AA6:AA11)</f>
        <v>0</v>
      </c>
      <c r="AB14" s="59" t="n">
        <f aca="false">SUM(AC14:AN14)</f>
        <v>20303.9718457872</v>
      </c>
      <c r="AC14" s="60" t="n">
        <f aca="false">SUM(AC6:AC11)</f>
        <v>15207.7061594666</v>
      </c>
      <c r="AD14" s="60" t="n">
        <f aca="false">SUM(AD6:AD11)</f>
        <v>0</v>
      </c>
      <c r="AE14" s="60" t="n">
        <f aca="false">SUM(AE6:AE11)</f>
        <v>0</v>
      </c>
      <c r="AF14" s="60" t="n">
        <f aca="false">SUM(AF6:AF11)</f>
        <v>861.797224271789</v>
      </c>
      <c r="AG14" s="60" t="n">
        <f aca="false">SUM(AG6:AG11)</f>
        <v>857.622702401862</v>
      </c>
      <c r="AH14" s="60" t="n">
        <f aca="false">SUM(AH6:AH11)</f>
        <v>0</v>
      </c>
      <c r="AI14" s="60" t="n">
        <f aca="false">SUM(AI6:AI11)</f>
        <v>1698.66844903094</v>
      </c>
      <c r="AJ14" s="60" t="n">
        <f aca="false">SUM(AJ6:AJ11)</f>
        <v>0</v>
      </c>
      <c r="AK14" s="60" t="n">
        <f aca="false">SUM(AK6:AK11)</f>
        <v>841.125850462015</v>
      </c>
      <c r="AL14" s="60" t="n">
        <f aca="false">SUM(AL6:AL11)</f>
        <v>837.051460153921</v>
      </c>
      <c r="AM14" s="60" t="n">
        <f aca="false">SUM(AM6:AM11)</f>
        <v>0</v>
      </c>
      <c r="AN14" s="60" t="n">
        <f aca="false">SUM(AN6:AN11)</f>
        <v>0</v>
      </c>
      <c r="AO14" s="59" t="n">
        <f aca="false">SUM(AP14:BA14)</f>
        <v>21889.7763813505</v>
      </c>
      <c r="AP14" s="60" t="n">
        <f aca="false">SUM(AP6:AP11)</f>
        <v>13055.6722689761</v>
      </c>
      <c r="AQ14" s="60" t="n">
        <f aca="false">SUM(AQ6:AQ11)</f>
        <v>820.950307554393</v>
      </c>
      <c r="AR14" s="60" t="n">
        <f aca="false">SUM(AR6:AR11)</f>
        <v>816.973647016985</v>
      </c>
      <c r="AS14" s="60" t="n">
        <f aca="false">SUM(AS6:AS11)</f>
        <v>813.016249313009</v>
      </c>
      <c r="AT14" s="60" t="n">
        <f aca="false">SUM(AT6:AT11)</f>
        <v>809.078021133832</v>
      </c>
      <c r="AU14" s="60" t="n">
        <f aca="false">SUM(AU6:AU11)</f>
        <v>805.158869622809</v>
      </c>
      <c r="AV14" s="60" t="n">
        <f aca="false">SUM(AV6:AV11)</f>
        <v>1602.51740474617</v>
      </c>
      <c r="AW14" s="60" t="n">
        <f aca="false">SUM(AW6:AW11)</f>
        <v>797.37742742543</v>
      </c>
      <c r="AX14" s="60" t="n">
        <f aca="false">SUM(AX6:AX11)</f>
        <v>793.514953266052</v>
      </c>
      <c r="AY14" s="60" t="n">
        <f aca="false">SUM(AY6:AY11)</f>
        <v>789.671188824454</v>
      </c>
      <c r="AZ14" s="60" t="n">
        <f aca="false">SUM(AZ6:AZ11)</f>
        <v>785.846043471283</v>
      </c>
      <c r="BA14" s="60" t="n">
        <f aca="false">SUM(BA6:BA11)</f>
        <v>0</v>
      </c>
      <c r="BB14" s="59" t="n">
        <f aca="false">SUM(BC14:BN14)</f>
        <v>26848.4233790335</v>
      </c>
      <c r="BC14" s="60" t="n">
        <f aca="false">SUM(BC6:BC11)</f>
        <v>13974.6854838459</v>
      </c>
      <c r="BD14" s="60" t="n">
        <f aca="false">SUM(BD6:BD11)</f>
        <v>1548.96284444225</v>
      </c>
      <c r="BE14" s="60" t="n">
        <f aca="false">SUM(BE6:BE11)</f>
        <v>1541.4597113528</v>
      </c>
      <c r="BF14" s="60" t="n">
        <f aca="false">SUM(BF6:BF11)</f>
        <v>0</v>
      </c>
      <c r="BG14" s="60" t="n">
        <f aca="false">SUM(BG6:BG11)</f>
        <v>1526.5623040261</v>
      </c>
      <c r="BH14" s="60" t="n">
        <f aca="false">SUM(BH6:BH11)</f>
        <v>1519.1676785336</v>
      </c>
      <c r="BI14" s="60" t="n">
        <f aca="false">SUM(BI6:BI11)</f>
        <v>2267.71330860307</v>
      </c>
      <c r="BJ14" s="60" t="n">
        <f aca="false">SUM(BJ6:BJ11)</f>
        <v>0</v>
      </c>
      <c r="BK14" s="60" t="n">
        <f aca="false">SUM(BK6:BK11)</f>
        <v>1497.19802503029</v>
      </c>
      <c r="BL14" s="60" t="n">
        <f aca="false">SUM(BL6:BL11)</f>
        <v>1489.94563929142</v>
      </c>
      <c r="BM14" s="60" t="n">
        <f aca="false">SUM(BM6:BM11)</f>
        <v>1482.72838390808</v>
      </c>
      <c r="BN14" s="60" t="n">
        <f aca="false">SUM(BN6:BN11)</f>
        <v>0</v>
      </c>
    </row>
    <row r="15" customFormat="false" ht="15" hidden="false" customHeight="false" outlineLevel="0" collapsed="false">
      <c r="A15" s="4" t="s">
        <v>625</v>
      </c>
      <c r="B15" s="59" t="n">
        <f aca="false">SUM(C15:N15)</f>
        <v>1747.57281553398</v>
      </c>
      <c r="C15" s="60" t="n">
        <f aca="false">C12</f>
        <v>1747.57281553398</v>
      </c>
      <c r="D15" s="60" t="n">
        <f aca="false">D12</f>
        <v>0</v>
      </c>
      <c r="E15" s="60" t="n">
        <f aca="false">E12</f>
        <v>0</v>
      </c>
      <c r="F15" s="60" t="n">
        <f aca="false">F12</f>
        <v>0</v>
      </c>
      <c r="G15" s="60" t="n">
        <f aca="false">G12</f>
        <v>0</v>
      </c>
      <c r="H15" s="60" t="n">
        <f aca="false">H12</f>
        <v>0</v>
      </c>
      <c r="I15" s="60" t="n">
        <f aca="false">I12</f>
        <v>0</v>
      </c>
      <c r="J15" s="60" t="n">
        <f aca="false">J12</f>
        <v>0</v>
      </c>
      <c r="K15" s="60" t="n">
        <f aca="false">K12</f>
        <v>0</v>
      </c>
      <c r="L15" s="60" t="n">
        <f aca="false">L12</f>
        <v>0</v>
      </c>
      <c r="M15" s="60" t="n">
        <f aca="false">M12</f>
        <v>0</v>
      </c>
      <c r="N15" s="60" t="n">
        <f aca="false">N12</f>
        <v>0</v>
      </c>
      <c r="O15" s="59" t="n">
        <f aca="false">SUM(P15:AA15)</f>
        <v>0</v>
      </c>
      <c r="P15" s="60" t="n">
        <f aca="false">P12</f>
        <v>0</v>
      </c>
      <c r="Q15" s="60" t="n">
        <f aca="false">Q12</f>
        <v>0</v>
      </c>
      <c r="R15" s="60" t="n">
        <f aca="false">R12</f>
        <v>0</v>
      </c>
      <c r="S15" s="60" t="n">
        <f aca="false">S12</f>
        <v>0</v>
      </c>
      <c r="T15" s="60" t="n">
        <f aca="false">T12</f>
        <v>0</v>
      </c>
      <c r="U15" s="60" t="n">
        <f aca="false">U12</f>
        <v>0</v>
      </c>
      <c r="V15" s="60" t="n">
        <f aca="false">V12</f>
        <v>0</v>
      </c>
      <c r="W15" s="60" t="n">
        <f aca="false">W12</f>
        <v>0</v>
      </c>
      <c r="X15" s="60" t="n">
        <f aca="false">X12</f>
        <v>0</v>
      </c>
      <c r="Y15" s="60" t="n">
        <f aca="false">Y12</f>
        <v>0</v>
      </c>
      <c r="Z15" s="60" t="n">
        <f aca="false">Z12</f>
        <v>0</v>
      </c>
      <c r="AA15" s="60" t="n">
        <f aca="false">AA12</f>
        <v>0</v>
      </c>
      <c r="AB15" s="59" t="n">
        <f aca="false">SUM(AC15:AN15)</f>
        <v>0</v>
      </c>
      <c r="AC15" s="60" t="n">
        <f aca="false">AC12</f>
        <v>0</v>
      </c>
      <c r="AD15" s="60" t="n">
        <f aca="false">AD12</f>
        <v>0</v>
      </c>
      <c r="AE15" s="60" t="n">
        <f aca="false">AE12</f>
        <v>0</v>
      </c>
      <c r="AF15" s="60" t="n">
        <f aca="false">AF12</f>
        <v>0</v>
      </c>
      <c r="AG15" s="60" t="n">
        <f aca="false">AG12</f>
        <v>0</v>
      </c>
      <c r="AH15" s="60" t="n">
        <f aca="false">AH12</f>
        <v>0</v>
      </c>
      <c r="AI15" s="60" t="n">
        <f aca="false">AI12</f>
        <v>0</v>
      </c>
      <c r="AJ15" s="60" t="n">
        <f aca="false">AJ12</f>
        <v>0</v>
      </c>
      <c r="AK15" s="60" t="n">
        <f aca="false">AK12</f>
        <v>0</v>
      </c>
      <c r="AL15" s="60" t="n">
        <f aca="false">AL12</f>
        <v>0</v>
      </c>
      <c r="AM15" s="60" t="n">
        <f aca="false">AM12</f>
        <v>0</v>
      </c>
      <c r="AN15" s="60" t="n">
        <f aca="false">AN12</f>
        <v>0</v>
      </c>
      <c r="AO15" s="59" t="n">
        <f aca="false">SUM(AP15:BA15)</f>
        <v>0</v>
      </c>
      <c r="AP15" s="60" t="n">
        <f aca="false">AP12</f>
        <v>0</v>
      </c>
      <c r="AQ15" s="60" t="n">
        <f aca="false">AQ12</f>
        <v>0</v>
      </c>
      <c r="AR15" s="60" t="n">
        <f aca="false">AR12</f>
        <v>0</v>
      </c>
      <c r="AS15" s="60" t="n">
        <f aca="false">AS12</f>
        <v>0</v>
      </c>
      <c r="AT15" s="60" t="n">
        <f aca="false">AT12</f>
        <v>0</v>
      </c>
      <c r="AU15" s="60" t="n">
        <f aca="false">AU12</f>
        <v>0</v>
      </c>
      <c r="AV15" s="60" t="n">
        <f aca="false">AV12</f>
        <v>0</v>
      </c>
      <c r="AW15" s="60" t="n">
        <f aca="false">AW12</f>
        <v>0</v>
      </c>
      <c r="AX15" s="60" t="n">
        <f aca="false">AX12</f>
        <v>0</v>
      </c>
      <c r="AY15" s="60" t="n">
        <f aca="false">AY12</f>
        <v>0</v>
      </c>
      <c r="AZ15" s="60" t="n">
        <f aca="false">AZ12</f>
        <v>0</v>
      </c>
      <c r="BA15" s="60" t="n">
        <f aca="false">BA12</f>
        <v>0</v>
      </c>
      <c r="BB15" s="59" t="n">
        <f aca="false">SUM(BC15:BN15)</f>
        <v>0</v>
      </c>
      <c r="BC15" s="60" t="n">
        <f aca="false">BC12</f>
        <v>0</v>
      </c>
      <c r="BD15" s="60" t="n">
        <f aca="false">BD12</f>
        <v>0</v>
      </c>
      <c r="BE15" s="60" t="n">
        <f aca="false">BE12</f>
        <v>0</v>
      </c>
      <c r="BF15" s="60" t="n">
        <f aca="false">BF12</f>
        <v>0</v>
      </c>
      <c r="BG15" s="60" t="n">
        <f aca="false">BG12</f>
        <v>0</v>
      </c>
      <c r="BH15" s="60" t="n">
        <f aca="false">BH12</f>
        <v>0</v>
      </c>
      <c r="BI15" s="60" t="n">
        <f aca="false">BI12</f>
        <v>0</v>
      </c>
      <c r="BJ15" s="60" t="n">
        <f aca="false">BJ12</f>
        <v>0</v>
      </c>
      <c r="BK15" s="60" t="n">
        <f aca="false">BK12</f>
        <v>0</v>
      </c>
      <c r="BL15" s="60" t="n">
        <f aca="false">BL12</f>
        <v>0</v>
      </c>
      <c r="BM15" s="60" t="n">
        <f aca="false">BM12</f>
        <v>0</v>
      </c>
      <c r="BN15" s="60" t="n">
        <f aca="false">BN12</f>
        <v>0</v>
      </c>
    </row>
    <row r="17" customFormat="false" ht="15" hidden="false" customHeight="false" outlineLevel="0" collapsed="false">
      <c r="A17" s="29" t="s">
        <v>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32"/>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320</v>
      </c>
    </row>
    <row r="2" customFormat="false" ht="15" hidden="false" customHeight="false" outlineLevel="0" collapsed="false">
      <c r="A2" s="8" t="s">
        <v>627</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628</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 t="s">
        <v>113</v>
      </c>
      <c r="B5" s="62" t="n">
        <f aca="false">'Assumption Setting'!$C$13</f>
        <v>0</v>
      </c>
    </row>
    <row r="6" customFormat="false" ht="15" hidden="false" customHeight="false" outlineLevel="0" collapsed="false">
      <c r="A6" s="4" t="s">
        <v>115</v>
      </c>
      <c r="B6" s="62" t="n">
        <f aca="false">'Assumption Setting'!$C$14</f>
        <v>0</v>
      </c>
    </row>
    <row r="7" customFormat="false" ht="15" hidden="false" customHeight="false" outlineLevel="0" collapsed="false">
      <c r="A7" s="4" t="s">
        <v>117</v>
      </c>
      <c r="B7" s="62" t="n">
        <f aca="false">'Assumption Setting'!$C$15</f>
        <v>0</v>
      </c>
    </row>
    <row r="8" customFormat="false" ht="15" hidden="false" customHeight="false" outlineLevel="0" collapsed="false">
      <c r="A8" s="4" t="s">
        <v>118</v>
      </c>
      <c r="B8" s="62" t="n">
        <f aca="false">'Assumption Setting'!$C$16</f>
        <v>0</v>
      </c>
    </row>
    <row r="9" customFormat="false" ht="15" hidden="false" customHeight="false" outlineLevel="0" collapsed="false">
      <c r="A9" s="4" t="s">
        <v>629</v>
      </c>
      <c r="B9" s="20" t="n">
        <f aca="false">'Assumption Setting'!$C$17</f>
        <v>0</v>
      </c>
    </row>
    <row r="10" customFormat="false" ht="15" hidden="false" customHeight="false" outlineLevel="0" collapsed="false">
      <c r="A10" s="4" t="s">
        <v>630</v>
      </c>
      <c r="B10" s="20" t="n">
        <f aca="false">'Assumption Setting'!$C$20</f>
        <v>58252.427184466</v>
      </c>
    </row>
    <row r="12" customFormat="false" ht="15" hidden="false" customHeight="false" outlineLevel="0" collapsed="false">
      <c r="A12" s="9" t="s">
        <v>631</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row>
    <row r="13" customFormat="false" ht="15" hidden="false" customHeight="false" outlineLevel="0" collapsed="false">
      <c r="A13" s="56" t="s">
        <v>632</v>
      </c>
      <c r="B13" s="57" t="s">
        <v>87</v>
      </c>
      <c r="C13" s="58" t="s">
        <v>562</v>
      </c>
      <c r="D13" s="58" t="s">
        <v>563</v>
      </c>
      <c r="E13" s="58" t="s">
        <v>564</v>
      </c>
      <c r="F13" s="58" t="s">
        <v>565</v>
      </c>
      <c r="G13" s="58" t="s">
        <v>566</v>
      </c>
      <c r="H13" s="58" t="s">
        <v>567</v>
      </c>
      <c r="I13" s="58" t="s">
        <v>568</v>
      </c>
      <c r="J13" s="58" t="s">
        <v>569</v>
      </c>
      <c r="K13" s="58" t="s">
        <v>570</v>
      </c>
      <c r="L13" s="58" t="s">
        <v>571</v>
      </c>
      <c r="M13" s="58" t="s">
        <v>572</v>
      </c>
      <c r="N13" s="58" t="s">
        <v>573</v>
      </c>
      <c r="O13" s="57" t="s">
        <v>88</v>
      </c>
      <c r="P13" s="58" t="s">
        <v>574</v>
      </c>
      <c r="Q13" s="58" t="s">
        <v>575</v>
      </c>
      <c r="R13" s="58" t="s">
        <v>576</v>
      </c>
      <c r="S13" s="58" t="s">
        <v>577</v>
      </c>
      <c r="T13" s="58" t="s">
        <v>578</v>
      </c>
      <c r="U13" s="58" t="s">
        <v>579</v>
      </c>
      <c r="V13" s="58" t="s">
        <v>580</v>
      </c>
      <c r="W13" s="58" t="s">
        <v>581</v>
      </c>
      <c r="X13" s="58" t="s">
        <v>582</v>
      </c>
      <c r="Y13" s="58" t="s">
        <v>583</v>
      </c>
      <c r="Z13" s="58" t="s">
        <v>584</v>
      </c>
      <c r="AA13" s="58" t="s">
        <v>585</v>
      </c>
      <c r="AB13" s="57" t="s">
        <v>89</v>
      </c>
      <c r="AC13" s="58" t="s">
        <v>586</v>
      </c>
      <c r="AD13" s="58" t="s">
        <v>587</v>
      </c>
      <c r="AE13" s="58" t="s">
        <v>588</v>
      </c>
      <c r="AF13" s="58" t="s">
        <v>589</v>
      </c>
      <c r="AG13" s="58" t="s">
        <v>590</v>
      </c>
      <c r="AH13" s="58" t="s">
        <v>591</v>
      </c>
      <c r="AI13" s="58" t="s">
        <v>592</v>
      </c>
      <c r="AJ13" s="58" t="s">
        <v>593</v>
      </c>
      <c r="AK13" s="58" t="s">
        <v>594</v>
      </c>
      <c r="AL13" s="58" t="s">
        <v>595</v>
      </c>
      <c r="AM13" s="58" t="s">
        <v>596</v>
      </c>
      <c r="AN13" s="58" t="s">
        <v>597</v>
      </c>
      <c r="AO13" s="57" t="s">
        <v>90</v>
      </c>
      <c r="AP13" s="58" t="s">
        <v>598</v>
      </c>
      <c r="AQ13" s="58" t="s">
        <v>599</v>
      </c>
      <c r="AR13" s="58" t="s">
        <v>600</v>
      </c>
      <c r="AS13" s="58" t="s">
        <v>601</v>
      </c>
      <c r="AT13" s="58" t="s">
        <v>602</v>
      </c>
      <c r="AU13" s="58" t="s">
        <v>603</v>
      </c>
      <c r="AV13" s="58" t="s">
        <v>604</v>
      </c>
      <c r="AW13" s="58" t="s">
        <v>605</v>
      </c>
      <c r="AX13" s="58" t="s">
        <v>606</v>
      </c>
      <c r="AY13" s="58" t="s">
        <v>607</v>
      </c>
      <c r="AZ13" s="58" t="s">
        <v>608</v>
      </c>
      <c r="BA13" s="58" t="s">
        <v>609</v>
      </c>
      <c r="BB13" s="57" t="s">
        <v>91</v>
      </c>
      <c r="BC13" s="58" t="s">
        <v>610</v>
      </c>
      <c r="BD13" s="58" t="s">
        <v>611</v>
      </c>
      <c r="BE13" s="58" t="s">
        <v>612</v>
      </c>
      <c r="BF13" s="58" t="s">
        <v>613</v>
      </c>
      <c r="BG13" s="58" t="s">
        <v>614</v>
      </c>
      <c r="BH13" s="58" t="s">
        <v>615</v>
      </c>
      <c r="BI13" s="58" t="s">
        <v>616</v>
      </c>
      <c r="BJ13" s="58" t="s">
        <v>617</v>
      </c>
      <c r="BK13" s="58" t="s">
        <v>618</v>
      </c>
      <c r="BL13" s="58" t="s">
        <v>619</v>
      </c>
      <c r="BM13" s="58" t="s">
        <v>620</v>
      </c>
      <c r="BN13" s="58" t="s">
        <v>621</v>
      </c>
    </row>
    <row r="14" customFormat="false" ht="15" hidden="false" customHeight="false" outlineLevel="0" collapsed="false">
      <c r="A14" s="4" t="s">
        <v>633</v>
      </c>
      <c r="B14" s="59" t="n">
        <f aca="false">SUM(C14:N14)</f>
        <v>68602.0541359569</v>
      </c>
      <c r="C14" s="63" t="n">
        <f aca="false">'Total Revenue'!C18</f>
        <v>0</v>
      </c>
      <c r="D14" s="63" t="n">
        <f aca="false">'Total Revenue'!D18</f>
        <v>536.425483043402</v>
      </c>
      <c r="E14" s="63" t="n">
        <f aca="false">'Total Revenue'!E18</f>
        <v>1606.30554420624</v>
      </c>
      <c r="F14" s="63" t="n">
        <f aca="false">'Total Revenue'!F18</f>
        <v>2923.99777419804</v>
      </c>
      <c r="G14" s="63" t="n">
        <f aca="false">'Total Revenue'!G18</f>
        <v>4059.78133839006</v>
      </c>
      <c r="H14" s="63" t="n">
        <f aca="false">'Total Revenue'!H18</f>
        <v>5188.70001125913</v>
      </c>
      <c r="I14" s="63" t="n">
        <f aca="false">'Total Revenue'!I18</f>
        <v>6309.29544424406</v>
      </c>
      <c r="J14" s="63" t="n">
        <f aca="false">'Total Revenue'!J18</f>
        <v>7420.23797114569</v>
      </c>
      <c r="K14" s="63" t="n">
        <f aca="false">'Total Revenue'!K18</f>
        <v>8520.31835291847</v>
      </c>
      <c r="L14" s="63" t="n">
        <f aca="false">'Total Revenue'!L18</f>
        <v>9608.44000367586</v>
      </c>
      <c r="M14" s="63" t="n">
        <f aca="false">'Total Revenue'!M18</f>
        <v>10683.6116706307</v>
      </c>
      <c r="N14" s="63" t="n">
        <f aca="false">'Total Revenue'!N18</f>
        <v>11744.9405422452</v>
      </c>
      <c r="O14" s="59" t="n">
        <f aca="false">SUM(P14:AA14)</f>
        <v>391860.50917285</v>
      </c>
      <c r="P14" s="63" t="n">
        <f aca="false">'Total Revenue'!P18</f>
        <v>14243.1392894203</v>
      </c>
      <c r="Q14" s="63" t="n">
        <f aca="false">'Total Revenue'!Q18</f>
        <v>16896.2917017707</v>
      </c>
      <c r="R14" s="63" t="n">
        <f aca="false">'Total Revenue'!R18</f>
        <v>20131.0068264781</v>
      </c>
      <c r="S14" s="63" t="n">
        <f aca="false">'Total Revenue'!S18</f>
        <v>23405.6434392258</v>
      </c>
      <c r="T14" s="63" t="n">
        <f aca="false">'Total Revenue'!T18</f>
        <v>26713.9288307208</v>
      </c>
      <c r="U14" s="63" t="n">
        <f aca="false">'Total Revenue'!U18</f>
        <v>30009.9799694081</v>
      </c>
      <c r="V14" s="63" t="n">
        <f aca="false">'Total Revenue'!V18</f>
        <v>34948.6563472643</v>
      </c>
      <c r="W14" s="63" t="n">
        <f aca="false">'Total Revenue'!W18</f>
        <v>38367.7795954838</v>
      </c>
      <c r="X14" s="63" t="n">
        <f aca="false">'Total Revenue'!X18</f>
        <v>41762.96933842</v>
      </c>
      <c r="Y14" s="63" t="n">
        <f aca="false">'Total Revenue'!Y18</f>
        <v>45131.501993067</v>
      </c>
      <c r="Z14" s="63" t="n">
        <f aca="false">'Total Revenue'!Z18</f>
        <v>48470.8652626346</v>
      </c>
      <c r="AA14" s="63" t="n">
        <f aca="false">'Total Revenue'!AA18</f>
        <v>51778.7465789566</v>
      </c>
      <c r="AB14" s="59" t="n">
        <f aca="false">SUM(AC14:AN14)</f>
        <v>1221612.70310048</v>
      </c>
      <c r="AC14" s="63" t="n">
        <f aca="false">'Total Revenue'!AC18</f>
        <v>61799.0159938651</v>
      </c>
      <c r="AD14" s="63" t="n">
        <f aca="false">'Total Revenue'!AD18</f>
        <v>68222.6138744524</v>
      </c>
      <c r="AE14" s="63" t="n">
        <f aca="false">'Total Revenue'!AE18</f>
        <v>75648.4187158994</v>
      </c>
      <c r="AF14" s="63" t="n">
        <f aca="false">'Total Revenue'!AF18</f>
        <v>83124.1545271689</v>
      </c>
      <c r="AG14" s="63" t="n">
        <f aca="false">'Total Revenue'!AG18</f>
        <v>90639.8454319996</v>
      </c>
      <c r="AH14" s="63" t="n">
        <f aca="false">'Total Revenue'!AH18</f>
        <v>98131.2122731896</v>
      </c>
      <c r="AI14" s="63" t="n">
        <f aca="false">'Total Revenue'!AI18</f>
        <v>105592.366048042</v>
      </c>
      <c r="AJ14" s="63" t="n">
        <f aca="false">'Total Revenue'!AJ18</f>
        <v>113017.791581637</v>
      </c>
      <c r="AK14" s="63" t="n">
        <f aca="false">'Total Revenue'!AK18</f>
        <v>120402.329627154</v>
      </c>
      <c r="AL14" s="63" t="n">
        <f aca="false">'Total Revenue'!AL18</f>
        <v>127741.159756822</v>
      </c>
      <c r="AM14" s="63" t="n">
        <f aca="false">'Total Revenue'!AM18</f>
        <v>135029.78400932</v>
      </c>
      <c r="AN14" s="63" t="n">
        <f aca="false">'Total Revenue'!AN18</f>
        <v>142264.011260933</v>
      </c>
      <c r="AO14" s="59" t="n">
        <f aca="false">SUM(AP14:BA14)</f>
        <v>2763830.19278589</v>
      </c>
      <c r="AP14" s="63" t="n">
        <f aca="false">'Total Revenue'!AP18</f>
        <v>164411.150774572</v>
      </c>
      <c r="AQ14" s="63" t="n">
        <f aca="false">'Total Revenue'!AQ18</f>
        <v>175574.322739013</v>
      </c>
      <c r="AR14" s="63" t="n">
        <f aca="false">'Total Revenue'!AR18</f>
        <v>187823.613283188</v>
      </c>
      <c r="AS14" s="63" t="n">
        <f aca="false">'Total Revenue'!AS18</f>
        <v>200081.155504796</v>
      </c>
      <c r="AT14" s="63" t="n">
        <f aca="false">'Total Revenue'!AT18</f>
        <v>212336.026806752</v>
      </c>
      <c r="AU14" s="63" t="n">
        <f aca="false">'Total Revenue'!AU18</f>
        <v>224531.027065012</v>
      </c>
      <c r="AV14" s="63" t="n">
        <f aca="false">'Total Revenue'!AV18</f>
        <v>236658.93353129</v>
      </c>
      <c r="AW14" s="63" t="n">
        <f aca="false">'Total Revenue'!AW18</f>
        <v>248712.969712588</v>
      </c>
      <c r="AX14" s="63" t="n">
        <f aca="false">'Total Revenue'!AX18</f>
        <v>260686.785325246</v>
      </c>
      <c r="AY14" s="63" t="n">
        <f aca="false">'Total Revenue'!AY18</f>
        <v>272574.43706883</v>
      </c>
      <c r="AZ14" s="63" t="n">
        <f aca="false">'Total Revenue'!AZ18</f>
        <v>284370.370187425</v>
      </c>
      <c r="BA14" s="63" t="n">
        <f aca="false">'Total Revenue'!BA18</f>
        <v>296069.40078718</v>
      </c>
      <c r="BB14" s="59" t="n">
        <f aca="false">SUM(BC14:BN14)</f>
        <v>4998712.11121331</v>
      </c>
      <c r="BC14" s="63" t="n">
        <f aca="false">'Total Revenue'!BC18</f>
        <v>332663.942253848</v>
      </c>
      <c r="BD14" s="63" t="n">
        <f aca="false">'Total Revenue'!BD18</f>
        <v>347532.648294055</v>
      </c>
      <c r="BE14" s="63" t="n">
        <f aca="false">'Total Revenue'!BE18</f>
        <v>363059.641260106</v>
      </c>
      <c r="BF14" s="63" t="n">
        <f aca="false">'Total Revenue'!BF18</f>
        <v>378561.82140817</v>
      </c>
      <c r="BG14" s="63" t="n">
        <f aca="false">'Total Revenue'!BG18</f>
        <v>394028.493829522</v>
      </c>
      <c r="BH14" s="63" t="n">
        <f aca="false">'Total Revenue'!BH18</f>
        <v>409405.37174384</v>
      </c>
      <c r="BI14" s="63" t="n">
        <f aca="false">'Total Revenue'!BI18</f>
        <v>424685.221321691</v>
      </c>
      <c r="BJ14" s="63" t="n">
        <f aca="false">'Total Revenue'!BJ18</f>
        <v>439861.245430296</v>
      </c>
      <c r="BK14" s="63" t="n">
        <f aca="false">'Total Revenue'!BK18</f>
        <v>454927.064955675</v>
      </c>
      <c r="BL14" s="63" t="n">
        <f aca="false">'Total Revenue'!BL18</f>
        <v>469876.700848866</v>
      </c>
      <c r="BM14" s="63" t="n">
        <f aca="false">'Total Revenue'!BM18</f>
        <v>484704.556869134</v>
      </c>
      <c r="BN14" s="63" t="n">
        <f aca="false">'Total Revenue'!BN18</f>
        <v>499405.402998104</v>
      </c>
    </row>
    <row r="15" customFormat="false" ht="15" hidden="false" customHeight="false" outlineLevel="0" collapsed="false">
      <c r="A15" s="4" t="s">
        <v>634</v>
      </c>
      <c r="B15" s="59" t="n">
        <f aca="false">SUM(C15:N15)</f>
        <v>0</v>
      </c>
      <c r="C15" s="64"/>
      <c r="D15" s="64"/>
      <c r="E15" s="64"/>
      <c r="F15" s="64"/>
      <c r="G15" s="64"/>
      <c r="H15" s="64"/>
      <c r="I15" s="64"/>
      <c r="J15" s="64"/>
      <c r="K15" s="64"/>
      <c r="L15" s="64"/>
      <c r="M15" s="64"/>
      <c r="N15" s="64"/>
      <c r="O15" s="59" t="n">
        <f aca="false">SUM(P15:AA15)</f>
        <v>0</v>
      </c>
      <c r="P15" s="64"/>
      <c r="Q15" s="64"/>
      <c r="R15" s="64"/>
      <c r="S15" s="64"/>
      <c r="T15" s="64"/>
      <c r="U15" s="64"/>
      <c r="V15" s="64"/>
      <c r="W15" s="64"/>
      <c r="X15" s="64"/>
      <c r="Y15" s="64"/>
      <c r="Z15" s="64"/>
      <c r="AA15" s="64"/>
      <c r="AB15" s="59" t="n">
        <f aca="false">SUM(AC15:AN15)</f>
        <v>0</v>
      </c>
      <c r="AC15" s="64"/>
      <c r="AD15" s="64"/>
      <c r="AE15" s="64"/>
      <c r="AF15" s="64"/>
      <c r="AG15" s="64"/>
      <c r="AH15" s="64"/>
      <c r="AI15" s="64"/>
      <c r="AJ15" s="64"/>
      <c r="AK15" s="64"/>
      <c r="AL15" s="64"/>
      <c r="AM15" s="64"/>
      <c r="AN15" s="64"/>
      <c r="AO15" s="59" t="n">
        <f aca="false">SUM(AP15:BA15)</f>
        <v>0</v>
      </c>
      <c r="AP15" s="64"/>
      <c r="AQ15" s="64"/>
      <c r="AR15" s="64"/>
      <c r="AS15" s="64"/>
      <c r="AT15" s="64"/>
      <c r="AU15" s="64"/>
      <c r="AV15" s="64"/>
      <c r="AW15" s="64"/>
      <c r="AX15" s="64"/>
      <c r="AY15" s="64"/>
      <c r="AZ15" s="64"/>
      <c r="BA15" s="64"/>
      <c r="BB15" s="59" t="n">
        <f aca="false">SUM(BC15:BN15)</f>
        <v>0</v>
      </c>
      <c r="BC15" s="64"/>
      <c r="BD15" s="64"/>
      <c r="BE15" s="64"/>
      <c r="BF15" s="64"/>
      <c r="BG15" s="64"/>
      <c r="BH15" s="64"/>
      <c r="BI15" s="64"/>
      <c r="BJ15" s="64"/>
      <c r="BK15" s="64"/>
      <c r="BL15" s="64"/>
      <c r="BM15" s="64"/>
      <c r="BN15" s="64"/>
    </row>
    <row r="16" customFormat="false" ht="15" hidden="false" customHeight="false" outlineLevel="0" collapsed="false">
      <c r="A16" s="4" t="s">
        <v>635</v>
      </c>
      <c r="C16" s="60" t="n">
        <f aca="false">IF(ISNUMBER(C15),C15-C14,0)</f>
        <v>0</v>
      </c>
      <c r="D16" s="60" t="n">
        <f aca="false">IF(ISNUMBER(D15),D15-D14,0)</f>
        <v>0</v>
      </c>
      <c r="E16" s="60" t="n">
        <f aca="false">IF(ISNUMBER(E15),E15-E14,0)</f>
        <v>0</v>
      </c>
      <c r="F16" s="60" t="n">
        <f aca="false">IF(ISNUMBER(F15),F15-F14,0)</f>
        <v>0</v>
      </c>
      <c r="G16" s="60" t="n">
        <f aca="false">IF(ISNUMBER(G15),G15-G14,0)</f>
        <v>0</v>
      </c>
      <c r="H16" s="60" t="n">
        <f aca="false">IF(ISNUMBER(H15),H15-H14,0)</f>
        <v>0</v>
      </c>
      <c r="I16" s="60" t="n">
        <f aca="false">IF(ISNUMBER(I15),I15-I14,0)</f>
        <v>0</v>
      </c>
      <c r="J16" s="60" t="n">
        <f aca="false">IF(ISNUMBER(J15),J15-J14,0)</f>
        <v>0</v>
      </c>
      <c r="K16" s="60" t="n">
        <f aca="false">IF(ISNUMBER(K15),K15-K14,0)</f>
        <v>0</v>
      </c>
      <c r="L16" s="60" t="n">
        <f aca="false">IF(ISNUMBER(L15),L15-L14,0)</f>
        <v>0</v>
      </c>
      <c r="M16" s="60" t="n">
        <f aca="false">IF(ISNUMBER(M15),M15-M14,0)</f>
        <v>0</v>
      </c>
      <c r="N16" s="60" t="n">
        <f aca="false">IF(ISNUMBER(N15),N15-N14,0)</f>
        <v>0</v>
      </c>
      <c r="P16" s="60" t="n">
        <f aca="false">IF(ISNUMBER(P15),P15-P14,0)</f>
        <v>0</v>
      </c>
      <c r="Q16" s="60" t="n">
        <f aca="false">IF(ISNUMBER(Q15),Q15-Q14,0)</f>
        <v>0</v>
      </c>
      <c r="R16" s="60" t="n">
        <f aca="false">IF(ISNUMBER(R15),R15-R14,0)</f>
        <v>0</v>
      </c>
      <c r="S16" s="60" t="n">
        <f aca="false">IF(ISNUMBER(S15),S15-S14,0)</f>
        <v>0</v>
      </c>
      <c r="T16" s="60" t="n">
        <f aca="false">IF(ISNUMBER(T15),T15-T14,0)</f>
        <v>0</v>
      </c>
      <c r="U16" s="60" t="n">
        <f aca="false">IF(ISNUMBER(U15),U15-U14,0)</f>
        <v>0</v>
      </c>
      <c r="V16" s="60" t="n">
        <f aca="false">IF(ISNUMBER(V15),V15-V14,0)</f>
        <v>0</v>
      </c>
      <c r="W16" s="60" t="n">
        <f aca="false">IF(ISNUMBER(W15),W15-W14,0)</f>
        <v>0</v>
      </c>
      <c r="X16" s="60" t="n">
        <f aca="false">IF(ISNUMBER(X15),X15-X14,0)</f>
        <v>0</v>
      </c>
      <c r="Y16" s="60" t="n">
        <f aca="false">IF(ISNUMBER(Y15),Y15-Y14,0)</f>
        <v>0</v>
      </c>
      <c r="Z16" s="60" t="n">
        <f aca="false">IF(ISNUMBER(Z15),Z15-Z14,0)</f>
        <v>0</v>
      </c>
      <c r="AA16" s="60" t="n">
        <f aca="false">IF(ISNUMBER(AA15),AA15-AA14,0)</f>
        <v>0</v>
      </c>
      <c r="AC16" s="60" t="n">
        <f aca="false">IF(ISNUMBER(AC15),AC15-AC14,0)</f>
        <v>0</v>
      </c>
      <c r="AD16" s="60" t="n">
        <f aca="false">IF(ISNUMBER(AD15),AD15-AD14,0)</f>
        <v>0</v>
      </c>
      <c r="AE16" s="60" t="n">
        <f aca="false">IF(ISNUMBER(AE15),AE15-AE14,0)</f>
        <v>0</v>
      </c>
      <c r="AF16" s="60" t="n">
        <f aca="false">IF(ISNUMBER(AF15),AF15-AF14,0)</f>
        <v>0</v>
      </c>
      <c r="AG16" s="60" t="n">
        <f aca="false">IF(ISNUMBER(AG15),AG15-AG14,0)</f>
        <v>0</v>
      </c>
      <c r="AH16" s="60" t="n">
        <f aca="false">IF(ISNUMBER(AH15),AH15-AH14,0)</f>
        <v>0</v>
      </c>
      <c r="AI16" s="60" t="n">
        <f aca="false">IF(ISNUMBER(AI15),AI15-AI14,0)</f>
        <v>0</v>
      </c>
      <c r="AJ16" s="60" t="n">
        <f aca="false">IF(ISNUMBER(AJ15),AJ15-AJ14,0)</f>
        <v>0</v>
      </c>
      <c r="AK16" s="60" t="n">
        <f aca="false">IF(ISNUMBER(AK15),AK15-AK14,0)</f>
        <v>0</v>
      </c>
      <c r="AL16" s="60" t="n">
        <f aca="false">IF(ISNUMBER(AL15),AL15-AL14,0)</f>
        <v>0</v>
      </c>
      <c r="AM16" s="60" t="n">
        <f aca="false">IF(ISNUMBER(AM15),AM15-AM14,0)</f>
        <v>0</v>
      </c>
      <c r="AN16" s="60" t="n">
        <f aca="false">IF(ISNUMBER(AN15),AN15-AN14,0)</f>
        <v>0</v>
      </c>
      <c r="AP16" s="60" t="n">
        <f aca="false">IF(ISNUMBER(AP15),AP15-AP14,0)</f>
        <v>0</v>
      </c>
      <c r="AQ16" s="60" t="n">
        <f aca="false">IF(ISNUMBER(AQ15),AQ15-AQ14,0)</f>
        <v>0</v>
      </c>
      <c r="AR16" s="60" t="n">
        <f aca="false">IF(ISNUMBER(AR15),AR15-AR14,0)</f>
        <v>0</v>
      </c>
      <c r="AS16" s="60" t="n">
        <f aca="false">IF(ISNUMBER(AS15),AS15-AS14,0)</f>
        <v>0</v>
      </c>
      <c r="AT16" s="60" t="n">
        <f aca="false">IF(ISNUMBER(AT15),AT15-AT14,0)</f>
        <v>0</v>
      </c>
      <c r="AU16" s="60" t="n">
        <f aca="false">IF(ISNUMBER(AU15),AU15-AU14,0)</f>
        <v>0</v>
      </c>
      <c r="AV16" s="60" t="n">
        <f aca="false">IF(ISNUMBER(AV15),AV15-AV14,0)</f>
        <v>0</v>
      </c>
      <c r="AW16" s="60" t="n">
        <f aca="false">IF(ISNUMBER(AW15),AW15-AW14,0)</f>
        <v>0</v>
      </c>
      <c r="AX16" s="60" t="n">
        <f aca="false">IF(ISNUMBER(AX15),AX15-AX14,0)</f>
        <v>0</v>
      </c>
      <c r="AY16" s="60" t="n">
        <f aca="false">IF(ISNUMBER(AY15),AY15-AY14,0)</f>
        <v>0</v>
      </c>
      <c r="AZ16" s="60" t="n">
        <f aca="false">IF(ISNUMBER(AZ15),AZ15-AZ14,0)</f>
        <v>0</v>
      </c>
      <c r="BA16" s="60" t="n">
        <f aca="false">IF(ISNUMBER(BA15),BA15-BA14,0)</f>
        <v>0</v>
      </c>
      <c r="BC16" s="60" t="n">
        <f aca="false">IF(ISNUMBER(BC15),BC15-BC14,0)</f>
        <v>0</v>
      </c>
      <c r="BD16" s="60" t="n">
        <f aca="false">IF(ISNUMBER(BD15),BD15-BD14,0)</f>
        <v>0</v>
      </c>
      <c r="BE16" s="60" t="n">
        <f aca="false">IF(ISNUMBER(BE15),BE15-BE14,0)</f>
        <v>0</v>
      </c>
      <c r="BF16" s="60" t="n">
        <f aca="false">IF(ISNUMBER(BF15),BF15-BF14,0)</f>
        <v>0</v>
      </c>
      <c r="BG16" s="60" t="n">
        <f aca="false">IF(ISNUMBER(BG15),BG15-BG14,0)</f>
        <v>0</v>
      </c>
      <c r="BH16" s="60" t="n">
        <f aca="false">IF(ISNUMBER(BH15),BH15-BH14,0)</f>
        <v>0</v>
      </c>
      <c r="BI16" s="60" t="n">
        <f aca="false">IF(ISNUMBER(BI15),BI15-BI14,0)</f>
        <v>0</v>
      </c>
      <c r="BJ16" s="60" t="n">
        <f aca="false">IF(ISNUMBER(BJ15),BJ15-BJ14,0)</f>
        <v>0</v>
      </c>
      <c r="BK16" s="60" t="n">
        <f aca="false">IF(ISNUMBER(BK15),BK15-BK14,0)</f>
        <v>0</v>
      </c>
      <c r="BL16" s="60" t="n">
        <f aca="false">IF(ISNUMBER(BL15),BL15-BL14,0)</f>
        <v>0</v>
      </c>
      <c r="BM16" s="60" t="n">
        <f aca="false">IF(ISNUMBER(BM15),BM15-BM14,0)</f>
        <v>0</v>
      </c>
      <c r="BN16" s="60" t="n">
        <f aca="false">IF(ISNUMBER(BN15),BN15-BN14,0)</f>
        <v>0</v>
      </c>
    </row>
    <row r="18" customFormat="false" ht="15" hidden="false" customHeight="false" outlineLevel="0" collapsed="false">
      <c r="A18" s="4" t="s">
        <v>636</v>
      </c>
      <c r="B18" s="65" t="n">
        <f aca="false">N18</f>
        <v>319.895176723777</v>
      </c>
      <c r="C18" s="66" t="n">
        <f aca="false">Acquisitions!C124</f>
        <v>0</v>
      </c>
      <c r="D18" s="66" t="n">
        <f aca="false">Acquisitions!D124</f>
        <v>29.6316292793788</v>
      </c>
      <c r="E18" s="66" t="n">
        <f aca="false">Acquisitions!E124</f>
        <v>59.2320027647803</v>
      </c>
      <c r="F18" s="66" t="n">
        <f aca="false">Acquisitions!F124</f>
        <v>89.0248732570703</v>
      </c>
      <c r="G18" s="66" t="n">
        <f aca="false">Acquisitions!G124</f>
        <v>118.69020135174</v>
      </c>
      <c r="H18" s="66" t="n">
        <f aca="false">Acquisitions!H124</f>
        <v>148.188398035401</v>
      </c>
      <c r="I18" s="66" t="n">
        <f aca="false">Acquisitions!I124</f>
        <v>177.483663045498</v>
      </c>
      <c r="J18" s="66" t="n">
        <f aca="false">Acquisitions!J124</f>
        <v>206.543710783013</v>
      </c>
      <c r="K18" s="66" t="n">
        <f aca="false">Acquisitions!K124</f>
        <v>235.339514529168</v>
      </c>
      <c r="L18" s="66" t="n">
        <f aca="false">Acquisitions!L124</f>
        <v>263.845067775539</v>
      </c>
      <c r="M18" s="66" t="n">
        <f aca="false">Acquisitions!M124</f>
        <v>292.03716155387</v>
      </c>
      <c r="N18" s="66" t="n">
        <f aca="false">Acquisitions!N124</f>
        <v>319.895176723777</v>
      </c>
      <c r="O18" s="65" t="n">
        <f aca="false">AA18</f>
        <v>1234.8022542943</v>
      </c>
      <c r="P18" s="66" t="n">
        <f aca="false">Acquisitions!P124</f>
        <v>355.323659278892</v>
      </c>
      <c r="Q18" s="66" t="n">
        <f aca="false">Acquisitions!Q124</f>
        <v>436.336047778754</v>
      </c>
      <c r="R18" s="66" t="n">
        <f aca="false">Acquisitions!R124</f>
        <v>517.326017393938</v>
      </c>
      <c r="S18" s="66" t="n">
        <f aca="false">Acquisitions!S124</f>
        <v>598.551543374891</v>
      </c>
      <c r="T18" s="66" t="n">
        <f aca="false">Acquisitions!T124</f>
        <v>679.567719451237</v>
      </c>
      <c r="U18" s="66" t="n">
        <f aca="false">Acquisitions!U124</f>
        <v>760.293873363852</v>
      </c>
      <c r="V18" s="66" t="n">
        <f aca="false">Acquisitions!V124</f>
        <v>840.655738857044</v>
      </c>
      <c r="W18" s="66" t="n">
        <f aca="false">Acquisitions!W124</f>
        <v>920.58506346866</v>
      </c>
      <c r="X18" s="66" t="n">
        <f aca="false">Acquisitions!X124</f>
        <v>1000.01923864821</v>
      </c>
      <c r="Y18" s="66" t="n">
        <f aca="false">Acquisitions!Y124</f>
        <v>1078.90095095993</v>
      </c>
      <c r="Z18" s="66" t="n">
        <f aca="false">Acquisitions!Z124</f>
        <v>1157.1778531965</v>
      </c>
      <c r="AA18" s="66" t="n">
        <f aca="false">Acquisitions!AA124</f>
        <v>1234.8022542943</v>
      </c>
      <c r="AB18" s="65" t="n">
        <f aca="false">AN18</f>
        <v>3089.92911183532</v>
      </c>
      <c r="AC18" s="66" t="n">
        <f aca="false">Acquisitions!AC124</f>
        <v>1330.74401368077</v>
      </c>
      <c r="AD18" s="66" t="n">
        <f aca="false">Acquisitions!AD124</f>
        <v>1492.9257792958</v>
      </c>
      <c r="AE18" s="66" t="n">
        <f aca="false">Acquisitions!AE124</f>
        <v>1654.94575829129</v>
      </c>
      <c r="AF18" s="66" t="n">
        <f aca="false">Acquisitions!AF124</f>
        <v>1817.13391426561</v>
      </c>
      <c r="AG18" s="66" t="n">
        <f aca="false">Acquisitions!AG124</f>
        <v>1978.88686882925</v>
      </c>
      <c r="AH18" s="66" t="n">
        <f aca="false">Acquisitions!AH124</f>
        <v>2140.08463329374</v>
      </c>
      <c r="AI18" s="66" t="n">
        <f aca="false">Acquisitions!AI124</f>
        <v>2300.61591371962</v>
      </c>
      <c r="AJ18" s="66" t="n">
        <f aca="false">Acquisitions!AJ124</f>
        <v>2460.3776237313</v>
      </c>
      <c r="AK18" s="66" t="n">
        <f aca="false">Acquisitions!AK124</f>
        <v>2619.2744228559</v>
      </c>
      <c r="AL18" s="66" t="n">
        <f aca="false">Acquisitions!AL124</f>
        <v>2777.21827907293</v>
      </c>
      <c r="AM18" s="66" t="n">
        <f aca="false">Acquisitions!AM124</f>
        <v>2934.12805432894</v>
      </c>
      <c r="AN18" s="66" t="n">
        <f aca="false">Acquisitions!AN124</f>
        <v>3089.92911183532</v>
      </c>
      <c r="AO18" s="65" t="n">
        <f aca="false">BA18</f>
        <v>6004.41741814565</v>
      </c>
      <c r="AP18" s="66" t="n">
        <f aca="false">Acquisitions!AP124</f>
        <v>3275.08440704948</v>
      </c>
      <c r="AQ18" s="66" t="n">
        <f aca="false">Acquisitions!AQ124</f>
        <v>3528.47993978483</v>
      </c>
      <c r="AR18" s="66" t="n">
        <f aca="false">Acquisitions!AR124</f>
        <v>3781.15944851053</v>
      </c>
      <c r="AS18" s="66" t="n">
        <f aca="false">Acquisitions!AS124</f>
        <v>4033.36583871283</v>
      </c>
      <c r="AT18" s="66" t="n">
        <f aca="false">Acquisitions!AT124</f>
        <v>4284.55669385649</v>
      </c>
      <c r="AU18" s="66" t="n">
        <f aca="false">Acquisitions!AU124</f>
        <v>4534.59922351722</v>
      </c>
      <c r="AV18" s="66" t="n">
        <f aca="false">Acquisitions!AV124</f>
        <v>4783.36995221351</v>
      </c>
      <c r="AW18" s="66" t="n">
        <f aca="false">Acquisitions!AW124</f>
        <v>5030.75423114001</v>
      </c>
      <c r="AX18" s="66" t="n">
        <f aca="false">Acquisitions!AX124</f>
        <v>5276.64577364602</v>
      </c>
      <c r="AY18" s="66" t="n">
        <f aca="false">Acquisitions!AY124</f>
        <v>5520.9462133285</v>
      </c>
      <c r="AZ18" s="66" t="n">
        <f aca="false">Acquisitions!AZ124</f>
        <v>5763.56468366288</v>
      </c>
      <c r="BA18" s="66" t="n">
        <f aca="false">Acquisitions!BA124</f>
        <v>6004.41741814565</v>
      </c>
      <c r="BB18" s="65" t="n">
        <f aca="false">BN18</f>
        <v>9567.51535066602</v>
      </c>
      <c r="BC18" s="66" t="n">
        <f aca="false">Acquisitions!BC124</f>
        <v>6266.85704194298</v>
      </c>
      <c r="BD18" s="66" t="n">
        <f aca="false">Acquisitions!BD124</f>
        <v>6573.2182831011</v>
      </c>
      <c r="BE18" s="66" t="n">
        <f aca="false">Acquisitions!BE124</f>
        <v>6878.66119545978</v>
      </c>
      <c r="BF18" s="66" t="n">
        <f aca="false">Acquisitions!BF124</f>
        <v>7183.40609357897</v>
      </c>
      <c r="BG18" s="66" t="n">
        <f aca="false">Acquisitions!BG124</f>
        <v>7486.935434999</v>
      </c>
      <c r="BH18" s="66" t="n">
        <f aca="false">Acquisitions!BH124</f>
        <v>7789.11643351781</v>
      </c>
      <c r="BI18" s="66" t="n">
        <f aca="false">Acquisitions!BI124</f>
        <v>8089.82517594382</v>
      </c>
      <c r="BJ18" s="66" t="n">
        <f aca="false">Acquisitions!BJ124</f>
        <v>8388.94618149903</v>
      </c>
      <c r="BK18" s="66" t="n">
        <f aca="false">Acquisitions!BK124</f>
        <v>8686.37198149126</v>
      </c>
      <c r="BL18" s="66" t="n">
        <f aca="false">Acquisitions!BL124</f>
        <v>8982.00271834419</v>
      </c>
      <c r="BM18" s="66" t="n">
        <f aca="false">Acquisitions!BM124</f>
        <v>9275.74576311477</v>
      </c>
      <c r="BN18" s="66" t="n">
        <f aca="false">Acquisitions!BN124</f>
        <v>9567.51535066602</v>
      </c>
    </row>
    <row r="19" customFormat="false" ht="15" hidden="false" customHeight="false" outlineLevel="0" collapsed="false">
      <c r="A19" s="4" t="s">
        <v>637</v>
      </c>
      <c r="B19" s="65" t="n">
        <f aca="false">N19</f>
        <v>0</v>
      </c>
      <c r="C19" s="67"/>
      <c r="D19" s="67"/>
      <c r="E19" s="67"/>
      <c r="F19" s="67"/>
      <c r="G19" s="67"/>
      <c r="H19" s="67"/>
      <c r="I19" s="67"/>
      <c r="J19" s="67"/>
      <c r="K19" s="67"/>
      <c r="L19" s="67"/>
      <c r="M19" s="67"/>
      <c r="N19" s="67"/>
      <c r="O19" s="65" t="n">
        <f aca="false">AA19</f>
        <v>0</v>
      </c>
      <c r="P19" s="67"/>
      <c r="Q19" s="67"/>
      <c r="R19" s="67"/>
      <c r="S19" s="67"/>
      <c r="T19" s="67"/>
      <c r="U19" s="67"/>
      <c r="V19" s="67"/>
      <c r="W19" s="67"/>
      <c r="X19" s="67"/>
      <c r="Y19" s="67"/>
      <c r="Z19" s="67"/>
      <c r="AA19" s="67"/>
      <c r="AB19" s="65" t="n">
        <f aca="false">AN19</f>
        <v>0</v>
      </c>
      <c r="AC19" s="67"/>
      <c r="AD19" s="67"/>
      <c r="AE19" s="67"/>
      <c r="AF19" s="67"/>
      <c r="AG19" s="67"/>
      <c r="AH19" s="67"/>
      <c r="AI19" s="67"/>
      <c r="AJ19" s="67"/>
      <c r="AK19" s="67"/>
      <c r="AL19" s="67"/>
      <c r="AM19" s="67"/>
      <c r="AN19" s="67"/>
      <c r="AO19" s="65" t="n">
        <f aca="false">BA19</f>
        <v>0</v>
      </c>
      <c r="AP19" s="67"/>
      <c r="AQ19" s="67"/>
      <c r="AR19" s="67"/>
      <c r="AS19" s="67"/>
      <c r="AT19" s="67"/>
      <c r="AU19" s="67"/>
      <c r="AV19" s="67"/>
      <c r="AW19" s="67"/>
      <c r="AX19" s="67"/>
      <c r="AY19" s="67"/>
      <c r="AZ19" s="67"/>
      <c r="BA19" s="67"/>
      <c r="BB19" s="65" t="n">
        <f aca="false">BN19</f>
        <v>0</v>
      </c>
      <c r="BC19" s="67"/>
      <c r="BD19" s="67"/>
      <c r="BE19" s="67"/>
      <c r="BF19" s="67"/>
      <c r="BG19" s="67"/>
      <c r="BH19" s="67"/>
      <c r="BI19" s="67"/>
      <c r="BJ19" s="67"/>
      <c r="BK19" s="67"/>
      <c r="BL19" s="67"/>
      <c r="BM19" s="67"/>
      <c r="BN19" s="67"/>
    </row>
    <row r="20" customFormat="false" ht="15" hidden="false" customHeight="false" outlineLevel="0" collapsed="false">
      <c r="A20" s="4" t="s">
        <v>635</v>
      </c>
      <c r="C20" s="68" t="n">
        <f aca="false">IF(ISNUMBER(C19),C19-C18,0)</f>
        <v>0</v>
      </c>
      <c r="D20" s="68" t="n">
        <f aca="false">IF(ISNUMBER(D19),D19-D18,0)</f>
        <v>0</v>
      </c>
      <c r="E20" s="68" t="n">
        <f aca="false">IF(ISNUMBER(E19),E19-E18,0)</f>
        <v>0</v>
      </c>
      <c r="F20" s="68" t="n">
        <f aca="false">IF(ISNUMBER(F19),F19-F18,0)</f>
        <v>0</v>
      </c>
      <c r="G20" s="68" t="n">
        <f aca="false">IF(ISNUMBER(G19),G19-G18,0)</f>
        <v>0</v>
      </c>
      <c r="H20" s="68" t="n">
        <f aca="false">IF(ISNUMBER(H19),H19-H18,0)</f>
        <v>0</v>
      </c>
      <c r="I20" s="68" t="n">
        <f aca="false">IF(ISNUMBER(I19),I19-I18,0)</f>
        <v>0</v>
      </c>
      <c r="J20" s="68" t="n">
        <f aca="false">IF(ISNUMBER(J19),J19-J18,0)</f>
        <v>0</v>
      </c>
      <c r="K20" s="68" t="n">
        <f aca="false">IF(ISNUMBER(K19),K19-K18,0)</f>
        <v>0</v>
      </c>
      <c r="L20" s="68" t="n">
        <f aca="false">IF(ISNUMBER(L19),L19-L18,0)</f>
        <v>0</v>
      </c>
      <c r="M20" s="68" t="n">
        <f aca="false">IF(ISNUMBER(M19),M19-M18,0)</f>
        <v>0</v>
      </c>
      <c r="N20" s="68" t="n">
        <f aca="false">IF(ISNUMBER(N19),N19-N18,0)</f>
        <v>0</v>
      </c>
      <c r="P20" s="68" t="n">
        <f aca="false">IF(ISNUMBER(P19),P19-P18,0)</f>
        <v>0</v>
      </c>
      <c r="Q20" s="68" t="n">
        <f aca="false">IF(ISNUMBER(Q19),Q19-Q18,0)</f>
        <v>0</v>
      </c>
      <c r="R20" s="68" t="n">
        <f aca="false">IF(ISNUMBER(R19),R19-R18,0)</f>
        <v>0</v>
      </c>
      <c r="S20" s="68" t="n">
        <f aca="false">IF(ISNUMBER(S19),S19-S18,0)</f>
        <v>0</v>
      </c>
      <c r="T20" s="68" t="n">
        <f aca="false">IF(ISNUMBER(T19),T19-T18,0)</f>
        <v>0</v>
      </c>
      <c r="U20" s="68" t="n">
        <f aca="false">IF(ISNUMBER(U19),U19-U18,0)</f>
        <v>0</v>
      </c>
      <c r="V20" s="68" t="n">
        <f aca="false">IF(ISNUMBER(V19),V19-V18,0)</f>
        <v>0</v>
      </c>
      <c r="W20" s="68" t="n">
        <f aca="false">IF(ISNUMBER(W19),W19-W18,0)</f>
        <v>0</v>
      </c>
      <c r="X20" s="68" t="n">
        <f aca="false">IF(ISNUMBER(X19),X19-X18,0)</f>
        <v>0</v>
      </c>
      <c r="Y20" s="68" t="n">
        <f aca="false">IF(ISNUMBER(Y19),Y19-Y18,0)</f>
        <v>0</v>
      </c>
      <c r="Z20" s="68" t="n">
        <f aca="false">IF(ISNUMBER(Z19),Z19-Z18,0)</f>
        <v>0</v>
      </c>
      <c r="AA20" s="68" t="n">
        <f aca="false">IF(ISNUMBER(AA19),AA19-AA18,0)</f>
        <v>0</v>
      </c>
      <c r="AC20" s="68" t="n">
        <f aca="false">IF(ISNUMBER(AC19),AC19-AC18,0)</f>
        <v>0</v>
      </c>
      <c r="AD20" s="68" t="n">
        <f aca="false">IF(ISNUMBER(AD19),AD19-AD18,0)</f>
        <v>0</v>
      </c>
      <c r="AE20" s="68" t="n">
        <f aca="false">IF(ISNUMBER(AE19),AE19-AE18,0)</f>
        <v>0</v>
      </c>
      <c r="AF20" s="68" t="n">
        <f aca="false">IF(ISNUMBER(AF19),AF19-AF18,0)</f>
        <v>0</v>
      </c>
      <c r="AG20" s="68" t="n">
        <f aca="false">IF(ISNUMBER(AG19),AG19-AG18,0)</f>
        <v>0</v>
      </c>
      <c r="AH20" s="68" t="n">
        <f aca="false">IF(ISNUMBER(AH19),AH19-AH18,0)</f>
        <v>0</v>
      </c>
      <c r="AI20" s="68" t="n">
        <f aca="false">IF(ISNUMBER(AI19),AI19-AI18,0)</f>
        <v>0</v>
      </c>
      <c r="AJ20" s="68" t="n">
        <f aca="false">IF(ISNUMBER(AJ19),AJ19-AJ18,0)</f>
        <v>0</v>
      </c>
      <c r="AK20" s="68" t="n">
        <f aca="false">IF(ISNUMBER(AK19),AK19-AK18,0)</f>
        <v>0</v>
      </c>
      <c r="AL20" s="68" t="n">
        <f aca="false">IF(ISNUMBER(AL19),AL19-AL18,0)</f>
        <v>0</v>
      </c>
      <c r="AM20" s="68" t="n">
        <f aca="false">IF(ISNUMBER(AM19),AM19-AM18,0)</f>
        <v>0</v>
      </c>
      <c r="AN20" s="68" t="n">
        <f aca="false">IF(ISNUMBER(AN19),AN19-AN18,0)</f>
        <v>0</v>
      </c>
      <c r="AP20" s="68" t="n">
        <f aca="false">IF(ISNUMBER(AP19),AP19-AP18,0)</f>
        <v>0</v>
      </c>
      <c r="AQ20" s="68" t="n">
        <f aca="false">IF(ISNUMBER(AQ19),AQ19-AQ18,0)</f>
        <v>0</v>
      </c>
      <c r="AR20" s="68" t="n">
        <f aca="false">IF(ISNUMBER(AR19),AR19-AR18,0)</f>
        <v>0</v>
      </c>
      <c r="AS20" s="68" t="n">
        <f aca="false">IF(ISNUMBER(AS19),AS19-AS18,0)</f>
        <v>0</v>
      </c>
      <c r="AT20" s="68" t="n">
        <f aca="false">IF(ISNUMBER(AT19),AT19-AT18,0)</f>
        <v>0</v>
      </c>
      <c r="AU20" s="68" t="n">
        <f aca="false">IF(ISNUMBER(AU19),AU19-AU18,0)</f>
        <v>0</v>
      </c>
      <c r="AV20" s="68" t="n">
        <f aca="false">IF(ISNUMBER(AV19),AV19-AV18,0)</f>
        <v>0</v>
      </c>
      <c r="AW20" s="68" t="n">
        <f aca="false">IF(ISNUMBER(AW19),AW19-AW18,0)</f>
        <v>0</v>
      </c>
      <c r="AX20" s="68" t="n">
        <f aca="false">IF(ISNUMBER(AX19),AX19-AX18,0)</f>
        <v>0</v>
      </c>
      <c r="AY20" s="68" t="n">
        <f aca="false">IF(ISNUMBER(AY19),AY19-AY18,0)</f>
        <v>0</v>
      </c>
      <c r="AZ20" s="68" t="n">
        <f aca="false">IF(ISNUMBER(AZ19),AZ19-AZ18,0)</f>
        <v>0</v>
      </c>
      <c r="BA20" s="68" t="n">
        <f aca="false">IF(ISNUMBER(BA19),BA19-BA18,0)</f>
        <v>0</v>
      </c>
      <c r="BC20" s="68" t="n">
        <f aca="false">IF(ISNUMBER(BC19),BC19-BC18,0)</f>
        <v>0</v>
      </c>
      <c r="BD20" s="68" t="n">
        <f aca="false">IF(ISNUMBER(BD19),BD19-BD18,0)</f>
        <v>0</v>
      </c>
      <c r="BE20" s="68" t="n">
        <f aca="false">IF(ISNUMBER(BE19),BE19-BE18,0)</f>
        <v>0</v>
      </c>
      <c r="BF20" s="68" t="n">
        <f aca="false">IF(ISNUMBER(BF19),BF19-BF18,0)</f>
        <v>0</v>
      </c>
      <c r="BG20" s="68" t="n">
        <f aca="false">IF(ISNUMBER(BG19),BG19-BG18,0)</f>
        <v>0</v>
      </c>
      <c r="BH20" s="68" t="n">
        <f aca="false">IF(ISNUMBER(BH19),BH19-BH18,0)</f>
        <v>0</v>
      </c>
      <c r="BI20" s="68" t="n">
        <f aca="false">IF(ISNUMBER(BI19),BI19-BI18,0)</f>
        <v>0</v>
      </c>
      <c r="BJ20" s="68" t="n">
        <f aca="false">IF(ISNUMBER(BJ19),BJ19-BJ18,0)</f>
        <v>0</v>
      </c>
      <c r="BK20" s="68" t="n">
        <f aca="false">IF(ISNUMBER(BK19),BK19-BK18,0)</f>
        <v>0</v>
      </c>
      <c r="BL20" s="68" t="n">
        <f aca="false">IF(ISNUMBER(BL19),BL19-BL18,0)</f>
        <v>0</v>
      </c>
      <c r="BM20" s="68" t="n">
        <f aca="false">IF(ISNUMBER(BM19),BM19-BM18,0)</f>
        <v>0</v>
      </c>
      <c r="BN20" s="68" t="n">
        <f aca="false">IF(ISNUMBER(BN19),BN19-BN18,0)</f>
        <v>0</v>
      </c>
    </row>
    <row r="22" customFormat="false" ht="15" hidden="false" customHeight="false" outlineLevel="0" collapsed="false">
      <c r="A22" s="4" t="s">
        <v>638</v>
      </c>
      <c r="B22" s="69" t="n">
        <f aca="false">N22</f>
        <v>4207.44828098026</v>
      </c>
      <c r="C22" s="70" t="n">
        <f aca="false">Acquisitions!C96</f>
        <v>396.154576409091</v>
      </c>
      <c r="D22" s="70" t="n">
        <f aca="false">Acquisitions!D96</f>
        <v>814.3538048568</v>
      </c>
      <c r="E22" s="70" t="n">
        <f aca="false">Acquisitions!E96</f>
        <v>1216.49418293212</v>
      </c>
      <c r="F22" s="70" t="n">
        <f aca="false">Acquisitions!F96</f>
        <v>1603.19237048934</v>
      </c>
      <c r="G22" s="70" t="n">
        <f aca="false">Acquisitions!G96</f>
        <v>1975.04134764437</v>
      </c>
      <c r="H22" s="70" t="n">
        <f aca="false">Acquisitions!H96</f>
        <v>2332.61132407664</v>
      </c>
      <c r="I22" s="70" t="n">
        <f aca="false">Acquisitions!I96</f>
        <v>2676.45061341392</v>
      </c>
      <c r="J22" s="70" t="n">
        <f aca="false">Acquisitions!J96</f>
        <v>3007.08647404064</v>
      </c>
      <c r="K22" s="70" t="n">
        <f aca="false">Acquisitions!K96</f>
        <v>3325.0259176193</v>
      </c>
      <c r="L22" s="70" t="n">
        <f aca="false">Acquisitions!L96</f>
        <v>3630.75648656454</v>
      </c>
      <c r="M22" s="70" t="n">
        <f aca="false">Acquisitions!M96</f>
        <v>3924.74700166228</v>
      </c>
      <c r="N22" s="70" t="n">
        <f aca="false">Acquisitions!N96</f>
        <v>4207.44828098026</v>
      </c>
      <c r="O22" s="69" t="n">
        <f aca="false">AA22</f>
        <v>12270.0003479118</v>
      </c>
      <c r="P22" s="70" t="n">
        <f aca="false">Acquisitions!P96</f>
        <v>4964.55712710806</v>
      </c>
      <c r="Q22" s="70" t="n">
        <f aca="false">Acquisitions!Q96</f>
        <v>5749.38260214176</v>
      </c>
      <c r="R22" s="70" t="n">
        <f aca="false">Acquisitions!R96</f>
        <v>6507.52401102431</v>
      </c>
      <c r="S22" s="70" t="n">
        <f aca="false">Acquisitions!S96</f>
        <v>7239.88861200486</v>
      </c>
      <c r="T22" s="70" t="n">
        <f aca="false">Acquisitions!T96</f>
        <v>7947.35281655207</v>
      </c>
      <c r="U22" s="70" t="n">
        <f aca="false">Acquisitions!U96</f>
        <v>8630.76323814467</v>
      </c>
      <c r="V22" s="70" t="n">
        <f aca="false">Acquisitions!V96</f>
        <v>9290.93770540312</v>
      </c>
      <c r="W22" s="70" t="n">
        <f aca="false">Acquisitions!W96</f>
        <v>9928.66624077479</v>
      </c>
      <c r="X22" s="70" t="n">
        <f aca="false">Acquisitions!X96</f>
        <v>10544.7120059438</v>
      </c>
      <c r="Y22" s="70" t="n">
        <f aca="false">Acquisitions!Y96</f>
        <v>11139.8122150971</v>
      </c>
      <c r="Z22" s="70" t="n">
        <f aca="false">Acquisitions!Z96</f>
        <v>11714.6790171392</v>
      </c>
      <c r="AA22" s="70" t="n">
        <f aca="false">Acquisitions!AA96</f>
        <v>12270.0003479118</v>
      </c>
      <c r="AB22" s="69" t="n">
        <f aca="false">AN22</f>
        <v>24195.605955022</v>
      </c>
      <c r="AC22" s="70" t="n">
        <f aca="false">Acquisitions!AC96</f>
        <v>13381.9890731312</v>
      </c>
      <c r="AD22" s="70" t="n">
        <f aca="false">Acquisitions!AD96</f>
        <v>14530.3220146887</v>
      </c>
      <c r="AE22" s="70" t="n">
        <f aca="false">Acquisitions!AE96</f>
        <v>15642.367635293</v>
      </c>
      <c r="AF22" s="70" t="n">
        <f aca="false">Acquisitions!AF96</f>
        <v>16719.2726142862</v>
      </c>
      <c r="AG22" s="70" t="n">
        <f aca="false">Acquisitions!AG96</f>
        <v>17762.1473959432</v>
      </c>
      <c r="AH22" s="70" t="n">
        <f aca="false">Acquisitions!AH96</f>
        <v>18772.0673344999</v>
      </c>
      <c r="AI22" s="70" t="n">
        <f aca="false">Acquisitions!AI96</f>
        <v>19750.0738029982</v>
      </c>
      <c r="AJ22" s="70" t="n">
        <f aca="false">Acquisitions!AJ96</f>
        <v>20697.1752670919</v>
      </c>
      <c r="AK22" s="70" t="n">
        <f aca="false">Acquisitions!AK96</f>
        <v>21614.3483249203</v>
      </c>
      <c r="AL22" s="70" t="n">
        <f aca="false">Acquisitions!AL96</f>
        <v>22502.5387141213</v>
      </c>
      <c r="AM22" s="70" t="n">
        <f aca="false">Acquisitions!AM96</f>
        <v>23362.6622870235</v>
      </c>
      <c r="AN22" s="70" t="n">
        <f aca="false">Acquisitions!AN96</f>
        <v>24195.605955022</v>
      </c>
      <c r="AO22" s="69" t="n">
        <f aca="false">BA22</f>
        <v>37855.2971356931</v>
      </c>
      <c r="AP22" s="70" t="n">
        <f aca="false">Acquisitions!AP96</f>
        <v>25467.5751319585</v>
      </c>
      <c r="AQ22" s="70" t="n">
        <f aca="false">Acquisitions!AQ96</f>
        <v>26774.190713637</v>
      </c>
      <c r="AR22" s="70" t="n">
        <f aca="false">Acquisitions!AR96</f>
        <v>28041.3465047488</v>
      </c>
      <c r="AS22" s="70" t="n">
        <f aca="false">Acquisitions!AS96</f>
        <v>29270.2341909691</v>
      </c>
      <c r="AT22" s="70" t="n">
        <f aca="false">Acquisitions!AT96</f>
        <v>30462.0094690655</v>
      </c>
      <c r="AU22" s="70" t="n">
        <f aca="false">Acquisitions!AU96</f>
        <v>31617.7931337633</v>
      </c>
      <c r="AV22" s="70" t="n">
        <f aca="false">Acquisitions!AV96</f>
        <v>32738.6721317874</v>
      </c>
      <c r="AW22" s="70" t="n">
        <f aca="false">Acquisitions!AW96</f>
        <v>33825.700584071</v>
      </c>
      <c r="AX22" s="70" t="n">
        <f aca="false">Acquisitions!AX96</f>
        <v>34879.9007770958</v>
      </c>
      <c r="AY22" s="70" t="n">
        <f aca="false">Acquisitions!AY96</f>
        <v>35902.2641242911</v>
      </c>
      <c r="AZ22" s="70" t="n">
        <f aca="false">Acquisitions!AZ96</f>
        <v>36893.7520984012</v>
      </c>
      <c r="BA22" s="70" t="n">
        <f aca="false">Acquisitions!BA96</f>
        <v>37855.2971356931</v>
      </c>
      <c r="BB22" s="69" t="n">
        <f aca="false">BN22</f>
        <v>52258.0359207724</v>
      </c>
      <c r="BC22" s="70" t="n">
        <f aca="false">Acquisitions!BC96</f>
        <v>39220.9955268536</v>
      </c>
      <c r="BD22" s="70" t="n">
        <f aca="false">Acquisitions!BD96</f>
        <v>40589.4556713725</v>
      </c>
      <c r="BE22" s="70" t="n">
        <f aca="false">Acquisitions!BE96</f>
        <v>41917.9567796715</v>
      </c>
      <c r="BF22" s="70" t="n">
        <f aca="false">Acquisitions!BF96</f>
        <v>43207.6656556081</v>
      </c>
      <c r="BG22" s="70" t="n">
        <f aca="false">Acquisitions!BG96</f>
        <v>44459.7150323674</v>
      </c>
      <c r="BH22" s="70" t="n">
        <f aca="false">Acquisitions!BH96</f>
        <v>45675.2045673253</v>
      </c>
      <c r="BI22" s="70" t="n">
        <f aca="false">Acquisitions!BI96</f>
        <v>46855.2018078625</v>
      </c>
      <c r="BJ22" s="70" t="n">
        <f aca="false">Acquisitions!BJ96</f>
        <v>48000.743128976</v>
      </c>
      <c r="BK22" s="70" t="n">
        <f aca="false">Acquisitions!BK96</f>
        <v>49112.8346435129</v>
      </c>
      <c r="BL22" s="70" t="n">
        <f aca="false">Acquisitions!BL96</f>
        <v>50192.4530858254</v>
      </c>
      <c r="BM22" s="70" t="n">
        <f aca="false">Acquisitions!BM96</f>
        <v>51240.5466696223</v>
      </c>
      <c r="BN22" s="70" t="n">
        <f aca="false">Acquisitions!BN96</f>
        <v>52258.0359207724</v>
      </c>
    </row>
    <row r="23" customFormat="false" ht="15" hidden="false" customHeight="false" outlineLevel="0" collapsed="false">
      <c r="A23" s="4" t="s">
        <v>639</v>
      </c>
      <c r="B23" s="69" t="n">
        <f aca="false">N23</f>
        <v>0</v>
      </c>
      <c r="C23" s="71"/>
      <c r="D23" s="71"/>
      <c r="E23" s="71"/>
      <c r="F23" s="71"/>
      <c r="G23" s="71"/>
      <c r="H23" s="71"/>
      <c r="I23" s="71"/>
      <c r="J23" s="71"/>
      <c r="K23" s="71"/>
      <c r="L23" s="71"/>
      <c r="M23" s="71"/>
      <c r="N23" s="71"/>
      <c r="O23" s="69" t="n">
        <f aca="false">AA23</f>
        <v>0</v>
      </c>
      <c r="P23" s="71"/>
      <c r="Q23" s="71"/>
      <c r="R23" s="71"/>
      <c r="S23" s="71"/>
      <c r="T23" s="71"/>
      <c r="U23" s="71"/>
      <c r="V23" s="71"/>
      <c r="W23" s="71"/>
      <c r="X23" s="71"/>
      <c r="Y23" s="71"/>
      <c r="Z23" s="71"/>
      <c r="AA23" s="71"/>
      <c r="AB23" s="69" t="n">
        <f aca="false">AN23</f>
        <v>0</v>
      </c>
      <c r="AC23" s="71"/>
      <c r="AD23" s="71"/>
      <c r="AE23" s="71"/>
      <c r="AF23" s="71"/>
      <c r="AG23" s="71"/>
      <c r="AH23" s="71"/>
      <c r="AI23" s="71"/>
      <c r="AJ23" s="71"/>
      <c r="AK23" s="71"/>
      <c r="AL23" s="71"/>
      <c r="AM23" s="71"/>
      <c r="AN23" s="71"/>
      <c r="AO23" s="69" t="n">
        <f aca="false">BA23</f>
        <v>0</v>
      </c>
      <c r="AP23" s="71"/>
      <c r="AQ23" s="71"/>
      <c r="AR23" s="71"/>
      <c r="AS23" s="71"/>
      <c r="AT23" s="71"/>
      <c r="AU23" s="71"/>
      <c r="AV23" s="71"/>
      <c r="AW23" s="71"/>
      <c r="AX23" s="71"/>
      <c r="AY23" s="71"/>
      <c r="AZ23" s="71"/>
      <c r="BA23" s="71"/>
      <c r="BB23" s="69" t="n">
        <f aca="false">BN23</f>
        <v>0</v>
      </c>
      <c r="BC23" s="71"/>
      <c r="BD23" s="71"/>
      <c r="BE23" s="71"/>
      <c r="BF23" s="71"/>
      <c r="BG23" s="71"/>
      <c r="BH23" s="71"/>
      <c r="BI23" s="71"/>
      <c r="BJ23" s="71"/>
      <c r="BK23" s="71"/>
      <c r="BL23" s="71"/>
      <c r="BM23" s="71"/>
      <c r="BN23" s="71"/>
    </row>
    <row r="24" customFormat="false" ht="15" hidden="false" customHeight="false" outlineLevel="0" collapsed="false">
      <c r="A24" s="4" t="s">
        <v>635</v>
      </c>
      <c r="C24" s="72" t="n">
        <f aca="false">IF(ISNUMBER(C23),C23-C22,0)</f>
        <v>0</v>
      </c>
      <c r="D24" s="72" t="n">
        <f aca="false">IF(ISNUMBER(D23),D23-D22,0)</f>
        <v>0</v>
      </c>
      <c r="E24" s="72" t="n">
        <f aca="false">IF(ISNUMBER(E23),E23-E22,0)</f>
        <v>0</v>
      </c>
      <c r="F24" s="72" t="n">
        <f aca="false">IF(ISNUMBER(F23),F23-F22,0)</f>
        <v>0</v>
      </c>
      <c r="G24" s="72" t="n">
        <f aca="false">IF(ISNUMBER(G23),G23-G22,0)</f>
        <v>0</v>
      </c>
      <c r="H24" s="72" t="n">
        <f aca="false">IF(ISNUMBER(H23),H23-H22,0)</f>
        <v>0</v>
      </c>
      <c r="I24" s="72" t="n">
        <f aca="false">IF(ISNUMBER(I23),I23-I22,0)</f>
        <v>0</v>
      </c>
      <c r="J24" s="72" t="n">
        <f aca="false">IF(ISNUMBER(J23),J23-J22,0)</f>
        <v>0</v>
      </c>
      <c r="K24" s="72" t="n">
        <f aca="false">IF(ISNUMBER(K23),K23-K22,0)</f>
        <v>0</v>
      </c>
      <c r="L24" s="72" t="n">
        <f aca="false">IF(ISNUMBER(L23),L23-L22,0)</f>
        <v>0</v>
      </c>
      <c r="M24" s="72" t="n">
        <f aca="false">IF(ISNUMBER(M23),M23-M22,0)</f>
        <v>0</v>
      </c>
      <c r="N24" s="72" t="n">
        <f aca="false">IF(ISNUMBER(N23),N23-N22,0)</f>
        <v>0</v>
      </c>
      <c r="P24" s="72" t="n">
        <f aca="false">IF(ISNUMBER(P23),P23-P22,0)</f>
        <v>0</v>
      </c>
      <c r="Q24" s="72" t="n">
        <f aca="false">IF(ISNUMBER(Q23),Q23-Q22,0)</f>
        <v>0</v>
      </c>
      <c r="R24" s="72" t="n">
        <f aca="false">IF(ISNUMBER(R23),R23-R22,0)</f>
        <v>0</v>
      </c>
      <c r="S24" s="72" t="n">
        <f aca="false">IF(ISNUMBER(S23),S23-S22,0)</f>
        <v>0</v>
      </c>
      <c r="T24" s="72" t="n">
        <f aca="false">IF(ISNUMBER(T23),T23-T22,0)</f>
        <v>0</v>
      </c>
      <c r="U24" s="72" t="n">
        <f aca="false">IF(ISNUMBER(U23),U23-U22,0)</f>
        <v>0</v>
      </c>
      <c r="V24" s="72" t="n">
        <f aca="false">IF(ISNUMBER(V23),V23-V22,0)</f>
        <v>0</v>
      </c>
      <c r="W24" s="72" t="n">
        <f aca="false">IF(ISNUMBER(W23),W23-W22,0)</f>
        <v>0</v>
      </c>
      <c r="X24" s="72" t="n">
        <f aca="false">IF(ISNUMBER(X23),X23-X22,0)</f>
        <v>0</v>
      </c>
      <c r="Y24" s="72" t="n">
        <f aca="false">IF(ISNUMBER(Y23),Y23-Y22,0)</f>
        <v>0</v>
      </c>
      <c r="Z24" s="72" t="n">
        <f aca="false">IF(ISNUMBER(Z23),Z23-Z22,0)</f>
        <v>0</v>
      </c>
      <c r="AA24" s="72" t="n">
        <f aca="false">IF(ISNUMBER(AA23),AA23-AA22,0)</f>
        <v>0</v>
      </c>
      <c r="AC24" s="72" t="n">
        <f aca="false">IF(ISNUMBER(AC23),AC23-AC22,0)</f>
        <v>0</v>
      </c>
      <c r="AD24" s="72" t="n">
        <f aca="false">IF(ISNUMBER(AD23),AD23-AD22,0)</f>
        <v>0</v>
      </c>
      <c r="AE24" s="72" t="n">
        <f aca="false">IF(ISNUMBER(AE23),AE23-AE22,0)</f>
        <v>0</v>
      </c>
      <c r="AF24" s="72" t="n">
        <f aca="false">IF(ISNUMBER(AF23),AF23-AF22,0)</f>
        <v>0</v>
      </c>
      <c r="AG24" s="72" t="n">
        <f aca="false">IF(ISNUMBER(AG23),AG23-AG22,0)</f>
        <v>0</v>
      </c>
      <c r="AH24" s="72" t="n">
        <f aca="false">IF(ISNUMBER(AH23),AH23-AH22,0)</f>
        <v>0</v>
      </c>
      <c r="AI24" s="72" t="n">
        <f aca="false">IF(ISNUMBER(AI23),AI23-AI22,0)</f>
        <v>0</v>
      </c>
      <c r="AJ24" s="72" t="n">
        <f aca="false">IF(ISNUMBER(AJ23),AJ23-AJ22,0)</f>
        <v>0</v>
      </c>
      <c r="AK24" s="72" t="n">
        <f aca="false">IF(ISNUMBER(AK23),AK23-AK22,0)</f>
        <v>0</v>
      </c>
      <c r="AL24" s="72" t="n">
        <f aca="false">IF(ISNUMBER(AL23),AL23-AL22,0)</f>
        <v>0</v>
      </c>
      <c r="AM24" s="72" t="n">
        <f aca="false">IF(ISNUMBER(AM23),AM23-AM22,0)</f>
        <v>0</v>
      </c>
      <c r="AN24" s="72" t="n">
        <f aca="false">IF(ISNUMBER(AN23),AN23-AN22,0)</f>
        <v>0</v>
      </c>
      <c r="AP24" s="72" t="n">
        <f aca="false">IF(ISNUMBER(AP23),AP23-AP22,0)</f>
        <v>0</v>
      </c>
      <c r="AQ24" s="72" t="n">
        <f aca="false">IF(ISNUMBER(AQ23),AQ23-AQ22,0)</f>
        <v>0</v>
      </c>
      <c r="AR24" s="72" t="n">
        <f aca="false">IF(ISNUMBER(AR23),AR23-AR22,0)</f>
        <v>0</v>
      </c>
      <c r="AS24" s="72" t="n">
        <f aca="false">IF(ISNUMBER(AS23),AS23-AS22,0)</f>
        <v>0</v>
      </c>
      <c r="AT24" s="72" t="n">
        <f aca="false">IF(ISNUMBER(AT23),AT23-AT22,0)</f>
        <v>0</v>
      </c>
      <c r="AU24" s="72" t="n">
        <f aca="false">IF(ISNUMBER(AU23),AU23-AU22,0)</f>
        <v>0</v>
      </c>
      <c r="AV24" s="72" t="n">
        <f aca="false">IF(ISNUMBER(AV23),AV23-AV22,0)</f>
        <v>0</v>
      </c>
      <c r="AW24" s="72" t="n">
        <f aca="false">IF(ISNUMBER(AW23),AW23-AW22,0)</f>
        <v>0</v>
      </c>
      <c r="AX24" s="72" t="n">
        <f aca="false">IF(ISNUMBER(AX23),AX23-AX22,0)</f>
        <v>0</v>
      </c>
      <c r="AY24" s="72" t="n">
        <f aca="false">IF(ISNUMBER(AY23),AY23-AY22,0)</f>
        <v>0</v>
      </c>
      <c r="AZ24" s="72" t="n">
        <f aca="false">IF(ISNUMBER(AZ23),AZ23-AZ22,0)</f>
        <v>0</v>
      </c>
      <c r="BA24" s="72" t="n">
        <f aca="false">IF(ISNUMBER(BA23),BA23-BA22,0)</f>
        <v>0</v>
      </c>
      <c r="BC24" s="72" t="n">
        <f aca="false">IF(ISNUMBER(BC23),BC23-BC22,0)</f>
        <v>0</v>
      </c>
      <c r="BD24" s="72" t="n">
        <f aca="false">IF(ISNUMBER(BD23),BD23-BD22,0)</f>
        <v>0</v>
      </c>
      <c r="BE24" s="72" t="n">
        <f aca="false">IF(ISNUMBER(BE23),BE23-BE22,0)</f>
        <v>0</v>
      </c>
      <c r="BF24" s="72" t="n">
        <f aca="false">IF(ISNUMBER(BF23),BF23-BF22,0)</f>
        <v>0</v>
      </c>
      <c r="BG24" s="72" t="n">
        <f aca="false">IF(ISNUMBER(BG23),BG23-BG22,0)</f>
        <v>0</v>
      </c>
      <c r="BH24" s="72" t="n">
        <f aca="false">IF(ISNUMBER(BH23),BH23-BH22,0)</f>
        <v>0</v>
      </c>
      <c r="BI24" s="72" t="n">
        <f aca="false">IF(ISNUMBER(BI23),BI23-BI22,0)</f>
        <v>0</v>
      </c>
      <c r="BJ24" s="72" t="n">
        <f aca="false">IF(ISNUMBER(BJ23),BJ23-BJ22,0)</f>
        <v>0</v>
      </c>
      <c r="BK24" s="72" t="n">
        <f aca="false">IF(ISNUMBER(BK23),BK23-BK22,0)</f>
        <v>0</v>
      </c>
      <c r="BL24" s="72" t="n">
        <f aca="false">IF(ISNUMBER(BL23),BL23-BL22,0)</f>
        <v>0</v>
      </c>
      <c r="BM24" s="72" t="n">
        <f aca="false">IF(ISNUMBER(BM23),BM23-BM22,0)</f>
        <v>0</v>
      </c>
      <c r="BN24" s="72" t="n">
        <f aca="false">IF(ISNUMBER(BN23),BN23-BN22,0)</f>
        <v>0</v>
      </c>
    </row>
    <row r="26" customFormat="false" ht="15" hidden="false" customHeight="false" outlineLevel="0" collapsed="false">
      <c r="A26" s="4" t="s">
        <v>640</v>
      </c>
      <c r="B26" s="59" t="n">
        <f aca="false">N26</f>
        <v>185235.302287375</v>
      </c>
      <c r="C26" s="63" t="n">
        <f aca="false">'Cash Flow Statement'!C34</f>
        <v>542291.82038835</v>
      </c>
      <c r="D26" s="63" t="n">
        <f aca="false">'Cash Flow Statement'!D34</f>
        <v>498317.680179269</v>
      </c>
      <c r="E26" s="63" t="n">
        <f aca="false">'Cash Flow Statement'!E34</f>
        <v>461394.868058835</v>
      </c>
      <c r="F26" s="63" t="n">
        <f aca="false">'Cash Flow Statement'!F34</f>
        <v>427091.898335236</v>
      </c>
      <c r="G26" s="63" t="n">
        <f aca="false">'Cash Flow Statement'!G34</f>
        <v>393706.645658798</v>
      </c>
      <c r="H26" s="63" t="n">
        <f aca="false">'Cash Flow Statement'!H34</f>
        <v>361235.096913506</v>
      </c>
      <c r="I26" s="63" t="n">
        <f aca="false">'Cash Flow Statement'!I34</f>
        <v>329672.094836836</v>
      </c>
      <c r="J26" s="63" t="n">
        <f aca="false">'Cash Flow Statement'!J34</f>
        <v>299011.418421435</v>
      </c>
      <c r="K26" s="63" t="n">
        <f aca="false">'Cash Flow Statement'!K34</f>
        <v>269245.874747794</v>
      </c>
      <c r="L26" s="63" t="n">
        <f aca="false">'Cash Flow Statement'!L34</f>
        <v>240367.385063705</v>
      </c>
      <c r="M26" s="63" t="n">
        <f aca="false">'Cash Flow Statement'!M34</f>
        <v>212367.065436644</v>
      </c>
      <c r="N26" s="63" t="n">
        <f aca="false">'Cash Flow Statement'!N34</f>
        <v>185235.302287375</v>
      </c>
      <c r="O26" s="59" t="n">
        <f aca="false">AA26</f>
        <v>237273.564765139</v>
      </c>
      <c r="P26" s="63" t="n">
        <f aca="false">'Cash Flow Statement'!P34</f>
        <v>593556.285085088</v>
      </c>
      <c r="Q26" s="63" t="n">
        <f aca="false">'Cash Flow Statement'!Q34</f>
        <v>545118.384473408</v>
      </c>
      <c r="R26" s="63" t="n">
        <f aca="false">'Cash Flow Statement'!R34</f>
        <v>503815.955181262</v>
      </c>
      <c r="S26" s="63" t="n">
        <f aca="false">'Cash Flow Statement'!S34</f>
        <v>462984.114677419</v>
      </c>
      <c r="T26" s="63" t="n">
        <f aca="false">'Cash Flow Statement'!T34</f>
        <v>425859.205453376</v>
      </c>
      <c r="U26" s="63" t="n">
        <f aca="false">'Cash Flow Statement'!U34</f>
        <v>391504.078715113</v>
      </c>
      <c r="V26" s="63" t="n">
        <f aca="false">'Cash Flow Statement'!V34</f>
        <v>358875.990951447</v>
      </c>
      <c r="W26" s="63" t="n">
        <f aca="false">'Cash Flow Statement'!W34</f>
        <v>329348.532605057</v>
      </c>
      <c r="X26" s="63" t="n">
        <f aca="false">'Cash Flow Statement'!X34</f>
        <v>302052.232029125</v>
      </c>
      <c r="Y26" s="63" t="n">
        <f aca="false">'Cash Flow Statement'!Y34</f>
        <v>277597.901214976</v>
      </c>
      <c r="Z26" s="63" t="n">
        <f aca="false">'Cash Flow Statement'!Z34</f>
        <v>256117.481906898</v>
      </c>
      <c r="AA26" s="63" t="n">
        <f aca="false">'Cash Flow Statement'!AA34</f>
        <v>237273.564765139</v>
      </c>
      <c r="AB26" s="59" t="n">
        <f aca="false">AN26</f>
        <v>188317.945408139</v>
      </c>
      <c r="AC26" s="63" t="n">
        <f aca="false">'Cash Flow Statement'!AC34</f>
        <v>217962.924829958</v>
      </c>
      <c r="AD26" s="63" t="n">
        <f aca="false">'Cash Flow Statement'!AD34</f>
        <v>182922.491705552</v>
      </c>
      <c r="AE26" s="63" t="n">
        <f aca="false">'Cash Flow Statement'!AE34</f>
        <v>159853.617671179</v>
      </c>
      <c r="AF26" s="63" t="n">
        <f aca="false">'Cash Flow Statement'!AF34</f>
        <v>141715.742388922</v>
      </c>
      <c r="AG26" s="63" t="n">
        <f aca="false">'Cash Flow Statement'!AG34</f>
        <v>128476.897368329</v>
      </c>
      <c r="AH26" s="63" t="n">
        <f aca="false">'Cash Flow Statement'!AH34</f>
        <v>121484.11376539</v>
      </c>
      <c r="AI26" s="63" t="n">
        <f aca="false">'Cash Flow Statement'!AI34</f>
        <v>118602.474189267</v>
      </c>
      <c r="AJ26" s="63" t="n">
        <f aca="false">'Cash Flow Statement'!AJ34</f>
        <v>121749.356822797</v>
      </c>
      <c r="AK26" s="63" t="n">
        <f aca="false">'Cash Flow Statement'!AK34</f>
        <v>130229.623785773</v>
      </c>
      <c r="AL26" s="63" t="n">
        <f aca="false">'Cash Flow Statement'!AL34</f>
        <v>143439.91331063</v>
      </c>
      <c r="AM26" s="63" t="n">
        <f aca="false">'Cash Flow Statement'!AM34</f>
        <v>162837.593843197</v>
      </c>
      <c r="AN26" s="63" t="n">
        <f aca="false">'Cash Flow Statement'!AN34</f>
        <v>188317.945408139</v>
      </c>
      <c r="AO26" s="59" t="n">
        <f aca="false">BA26</f>
        <v>1031867.55982344</v>
      </c>
      <c r="AP26" s="63" t="n">
        <f aca="false">'Cash Flow Statement'!AP34</f>
        <v>244212.666549383</v>
      </c>
      <c r="AQ26" s="63" t="n">
        <f aca="false">'Cash Flow Statement'!AQ34</f>
        <v>266467.642727458</v>
      </c>
      <c r="AR26" s="63" t="n">
        <f aca="false">'Cash Flow Statement'!AR34</f>
        <v>303517.28899961</v>
      </c>
      <c r="AS26" s="63" t="n">
        <f aca="false">'Cash Flow Statement'!AS34</f>
        <v>349577.46310282</v>
      </c>
      <c r="AT26" s="63" t="n">
        <f aca="false">'Cash Flow Statement'!AT34</f>
        <v>404613.422579252</v>
      </c>
      <c r="AU26" s="63" t="n">
        <f aca="false">'Cash Flow Statement'!AU34</f>
        <v>468526.47006046</v>
      </c>
      <c r="AV26" s="63" t="n">
        <f aca="false">'Cash Flow Statement'!AV34</f>
        <v>540341.751976789</v>
      </c>
      <c r="AW26" s="63" t="n">
        <f aca="false">'Cash Flow Statement'!AW34</f>
        <v>620865.814187408</v>
      </c>
      <c r="AX26" s="63" t="n">
        <f aca="false">'Cash Flow Statement'!AX34</f>
        <v>710456.950293873</v>
      </c>
      <c r="AY26" s="63" t="n">
        <f aca="false">'Cash Flow Statement'!AY34</f>
        <v>808663.173340651</v>
      </c>
      <c r="AZ26" s="63" t="n">
        <f aca="false">'Cash Flow Statement'!AZ34</f>
        <v>915449.189687948</v>
      </c>
      <c r="BA26" s="63" t="n">
        <f aca="false">'Cash Flow Statement'!BA34</f>
        <v>1031867.55982344</v>
      </c>
      <c r="BB26" s="59" t="n">
        <f aca="false">BN26</f>
        <v>3195853.68084787</v>
      </c>
      <c r="BC26" s="63" t="n">
        <f aca="false">'Cash Flow Statement'!BC34</f>
        <v>1209506.96489247</v>
      </c>
      <c r="BD26" s="63" t="n">
        <f aca="false">'Cash Flow Statement'!BD34</f>
        <v>1330089.88624757</v>
      </c>
      <c r="BE26" s="63" t="n">
        <f aca="false">'Cash Flow Statement'!BE34</f>
        <v>1466980.76945203</v>
      </c>
      <c r="BF26" s="63" t="n">
        <f aca="false">'Cash Flow Statement'!BF34</f>
        <v>1616787.05670163</v>
      </c>
      <c r="BG26" s="63" t="n">
        <f aca="false">'Cash Flow Statement'!BG34</f>
        <v>1777642.55528118</v>
      </c>
      <c r="BH26" s="63" t="n">
        <f aca="false">'Cash Flow Statement'!BH34</f>
        <v>1948267.73014801</v>
      </c>
      <c r="BI26" s="63" t="n">
        <f aca="false">'Cash Flow Statement'!BI34</f>
        <v>2128344.32868904</v>
      </c>
      <c r="BJ26" s="63" t="n">
        <f aca="false">'Cash Flow Statement'!BJ34</f>
        <v>2320844.53159411</v>
      </c>
      <c r="BK26" s="63" t="n">
        <f aca="false">'Cash Flow Statement'!BK34</f>
        <v>2524390.20884418</v>
      </c>
      <c r="BL26" s="63" t="n">
        <f aca="false">'Cash Flow Statement'!BL34</f>
        <v>2737408.10593138</v>
      </c>
      <c r="BM26" s="63" t="n">
        <f aca="false">'Cash Flow Statement'!BM34</f>
        <v>2960553.42301517</v>
      </c>
      <c r="BN26" s="63" t="n">
        <f aca="false">'Cash Flow Statement'!BN34</f>
        <v>3195853.68084787</v>
      </c>
    </row>
    <row r="27" customFormat="false" ht="15" hidden="false" customHeight="false" outlineLevel="0" collapsed="false">
      <c r="A27" s="4" t="s">
        <v>641</v>
      </c>
      <c r="B27" s="59" t="n">
        <f aca="false">N27</f>
        <v>0</v>
      </c>
      <c r="C27" s="64"/>
      <c r="D27" s="64"/>
      <c r="E27" s="64"/>
      <c r="F27" s="64"/>
      <c r="G27" s="64"/>
      <c r="H27" s="64"/>
      <c r="I27" s="64"/>
      <c r="J27" s="64"/>
      <c r="K27" s="64"/>
      <c r="L27" s="64"/>
      <c r="M27" s="64"/>
      <c r="N27" s="64"/>
      <c r="O27" s="59" t="n">
        <f aca="false">AA27</f>
        <v>0</v>
      </c>
      <c r="P27" s="64"/>
      <c r="Q27" s="64"/>
      <c r="R27" s="64"/>
      <c r="S27" s="64"/>
      <c r="T27" s="64"/>
      <c r="U27" s="64"/>
      <c r="V27" s="64"/>
      <c r="W27" s="64"/>
      <c r="X27" s="64"/>
      <c r="Y27" s="64"/>
      <c r="Z27" s="64"/>
      <c r="AA27" s="64"/>
      <c r="AB27" s="59" t="n">
        <f aca="false">AN27</f>
        <v>0</v>
      </c>
      <c r="AC27" s="64"/>
      <c r="AD27" s="64"/>
      <c r="AE27" s="64"/>
      <c r="AF27" s="64"/>
      <c r="AG27" s="64"/>
      <c r="AH27" s="64"/>
      <c r="AI27" s="64"/>
      <c r="AJ27" s="64"/>
      <c r="AK27" s="64"/>
      <c r="AL27" s="64"/>
      <c r="AM27" s="64"/>
      <c r="AN27" s="64"/>
      <c r="AO27" s="59" t="n">
        <f aca="false">BA27</f>
        <v>0</v>
      </c>
      <c r="AP27" s="64"/>
      <c r="AQ27" s="64"/>
      <c r="AR27" s="64"/>
      <c r="AS27" s="64"/>
      <c r="AT27" s="64"/>
      <c r="AU27" s="64"/>
      <c r="AV27" s="64"/>
      <c r="AW27" s="64"/>
      <c r="AX27" s="64"/>
      <c r="AY27" s="64"/>
      <c r="AZ27" s="64"/>
      <c r="BA27" s="64"/>
      <c r="BB27" s="59" t="n">
        <f aca="false">BN27</f>
        <v>0</v>
      </c>
      <c r="BC27" s="64"/>
      <c r="BD27" s="64"/>
      <c r="BE27" s="64"/>
      <c r="BF27" s="64"/>
      <c r="BG27" s="64"/>
      <c r="BH27" s="64"/>
      <c r="BI27" s="64"/>
      <c r="BJ27" s="64"/>
      <c r="BK27" s="64"/>
      <c r="BL27" s="64"/>
      <c r="BM27" s="64"/>
      <c r="BN27" s="64"/>
    </row>
    <row r="28" customFormat="false" ht="15" hidden="false" customHeight="false" outlineLevel="0" collapsed="false">
      <c r="A28" s="4" t="s">
        <v>635</v>
      </c>
      <c r="C28" s="60" t="n">
        <f aca="false">IF(ISNUMBER(C27),C27-C26,0)</f>
        <v>0</v>
      </c>
      <c r="D28" s="60" t="n">
        <f aca="false">IF(ISNUMBER(D27),D27-D26,0)</f>
        <v>0</v>
      </c>
      <c r="E28" s="60" t="n">
        <f aca="false">IF(ISNUMBER(E27),E27-E26,0)</f>
        <v>0</v>
      </c>
      <c r="F28" s="60" t="n">
        <f aca="false">IF(ISNUMBER(F27),F27-F26,0)</f>
        <v>0</v>
      </c>
      <c r="G28" s="60" t="n">
        <f aca="false">IF(ISNUMBER(G27),G27-G26,0)</f>
        <v>0</v>
      </c>
      <c r="H28" s="60" t="n">
        <f aca="false">IF(ISNUMBER(H27),H27-H26,0)</f>
        <v>0</v>
      </c>
      <c r="I28" s="60" t="n">
        <f aca="false">IF(ISNUMBER(I27),I27-I26,0)</f>
        <v>0</v>
      </c>
      <c r="J28" s="60" t="n">
        <f aca="false">IF(ISNUMBER(J27),J27-J26,0)</f>
        <v>0</v>
      </c>
      <c r="K28" s="60" t="n">
        <f aca="false">IF(ISNUMBER(K27),K27-K26,0)</f>
        <v>0</v>
      </c>
      <c r="L28" s="60" t="n">
        <f aca="false">IF(ISNUMBER(L27),L27-L26,0)</f>
        <v>0</v>
      </c>
      <c r="M28" s="60" t="n">
        <f aca="false">IF(ISNUMBER(M27),M27-M26,0)</f>
        <v>0</v>
      </c>
      <c r="N28" s="60" t="n">
        <f aca="false">IF(ISNUMBER(N27),N27-N26,0)</f>
        <v>0</v>
      </c>
      <c r="P28" s="60" t="n">
        <f aca="false">IF(ISNUMBER(P27),P27-P26,0)</f>
        <v>0</v>
      </c>
      <c r="Q28" s="60" t="n">
        <f aca="false">IF(ISNUMBER(Q27),Q27-Q26,0)</f>
        <v>0</v>
      </c>
      <c r="R28" s="60" t="n">
        <f aca="false">IF(ISNUMBER(R27),R27-R26,0)</f>
        <v>0</v>
      </c>
      <c r="S28" s="60" t="n">
        <f aca="false">IF(ISNUMBER(S27),S27-S26,0)</f>
        <v>0</v>
      </c>
      <c r="T28" s="60" t="n">
        <f aca="false">IF(ISNUMBER(T27),T27-T26,0)</f>
        <v>0</v>
      </c>
      <c r="U28" s="60" t="n">
        <f aca="false">IF(ISNUMBER(U27),U27-U26,0)</f>
        <v>0</v>
      </c>
      <c r="V28" s="60" t="n">
        <f aca="false">IF(ISNUMBER(V27),V27-V26,0)</f>
        <v>0</v>
      </c>
      <c r="W28" s="60" t="n">
        <f aca="false">IF(ISNUMBER(W27),W27-W26,0)</f>
        <v>0</v>
      </c>
      <c r="X28" s="60" t="n">
        <f aca="false">IF(ISNUMBER(X27),X27-X26,0)</f>
        <v>0</v>
      </c>
      <c r="Y28" s="60" t="n">
        <f aca="false">IF(ISNUMBER(Y27),Y27-Y26,0)</f>
        <v>0</v>
      </c>
      <c r="Z28" s="60" t="n">
        <f aca="false">IF(ISNUMBER(Z27),Z27-Z26,0)</f>
        <v>0</v>
      </c>
      <c r="AA28" s="60" t="n">
        <f aca="false">IF(ISNUMBER(AA27),AA27-AA26,0)</f>
        <v>0</v>
      </c>
      <c r="AC28" s="60" t="n">
        <f aca="false">IF(ISNUMBER(AC27),AC27-AC26,0)</f>
        <v>0</v>
      </c>
      <c r="AD28" s="60" t="n">
        <f aca="false">IF(ISNUMBER(AD27),AD27-AD26,0)</f>
        <v>0</v>
      </c>
      <c r="AE28" s="60" t="n">
        <f aca="false">IF(ISNUMBER(AE27),AE27-AE26,0)</f>
        <v>0</v>
      </c>
      <c r="AF28" s="60" t="n">
        <f aca="false">IF(ISNUMBER(AF27),AF27-AF26,0)</f>
        <v>0</v>
      </c>
      <c r="AG28" s="60" t="n">
        <f aca="false">IF(ISNUMBER(AG27),AG27-AG26,0)</f>
        <v>0</v>
      </c>
      <c r="AH28" s="60" t="n">
        <f aca="false">IF(ISNUMBER(AH27),AH27-AH26,0)</f>
        <v>0</v>
      </c>
      <c r="AI28" s="60" t="n">
        <f aca="false">IF(ISNUMBER(AI27),AI27-AI26,0)</f>
        <v>0</v>
      </c>
      <c r="AJ28" s="60" t="n">
        <f aca="false">IF(ISNUMBER(AJ27),AJ27-AJ26,0)</f>
        <v>0</v>
      </c>
      <c r="AK28" s="60" t="n">
        <f aca="false">IF(ISNUMBER(AK27),AK27-AK26,0)</f>
        <v>0</v>
      </c>
      <c r="AL28" s="60" t="n">
        <f aca="false">IF(ISNUMBER(AL27),AL27-AL26,0)</f>
        <v>0</v>
      </c>
      <c r="AM28" s="60" t="n">
        <f aca="false">IF(ISNUMBER(AM27),AM27-AM26,0)</f>
        <v>0</v>
      </c>
      <c r="AN28" s="60" t="n">
        <f aca="false">IF(ISNUMBER(AN27),AN27-AN26,0)</f>
        <v>0</v>
      </c>
      <c r="AP28" s="60" t="n">
        <f aca="false">IF(ISNUMBER(AP27),AP27-AP26,0)</f>
        <v>0</v>
      </c>
      <c r="AQ28" s="60" t="n">
        <f aca="false">IF(ISNUMBER(AQ27),AQ27-AQ26,0)</f>
        <v>0</v>
      </c>
      <c r="AR28" s="60" t="n">
        <f aca="false">IF(ISNUMBER(AR27),AR27-AR26,0)</f>
        <v>0</v>
      </c>
      <c r="AS28" s="60" t="n">
        <f aca="false">IF(ISNUMBER(AS27),AS27-AS26,0)</f>
        <v>0</v>
      </c>
      <c r="AT28" s="60" t="n">
        <f aca="false">IF(ISNUMBER(AT27),AT27-AT26,0)</f>
        <v>0</v>
      </c>
      <c r="AU28" s="60" t="n">
        <f aca="false">IF(ISNUMBER(AU27),AU27-AU26,0)</f>
        <v>0</v>
      </c>
      <c r="AV28" s="60" t="n">
        <f aca="false">IF(ISNUMBER(AV27),AV27-AV26,0)</f>
        <v>0</v>
      </c>
      <c r="AW28" s="60" t="n">
        <f aca="false">IF(ISNUMBER(AW27),AW27-AW26,0)</f>
        <v>0</v>
      </c>
      <c r="AX28" s="60" t="n">
        <f aca="false">IF(ISNUMBER(AX27),AX27-AX26,0)</f>
        <v>0</v>
      </c>
      <c r="AY28" s="60" t="n">
        <f aca="false">IF(ISNUMBER(AY27),AY27-AY26,0)</f>
        <v>0</v>
      </c>
      <c r="AZ28" s="60" t="n">
        <f aca="false">IF(ISNUMBER(AZ27),AZ27-AZ26,0)</f>
        <v>0</v>
      </c>
      <c r="BA28" s="60" t="n">
        <f aca="false">IF(ISNUMBER(BA27),BA27-BA26,0)</f>
        <v>0</v>
      </c>
      <c r="BC28" s="60" t="n">
        <f aca="false">IF(ISNUMBER(BC27),BC27-BC26,0)</f>
        <v>0</v>
      </c>
      <c r="BD28" s="60" t="n">
        <f aca="false">IF(ISNUMBER(BD27),BD27-BD26,0)</f>
        <v>0</v>
      </c>
      <c r="BE28" s="60" t="n">
        <f aca="false">IF(ISNUMBER(BE27),BE27-BE26,0)</f>
        <v>0</v>
      </c>
      <c r="BF28" s="60" t="n">
        <f aca="false">IF(ISNUMBER(BF27),BF27-BF26,0)</f>
        <v>0</v>
      </c>
      <c r="BG28" s="60" t="n">
        <f aca="false">IF(ISNUMBER(BG27),BG27-BG26,0)</f>
        <v>0</v>
      </c>
      <c r="BH28" s="60" t="n">
        <f aca="false">IF(ISNUMBER(BH27),BH27-BH26,0)</f>
        <v>0</v>
      </c>
      <c r="BI28" s="60" t="n">
        <f aca="false">IF(ISNUMBER(BI27),BI27-BI26,0)</f>
        <v>0</v>
      </c>
      <c r="BJ28" s="60" t="n">
        <f aca="false">IF(ISNUMBER(BJ27),BJ27-BJ26,0)</f>
        <v>0</v>
      </c>
      <c r="BK28" s="60" t="n">
        <f aca="false">IF(ISNUMBER(BK27),BK27-BK26,0)</f>
        <v>0</v>
      </c>
      <c r="BL28" s="60" t="n">
        <f aca="false">IF(ISNUMBER(BL27),BL27-BL26,0)</f>
        <v>0</v>
      </c>
      <c r="BM28" s="60" t="n">
        <f aca="false">IF(ISNUMBER(BM27),BM27-BM26,0)</f>
        <v>0</v>
      </c>
      <c r="BN28" s="60" t="n">
        <f aca="false">IF(ISNUMBER(BN27),BN27-BN26,0)</f>
        <v>0</v>
      </c>
    </row>
    <row r="30" customFormat="false" ht="15" hidden="false" customHeight="false" outlineLevel="0" collapsed="false">
      <c r="A30" s="4" t="s">
        <v>642</v>
      </c>
      <c r="B30" s="69" t="n">
        <f aca="false">N30</f>
        <v>24</v>
      </c>
      <c r="C30" s="70" t="n">
        <f aca="false">Payroll!C73</f>
        <v>24</v>
      </c>
      <c r="D30" s="70" t="n">
        <f aca="false">Payroll!D73</f>
        <v>24</v>
      </c>
      <c r="E30" s="70" t="n">
        <f aca="false">Payroll!E73</f>
        <v>24</v>
      </c>
      <c r="F30" s="70" t="n">
        <f aca="false">Payroll!F73</f>
        <v>24</v>
      </c>
      <c r="G30" s="70" t="n">
        <f aca="false">Payroll!G73</f>
        <v>24</v>
      </c>
      <c r="H30" s="70" t="n">
        <f aca="false">Payroll!H73</f>
        <v>24</v>
      </c>
      <c r="I30" s="70" t="n">
        <f aca="false">Payroll!I73</f>
        <v>24</v>
      </c>
      <c r="J30" s="70" t="n">
        <f aca="false">Payroll!J73</f>
        <v>24</v>
      </c>
      <c r="K30" s="70" t="n">
        <f aca="false">Payroll!K73</f>
        <v>24</v>
      </c>
      <c r="L30" s="70" t="n">
        <f aca="false">Payroll!L73</f>
        <v>24</v>
      </c>
      <c r="M30" s="70" t="n">
        <f aca="false">Payroll!M73</f>
        <v>24</v>
      </c>
      <c r="N30" s="70" t="n">
        <f aca="false">Payroll!N73</f>
        <v>24</v>
      </c>
      <c r="O30" s="69" t="n">
        <f aca="false">AA30</f>
        <v>40</v>
      </c>
      <c r="P30" s="70" t="n">
        <f aca="false">Payroll!P73</f>
        <v>36</v>
      </c>
      <c r="Q30" s="70" t="n">
        <f aca="false">Payroll!Q73</f>
        <v>36</v>
      </c>
      <c r="R30" s="70" t="n">
        <f aca="false">Payroll!R73</f>
        <v>36</v>
      </c>
      <c r="S30" s="70" t="n">
        <f aca="false">Payroll!S73</f>
        <v>36</v>
      </c>
      <c r="T30" s="70" t="n">
        <f aca="false">Payroll!T73</f>
        <v>37</v>
      </c>
      <c r="U30" s="70" t="n">
        <f aca="false">Payroll!U73</f>
        <v>37</v>
      </c>
      <c r="V30" s="70" t="n">
        <f aca="false">Payroll!V73</f>
        <v>39</v>
      </c>
      <c r="W30" s="70" t="n">
        <f aca="false">Payroll!W73</f>
        <v>39</v>
      </c>
      <c r="X30" s="70" t="n">
        <f aca="false">Payroll!X73</f>
        <v>40</v>
      </c>
      <c r="Y30" s="70" t="n">
        <f aca="false">Payroll!Y73</f>
        <v>40</v>
      </c>
      <c r="Z30" s="70" t="n">
        <f aca="false">Payroll!Z73</f>
        <v>40</v>
      </c>
      <c r="AA30" s="70" t="n">
        <f aca="false">Payroll!AA73</f>
        <v>40</v>
      </c>
      <c r="AB30" s="69" t="n">
        <f aca="false">AN30</f>
        <v>60</v>
      </c>
      <c r="AC30" s="70" t="n">
        <f aca="false">Payroll!AC73</f>
        <v>54</v>
      </c>
      <c r="AD30" s="70" t="n">
        <f aca="false">Payroll!AD73</f>
        <v>54</v>
      </c>
      <c r="AE30" s="70" t="n">
        <f aca="false">Payroll!AE73</f>
        <v>54</v>
      </c>
      <c r="AF30" s="70" t="n">
        <f aca="false">Payroll!AF73</f>
        <v>55</v>
      </c>
      <c r="AG30" s="70" t="n">
        <f aca="false">Payroll!AG73</f>
        <v>56</v>
      </c>
      <c r="AH30" s="70" t="n">
        <f aca="false">Payroll!AH73</f>
        <v>56</v>
      </c>
      <c r="AI30" s="70" t="n">
        <f aca="false">Payroll!AI73</f>
        <v>58</v>
      </c>
      <c r="AJ30" s="70" t="n">
        <f aca="false">Payroll!AJ73</f>
        <v>58</v>
      </c>
      <c r="AK30" s="70" t="n">
        <f aca="false">Payroll!AK73</f>
        <v>59</v>
      </c>
      <c r="AL30" s="70" t="n">
        <f aca="false">Payroll!AL73</f>
        <v>60</v>
      </c>
      <c r="AM30" s="70" t="n">
        <f aca="false">Payroll!AM73</f>
        <v>60</v>
      </c>
      <c r="AN30" s="70" t="n">
        <f aca="false">Payroll!AN73</f>
        <v>60</v>
      </c>
      <c r="AO30" s="69" t="n">
        <f aca="false">BA30</f>
        <v>84</v>
      </c>
      <c r="AP30" s="70" t="n">
        <f aca="false">Payroll!AP73</f>
        <v>73</v>
      </c>
      <c r="AQ30" s="70" t="n">
        <f aca="false">Payroll!AQ73</f>
        <v>74</v>
      </c>
      <c r="AR30" s="70" t="n">
        <f aca="false">Payroll!AR73</f>
        <v>75</v>
      </c>
      <c r="AS30" s="70" t="n">
        <f aca="false">Payroll!AS73</f>
        <v>76</v>
      </c>
      <c r="AT30" s="70" t="n">
        <f aca="false">Payroll!AT73</f>
        <v>77</v>
      </c>
      <c r="AU30" s="70" t="n">
        <f aca="false">Payroll!AU73</f>
        <v>78</v>
      </c>
      <c r="AV30" s="70" t="n">
        <f aca="false">Payroll!AV73</f>
        <v>80</v>
      </c>
      <c r="AW30" s="70" t="n">
        <f aca="false">Payroll!AW73</f>
        <v>81</v>
      </c>
      <c r="AX30" s="70" t="n">
        <f aca="false">Payroll!AX73</f>
        <v>82</v>
      </c>
      <c r="AY30" s="70" t="n">
        <f aca="false">Payroll!AY73</f>
        <v>83</v>
      </c>
      <c r="AZ30" s="70" t="n">
        <f aca="false">Payroll!AZ73</f>
        <v>84</v>
      </c>
      <c r="BA30" s="70" t="n">
        <f aca="false">Payroll!BA73</f>
        <v>84</v>
      </c>
      <c r="BB30" s="69" t="n">
        <f aca="false">BN30</f>
        <v>115</v>
      </c>
      <c r="BC30" s="70" t="n">
        <f aca="false">Payroll!BC73</f>
        <v>98</v>
      </c>
      <c r="BD30" s="70" t="n">
        <f aca="false">Payroll!BD73</f>
        <v>100</v>
      </c>
      <c r="BE30" s="70" t="n">
        <f aca="false">Payroll!BE73</f>
        <v>102</v>
      </c>
      <c r="BF30" s="70" t="n">
        <f aca="false">Payroll!BF73</f>
        <v>102</v>
      </c>
      <c r="BG30" s="70" t="n">
        <f aca="false">Payroll!BG73</f>
        <v>104</v>
      </c>
      <c r="BH30" s="70" t="n">
        <f aca="false">Payroll!BH73</f>
        <v>106</v>
      </c>
      <c r="BI30" s="70" t="n">
        <f aca="false">Payroll!BI73</f>
        <v>109</v>
      </c>
      <c r="BJ30" s="70" t="n">
        <f aca="false">Payroll!BJ73</f>
        <v>109</v>
      </c>
      <c r="BK30" s="70" t="n">
        <f aca="false">Payroll!BK73</f>
        <v>111</v>
      </c>
      <c r="BL30" s="70" t="n">
        <f aca="false">Payroll!BL73</f>
        <v>113</v>
      </c>
      <c r="BM30" s="70" t="n">
        <f aca="false">Payroll!BM73</f>
        <v>115</v>
      </c>
      <c r="BN30" s="70" t="n">
        <f aca="false">Payroll!BN73</f>
        <v>115</v>
      </c>
    </row>
    <row r="31" customFormat="false" ht="15" hidden="false" customHeight="false" outlineLevel="0" collapsed="false">
      <c r="A31" s="4" t="s">
        <v>643</v>
      </c>
      <c r="B31" s="69" t="n">
        <f aca="false">N31</f>
        <v>0</v>
      </c>
      <c r="C31" s="71"/>
      <c r="D31" s="71"/>
      <c r="E31" s="71"/>
      <c r="F31" s="71"/>
      <c r="G31" s="71"/>
      <c r="H31" s="71"/>
      <c r="I31" s="71"/>
      <c r="J31" s="71"/>
      <c r="K31" s="71"/>
      <c r="L31" s="71"/>
      <c r="M31" s="71"/>
      <c r="N31" s="71"/>
      <c r="O31" s="69" t="n">
        <f aca="false">AA31</f>
        <v>0</v>
      </c>
      <c r="P31" s="71"/>
      <c r="Q31" s="71"/>
      <c r="R31" s="71"/>
      <c r="S31" s="71"/>
      <c r="T31" s="71"/>
      <c r="U31" s="71"/>
      <c r="V31" s="71"/>
      <c r="W31" s="71"/>
      <c r="X31" s="71"/>
      <c r="Y31" s="71"/>
      <c r="Z31" s="71"/>
      <c r="AA31" s="71"/>
      <c r="AB31" s="69" t="n">
        <f aca="false">AN31</f>
        <v>0</v>
      </c>
      <c r="AC31" s="71"/>
      <c r="AD31" s="71"/>
      <c r="AE31" s="71"/>
      <c r="AF31" s="71"/>
      <c r="AG31" s="71"/>
      <c r="AH31" s="71"/>
      <c r="AI31" s="71"/>
      <c r="AJ31" s="71"/>
      <c r="AK31" s="71"/>
      <c r="AL31" s="71"/>
      <c r="AM31" s="71"/>
      <c r="AN31" s="71"/>
      <c r="AO31" s="69" t="n">
        <f aca="false">BA31</f>
        <v>0</v>
      </c>
      <c r="AP31" s="71"/>
      <c r="AQ31" s="71"/>
      <c r="AR31" s="71"/>
      <c r="AS31" s="71"/>
      <c r="AT31" s="71"/>
      <c r="AU31" s="71"/>
      <c r="AV31" s="71"/>
      <c r="AW31" s="71"/>
      <c r="AX31" s="71"/>
      <c r="AY31" s="71"/>
      <c r="AZ31" s="71"/>
      <c r="BA31" s="71"/>
      <c r="BB31" s="69" t="n">
        <f aca="false">BN31</f>
        <v>0</v>
      </c>
      <c r="BC31" s="71"/>
      <c r="BD31" s="71"/>
      <c r="BE31" s="71"/>
      <c r="BF31" s="71"/>
      <c r="BG31" s="71"/>
      <c r="BH31" s="71"/>
      <c r="BI31" s="71"/>
      <c r="BJ31" s="71"/>
      <c r="BK31" s="71"/>
      <c r="BL31" s="71"/>
      <c r="BM31" s="71"/>
      <c r="BN31" s="71"/>
    </row>
    <row r="32" customFormat="false" ht="15" hidden="false" customHeight="false" outlineLevel="0" collapsed="false">
      <c r="A32" s="4" t="s">
        <v>635</v>
      </c>
      <c r="C32" s="72" t="n">
        <f aca="false">IF(ISNUMBER(C31),C31-C30,0)</f>
        <v>0</v>
      </c>
      <c r="D32" s="72" t="n">
        <f aca="false">IF(ISNUMBER(D31),D31-D30,0)</f>
        <v>0</v>
      </c>
      <c r="E32" s="72" t="n">
        <f aca="false">IF(ISNUMBER(E31),E31-E30,0)</f>
        <v>0</v>
      </c>
      <c r="F32" s="72" t="n">
        <f aca="false">IF(ISNUMBER(F31),F31-F30,0)</f>
        <v>0</v>
      </c>
      <c r="G32" s="72" t="n">
        <f aca="false">IF(ISNUMBER(G31),G31-G30,0)</f>
        <v>0</v>
      </c>
      <c r="H32" s="72" t="n">
        <f aca="false">IF(ISNUMBER(H31),H31-H30,0)</f>
        <v>0</v>
      </c>
      <c r="I32" s="72" t="n">
        <f aca="false">IF(ISNUMBER(I31),I31-I30,0)</f>
        <v>0</v>
      </c>
      <c r="J32" s="72" t="n">
        <f aca="false">IF(ISNUMBER(J31),J31-J30,0)</f>
        <v>0</v>
      </c>
      <c r="K32" s="72" t="n">
        <f aca="false">IF(ISNUMBER(K31),K31-K30,0)</f>
        <v>0</v>
      </c>
      <c r="L32" s="72" t="n">
        <f aca="false">IF(ISNUMBER(L31),L31-L30,0)</f>
        <v>0</v>
      </c>
      <c r="M32" s="72" t="n">
        <f aca="false">IF(ISNUMBER(M31),M31-M30,0)</f>
        <v>0</v>
      </c>
      <c r="N32" s="72" t="n">
        <f aca="false">IF(ISNUMBER(N31),N31-N30,0)</f>
        <v>0</v>
      </c>
      <c r="P32" s="72" t="n">
        <f aca="false">IF(ISNUMBER(P31),P31-P30,0)</f>
        <v>0</v>
      </c>
      <c r="Q32" s="72" t="n">
        <f aca="false">IF(ISNUMBER(Q31),Q31-Q30,0)</f>
        <v>0</v>
      </c>
      <c r="R32" s="72" t="n">
        <f aca="false">IF(ISNUMBER(R31),R31-R30,0)</f>
        <v>0</v>
      </c>
      <c r="S32" s="72" t="n">
        <f aca="false">IF(ISNUMBER(S31),S31-S30,0)</f>
        <v>0</v>
      </c>
      <c r="T32" s="72" t="n">
        <f aca="false">IF(ISNUMBER(T31),T31-T30,0)</f>
        <v>0</v>
      </c>
      <c r="U32" s="72" t="n">
        <f aca="false">IF(ISNUMBER(U31),U31-U30,0)</f>
        <v>0</v>
      </c>
      <c r="V32" s="72" t="n">
        <f aca="false">IF(ISNUMBER(V31),V31-V30,0)</f>
        <v>0</v>
      </c>
      <c r="W32" s="72" t="n">
        <f aca="false">IF(ISNUMBER(W31),W31-W30,0)</f>
        <v>0</v>
      </c>
      <c r="X32" s="72" t="n">
        <f aca="false">IF(ISNUMBER(X31),X31-X30,0)</f>
        <v>0</v>
      </c>
      <c r="Y32" s="72" t="n">
        <f aca="false">IF(ISNUMBER(Y31),Y31-Y30,0)</f>
        <v>0</v>
      </c>
      <c r="Z32" s="72" t="n">
        <f aca="false">IF(ISNUMBER(Z31),Z31-Z30,0)</f>
        <v>0</v>
      </c>
      <c r="AA32" s="72" t="n">
        <f aca="false">IF(ISNUMBER(AA31),AA31-AA30,0)</f>
        <v>0</v>
      </c>
      <c r="AC32" s="72" t="n">
        <f aca="false">IF(ISNUMBER(AC31),AC31-AC30,0)</f>
        <v>0</v>
      </c>
      <c r="AD32" s="72" t="n">
        <f aca="false">IF(ISNUMBER(AD31),AD31-AD30,0)</f>
        <v>0</v>
      </c>
      <c r="AE32" s="72" t="n">
        <f aca="false">IF(ISNUMBER(AE31),AE31-AE30,0)</f>
        <v>0</v>
      </c>
      <c r="AF32" s="72" t="n">
        <f aca="false">IF(ISNUMBER(AF31),AF31-AF30,0)</f>
        <v>0</v>
      </c>
      <c r="AG32" s="72" t="n">
        <f aca="false">IF(ISNUMBER(AG31),AG31-AG30,0)</f>
        <v>0</v>
      </c>
      <c r="AH32" s="72" t="n">
        <f aca="false">IF(ISNUMBER(AH31),AH31-AH30,0)</f>
        <v>0</v>
      </c>
      <c r="AI32" s="72" t="n">
        <f aca="false">IF(ISNUMBER(AI31),AI31-AI30,0)</f>
        <v>0</v>
      </c>
      <c r="AJ32" s="72" t="n">
        <f aca="false">IF(ISNUMBER(AJ31),AJ31-AJ30,0)</f>
        <v>0</v>
      </c>
      <c r="AK32" s="72" t="n">
        <f aca="false">IF(ISNUMBER(AK31),AK31-AK30,0)</f>
        <v>0</v>
      </c>
      <c r="AL32" s="72" t="n">
        <f aca="false">IF(ISNUMBER(AL31),AL31-AL30,0)</f>
        <v>0</v>
      </c>
      <c r="AM32" s="72" t="n">
        <f aca="false">IF(ISNUMBER(AM31),AM31-AM30,0)</f>
        <v>0</v>
      </c>
      <c r="AN32" s="72" t="n">
        <f aca="false">IF(ISNUMBER(AN31),AN31-AN30,0)</f>
        <v>0</v>
      </c>
      <c r="AP32" s="72" t="n">
        <f aca="false">IF(ISNUMBER(AP31),AP31-AP30,0)</f>
        <v>0</v>
      </c>
      <c r="AQ32" s="72" t="n">
        <f aca="false">IF(ISNUMBER(AQ31),AQ31-AQ30,0)</f>
        <v>0</v>
      </c>
      <c r="AR32" s="72" t="n">
        <f aca="false">IF(ISNUMBER(AR31),AR31-AR30,0)</f>
        <v>0</v>
      </c>
      <c r="AS32" s="72" t="n">
        <f aca="false">IF(ISNUMBER(AS31),AS31-AS30,0)</f>
        <v>0</v>
      </c>
      <c r="AT32" s="72" t="n">
        <f aca="false">IF(ISNUMBER(AT31),AT31-AT30,0)</f>
        <v>0</v>
      </c>
      <c r="AU32" s="72" t="n">
        <f aca="false">IF(ISNUMBER(AU31),AU31-AU30,0)</f>
        <v>0</v>
      </c>
      <c r="AV32" s="72" t="n">
        <f aca="false">IF(ISNUMBER(AV31),AV31-AV30,0)</f>
        <v>0</v>
      </c>
      <c r="AW32" s="72" t="n">
        <f aca="false">IF(ISNUMBER(AW31),AW31-AW30,0)</f>
        <v>0</v>
      </c>
      <c r="AX32" s="72" t="n">
        <f aca="false">IF(ISNUMBER(AX31),AX31-AX30,0)</f>
        <v>0</v>
      </c>
      <c r="AY32" s="72" t="n">
        <f aca="false">IF(ISNUMBER(AY31),AY31-AY30,0)</f>
        <v>0</v>
      </c>
      <c r="AZ32" s="72" t="n">
        <f aca="false">IF(ISNUMBER(AZ31),AZ31-AZ30,0)</f>
        <v>0</v>
      </c>
      <c r="BA32" s="72" t="n">
        <f aca="false">IF(ISNUMBER(BA31),BA31-BA30,0)</f>
        <v>0</v>
      </c>
      <c r="BC32" s="72" t="n">
        <f aca="false">IF(ISNUMBER(BC31),BC31-BC30,0)</f>
        <v>0</v>
      </c>
      <c r="BD32" s="72" t="n">
        <f aca="false">IF(ISNUMBER(BD31),BD31-BD30,0)</f>
        <v>0</v>
      </c>
      <c r="BE32" s="72" t="n">
        <f aca="false">IF(ISNUMBER(BE31),BE31-BE30,0)</f>
        <v>0</v>
      </c>
      <c r="BF32" s="72" t="n">
        <f aca="false">IF(ISNUMBER(BF31),BF31-BF30,0)</f>
        <v>0</v>
      </c>
      <c r="BG32" s="72" t="n">
        <f aca="false">IF(ISNUMBER(BG31),BG31-BG30,0)</f>
        <v>0</v>
      </c>
      <c r="BH32" s="72" t="n">
        <f aca="false">IF(ISNUMBER(BH31),BH31-BH30,0)</f>
        <v>0</v>
      </c>
      <c r="BI32" s="72" t="n">
        <f aca="false">IF(ISNUMBER(BI31),BI31-BI30,0)</f>
        <v>0</v>
      </c>
      <c r="BJ32" s="72" t="n">
        <f aca="false">IF(ISNUMBER(BJ31),BJ31-BJ30,0)</f>
        <v>0</v>
      </c>
      <c r="BK32" s="72" t="n">
        <f aca="false">IF(ISNUMBER(BK31),BK31-BK30,0)</f>
        <v>0</v>
      </c>
      <c r="BL32" s="72" t="n">
        <f aca="false">IF(ISNUMBER(BL31),BL31-BL30,0)</f>
        <v>0</v>
      </c>
      <c r="BM32" s="72" t="n">
        <f aca="false">IF(ISNUMBER(BM31),BM31-BM30,0)</f>
        <v>0</v>
      </c>
      <c r="BN32" s="72" t="n">
        <f aca="false">IF(ISNUMBER(BN31),BN31-BN30,0)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34" t="s">
        <v>43</v>
      </c>
    </row>
    <row r="5" customFormat="false" ht="15" hidden="false" customHeight="false" outlineLevel="0" collapsed="false">
      <c r="B5" s="35" t="s">
        <v>644</v>
      </c>
      <c r="C5" s="36" t="s">
        <v>45</v>
      </c>
    </row>
    <row r="6" customFormat="false" ht="15" hidden="false" customHeight="false" outlineLevel="0" collapsed="false">
      <c r="B6" s="35" t="s">
        <v>645</v>
      </c>
      <c r="C6" s="36" t="s">
        <v>47</v>
      </c>
    </row>
    <row r="7" customFormat="false" ht="15" hidden="false" customHeight="false" outlineLevel="0" collapsed="false">
      <c r="B7" s="35" t="s">
        <v>646</v>
      </c>
      <c r="C7" s="36" t="s">
        <v>49</v>
      </c>
    </row>
    <row r="8" customFormat="false" ht="15" hidden="false" customHeight="false" outlineLevel="0" collapsed="false">
      <c r="B8" s="35" t="s">
        <v>647</v>
      </c>
      <c r="C8" s="36" t="s">
        <v>51</v>
      </c>
    </row>
    <row r="9" customFormat="false" ht="15" hidden="false" customHeight="false" outlineLevel="0" collapsed="false">
      <c r="B9" s="35" t="s">
        <v>648</v>
      </c>
      <c r="C9" s="36" t="s">
        <v>53</v>
      </c>
    </row>
    <row r="10" customFormat="false" ht="15" hidden="false" customHeight="false" outlineLevel="0" collapsed="false">
      <c r="B10" s="35" t="s">
        <v>649</v>
      </c>
      <c r="C10" s="36" t="s">
        <v>55</v>
      </c>
    </row>
    <row r="11" customFormat="false" ht="15" hidden="false" customHeight="false" outlineLevel="0" collapsed="false">
      <c r="B11" s="35" t="s">
        <v>650</v>
      </c>
      <c r="C11" s="36" t="s">
        <v>57</v>
      </c>
    </row>
    <row r="12" customFormat="false" ht="15" hidden="false" customHeight="false" outlineLevel="0" collapsed="false">
      <c r="B12" s="35" t="s">
        <v>651</v>
      </c>
      <c r="C12" s="36"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644</v>
      </c>
    </row>
    <row r="2" customFormat="false" ht="15" hidden="false" customHeight="false" outlineLevel="0" collapsed="false">
      <c r="A2" s="8" t="s">
        <v>652</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653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654</v>
      </c>
      <c r="C6" s="73" t="n">
        <f aca="false">EDATE('Assumption Setting'!$C$6,0)</f>
        <v>46388</v>
      </c>
      <c r="D6" s="73" t="n">
        <f aca="false">EDATE('Assumption Setting'!$C$6,1)</f>
        <v>46419</v>
      </c>
      <c r="E6" s="73" t="n">
        <f aca="false">EDATE('Assumption Setting'!$C$6,2)</f>
        <v>46447</v>
      </c>
      <c r="F6" s="73" t="n">
        <f aca="false">EDATE('Assumption Setting'!$C$6,3)</f>
        <v>46478</v>
      </c>
      <c r="G6" s="73" t="n">
        <f aca="false">EDATE('Assumption Setting'!$C$6,4)</f>
        <v>46508</v>
      </c>
      <c r="H6" s="73" t="n">
        <f aca="false">EDATE('Assumption Setting'!$C$6,5)</f>
        <v>46539</v>
      </c>
      <c r="I6" s="73" t="n">
        <f aca="false">EDATE('Assumption Setting'!$C$6,6)</f>
        <v>46569</v>
      </c>
      <c r="J6" s="73" t="n">
        <f aca="false">EDATE('Assumption Setting'!$C$6,7)</f>
        <v>46600</v>
      </c>
      <c r="K6" s="73" t="n">
        <f aca="false">EDATE('Assumption Setting'!$C$6,8)</f>
        <v>46631</v>
      </c>
      <c r="L6" s="73" t="n">
        <f aca="false">EDATE('Assumption Setting'!$C$6,9)</f>
        <v>46661</v>
      </c>
      <c r="M6" s="73" t="n">
        <f aca="false">EDATE('Assumption Setting'!$C$6,10)</f>
        <v>46692</v>
      </c>
      <c r="N6" s="73" t="n">
        <f aca="false">EDATE('Assumption Setting'!$C$6,11)</f>
        <v>46722</v>
      </c>
      <c r="P6" s="73" t="n">
        <f aca="false">EDATE('Assumption Setting'!$C$6,12)</f>
        <v>46753</v>
      </c>
      <c r="Q6" s="73" t="n">
        <f aca="false">EDATE('Assumption Setting'!$C$6,13)</f>
        <v>46784</v>
      </c>
      <c r="R6" s="73" t="n">
        <f aca="false">EDATE('Assumption Setting'!$C$6,14)</f>
        <v>46813</v>
      </c>
      <c r="S6" s="73" t="n">
        <f aca="false">EDATE('Assumption Setting'!$C$6,15)</f>
        <v>46844</v>
      </c>
      <c r="T6" s="73" t="n">
        <f aca="false">EDATE('Assumption Setting'!$C$6,16)</f>
        <v>46874</v>
      </c>
      <c r="U6" s="73" t="n">
        <f aca="false">EDATE('Assumption Setting'!$C$6,17)</f>
        <v>46905</v>
      </c>
      <c r="V6" s="73" t="n">
        <f aca="false">EDATE('Assumption Setting'!$C$6,18)</f>
        <v>46935</v>
      </c>
      <c r="W6" s="73" t="n">
        <f aca="false">EDATE('Assumption Setting'!$C$6,19)</f>
        <v>46966</v>
      </c>
      <c r="X6" s="73" t="n">
        <f aca="false">EDATE('Assumption Setting'!$C$6,20)</f>
        <v>46997</v>
      </c>
      <c r="Y6" s="73" t="n">
        <f aca="false">EDATE('Assumption Setting'!$C$6,21)</f>
        <v>47027</v>
      </c>
      <c r="Z6" s="73" t="n">
        <f aca="false">EDATE('Assumption Setting'!$C$6,22)</f>
        <v>47058</v>
      </c>
      <c r="AA6" s="73" t="n">
        <f aca="false">EDATE('Assumption Setting'!$C$6,23)</f>
        <v>47088</v>
      </c>
      <c r="AC6" s="73" t="n">
        <f aca="false">EDATE('Assumption Setting'!$C$6,24)</f>
        <v>47119</v>
      </c>
      <c r="AD6" s="73" t="n">
        <f aca="false">EDATE('Assumption Setting'!$C$6,25)</f>
        <v>47150</v>
      </c>
      <c r="AE6" s="73" t="n">
        <f aca="false">EDATE('Assumption Setting'!$C$6,26)</f>
        <v>47178</v>
      </c>
      <c r="AF6" s="73" t="n">
        <f aca="false">EDATE('Assumption Setting'!$C$6,27)</f>
        <v>47209</v>
      </c>
      <c r="AG6" s="73" t="n">
        <f aca="false">EDATE('Assumption Setting'!$C$6,28)</f>
        <v>47239</v>
      </c>
      <c r="AH6" s="73" t="n">
        <f aca="false">EDATE('Assumption Setting'!$C$6,29)</f>
        <v>47270</v>
      </c>
      <c r="AI6" s="73" t="n">
        <f aca="false">EDATE('Assumption Setting'!$C$6,30)</f>
        <v>47300</v>
      </c>
      <c r="AJ6" s="73" t="n">
        <f aca="false">EDATE('Assumption Setting'!$C$6,31)</f>
        <v>47331</v>
      </c>
      <c r="AK6" s="73" t="n">
        <f aca="false">EDATE('Assumption Setting'!$C$6,32)</f>
        <v>47362</v>
      </c>
      <c r="AL6" s="73" t="n">
        <f aca="false">EDATE('Assumption Setting'!$C$6,33)</f>
        <v>47392</v>
      </c>
      <c r="AM6" s="73" t="n">
        <f aca="false">EDATE('Assumption Setting'!$C$6,34)</f>
        <v>47423</v>
      </c>
      <c r="AN6" s="73" t="n">
        <f aca="false">EDATE('Assumption Setting'!$C$6,35)</f>
        <v>47453</v>
      </c>
      <c r="AP6" s="73" t="n">
        <f aca="false">EDATE('Assumption Setting'!$C$6,36)</f>
        <v>47484</v>
      </c>
      <c r="AQ6" s="73" t="n">
        <f aca="false">EDATE('Assumption Setting'!$C$6,37)</f>
        <v>47515</v>
      </c>
      <c r="AR6" s="73" t="n">
        <f aca="false">EDATE('Assumption Setting'!$C$6,38)</f>
        <v>47543</v>
      </c>
      <c r="AS6" s="73" t="n">
        <f aca="false">EDATE('Assumption Setting'!$C$6,39)</f>
        <v>47574</v>
      </c>
      <c r="AT6" s="73" t="n">
        <f aca="false">EDATE('Assumption Setting'!$C$6,40)</f>
        <v>47604</v>
      </c>
      <c r="AU6" s="73" t="n">
        <f aca="false">EDATE('Assumption Setting'!$C$6,41)</f>
        <v>47635</v>
      </c>
      <c r="AV6" s="73" t="n">
        <f aca="false">EDATE('Assumption Setting'!$C$6,42)</f>
        <v>47665</v>
      </c>
      <c r="AW6" s="73" t="n">
        <f aca="false">EDATE('Assumption Setting'!$C$6,43)</f>
        <v>47696</v>
      </c>
      <c r="AX6" s="73" t="n">
        <f aca="false">EDATE('Assumption Setting'!$C$6,44)</f>
        <v>47727</v>
      </c>
      <c r="AY6" s="73" t="n">
        <f aca="false">EDATE('Assumption Setting'!$C$6,45)</f>
        <v>47757</v>
      </c>
      <c r="AZ6" s="73" t="n">
        <f aca="false">EDATE('Assumption Setting'!$C$6,46)</f>
        <v>47788</v>
      </c>
      <c r="BA6" s="73" t="n">
        <f aca="false">EDATE('Assumption Setting'!$C$6,47)</f>
        <v>47818</v>
      </c>
      <c r="BC6" s="73" t="n">
        <f aca="false">EDATE('Assumption Setting'!$C$6,48)</f>
        <v>47849</v>
      </c>
      <c r="BD6" s="73" t="n">
        <f aca="false">EDATE('Assumption Setting'!$C$6,49)</f>
        <v>47880</v>
      </c>
      <c r="BE6" s="73" t="n">
        <f aca="false">EDATE('Assumption Setting'!$C$6,50)</f>
        <v>47908</v>
      </c>
      <c r="BF6" s="73" t="n">
        <f aca="false">EDATE('Assumption Setting'!$C$6,51)</f>
        <v>47939</v>
      </c>
      <c r="BG6" s="73" t="n">
        <f aca="false">EDATE('Assumption Setting'!$C$6,52)</f>
        <v>47969</v>
      </c>
      <c r="BH6" s="73" t="n">
        <f aca="false">EDATE('Assumption Setting'!$C$6,53)</f>
        <v>48000</v>
      </c>
      <c r="BI6" s="73" t="n">
        <f aca="false">EDATE('Assumption Setting'!$C$6,54)</f>
        <v>48030</v>
      </c>
      <c r="BJ6" s="73" t="n">
        <f aca="false">EDATE('Assumption Setting'!$C$6,55)</f>
        <v>48061</v>
      </c>
      <c r="BK6" s="73" t="n">
        <f aca="false">EDATE('Assumption Setting'!$C$6,56)</f>
        <v>48092</v>
      </c>
      <c r="BL6" s="73" t="n">
        <f aca="false">EDATE('Assumption Setting'!$C$6,57)</f>
        <v>48122</v>
      </c>
      <c r="BM6" s="73" t="n">
        <f aca="false">EDATE('Assumption Setting'!$C$6,58)</f>
        <v>48153</v>
      </c>
      <c r="BN6" s="73" t="n">
        <f aca="false">EDATE('Assumption Setting'!$C$6,59)</f>
        <v>48183</v>
      </c>
    </row>
    <row r="7" customFormat="false" ht="15" hidden="false" customHeight="false" outlineLevel="0" collapsed="false">
      <c r="A7" s="4" t="s">
        <v>655</v>
      </c>
      <c r="C7" s="74" t="n">
        <v>1</v>
      </c>
      <c r="D7" s="74" t="n">
        <v>1</v>
      </c>
      <c r="E7" s="74" t="n">
        <v>1</v>
      </c>
      <c r="F7" s="74" t="n">
        <v>1</v>
      </c>
      <c r="G7" s="74" t="n">
        <v>1</v>
      </c>
      <c r="H7" s="74" t="n">
        <v>1</v>
      </c>
      <c r="I7" s="74" t="n">
        <v>1</v>
      </c>
      <c r="J7" s="74" t="n">
        <v>1</v>
      </c>
      <c r="K7" s="74" t="n">
        <v>1</v>
      </c>
      <c r="L7" s="74" t="n">
        <v>1</v>
      </c>
      <c r="M7" s="74" t="n">
        <v>1</v>
      </c>
      <c r="N7" s="74" t="n">
        <v>1</v>
      </c>
      <c r="P7" s="74" t="n">
        <v>2</v>
      </c>
      <c r="Q7" s="74" t="n">
        <v>2</v>
      </c>
      <c r="R7" s="74" t="n">
        <v>2</v>
      </c>
      <c r="S7" s="74" t="n">
        <v>2</v>
      </c>
      <c r="T7" s="74" t="n">
        <v>2</v>
      </c>
      <c r="U7" s="74" t="n">
        <v>2</v>
      </c>
      <c r="V7" s="74" t="n">
        <v>2</v>
      </c>
      <c r="W7" s="74" t="n">
        <v>2</v>
      </c>
      <c r="X7" s="74" t="n">
        <v>2</v>
      </c>
      <c r="Y7" s="74" t="n">
        <v>2</v>
      </c>
      <c r="Z7" s="74" t="n">
        <v>2</v>
      </c>
      <c r="AA7" s="74" t="n">
        <v>2</v>
      </c>
      <c r="AC7" s="74" t="n">
        <v>3</v>
      </c>
      <c r="AD7" s="74" t="n">
        <v>3</v>
      </c>
      <c r="AE7" s="74" t="n">
        <v>3</v>
      </c>
      <c r="AF7" s="74" t="n">
        <v>3</v>
      </c>
      <c r="AG7" s="74" t="n">
        <v>3</v>
      </c>
      <c r="AH7" s="74" t="n">
        <v>3</v>
      </c>
      <c r="AI7" s="74" t="n">
        <v>3</v>
      </c>
      <c r="AJ7" s="74" t="n">
        <v>3</v>
      </c>
      <c r="AK7" s="74" t="n">
        <v>3</v>
      </c>
      <c r="AL7" s="74" t="n">
        <v>3</v>
      </c>
      <c r="AM7" s="74" t="n">
        <v>3</v>
      </c>
      <c r="AN7" s="74" t="n">
        <v>3</v>
      </c>
      <c r="AP7" s="74" t="n">
        <v>4</v>
      </c>
      <c r="AQ7" s="74" t="n">
        <v>4</v>
      </c>
      <c r="AR7" s="74" t="n">
        <v>4</v>
      </c>
      <c r="AS7" s="74" t="n">
        <v>4</v>
      </c>
      <c r="AT7" s="74" t="n">
        <v>4</v>
      </c>
      <c r="AU7" s="74" t="n">
        <v>4</v>
      </c>
      <c r="AV7" s="74" t="n">
        <v>4</v>
      </c>
      <c r="AW7" s="74" t="n">
        <v>4</v>
      </c>
      <c r="AX7" s="74" t="n">
        <v>4</v>
      </c>
      <c r="AY7" s="74" t="n">
        <v>4</v>
      </c>
      <c r="AZ7" s="74" t="n">
        <v>4</v>
      </c>
      <c r="BA7" s="74" t="n">
        <v>4</v>
      </c>
      <c r="BC7" s="74" t="n">
        <v>5</v>
      </c>
      <c r="BD7" s="74" t="n">
        <v>5</v>
      </c>
      <c r="BE7" s="74" t="n">
        <v>5</v>
      </c>
      <c r="BF7" s="74" t="n">
        <v>5</v>
      </c>
      <c r="BG7" s="74" t="n">
        <v>5</v>
      </c>
      <c r="BH7" s="74" t="n">
        <v>5</v>
      </c>
      <c r="BI7" s="74" t="n">
        <v>5</v>
      </c>
      <c r="BJ7" s="74" t="n">
        <v>5</v>
      </c>
      <c r="BK7" s="74" t="n">
        <v>5</v>
      </c>
      <c r="BL7" s="74" t="n">
        <v>5</v>
      </c>
      <c r="BM7" s="74" t="n">
        <v>5</v>
      </c>
      <c r="BN7" s="74" t="n">
        <v>5</v>
      </c>
    </row>
    <row r="8" customFormat="false" ht="15" hidden="false" customHeight="false" outlineLevel="0" collapsed="false">
      <c r="A8" s="4" t="s">
        <v>174</v>
      </c>
      <c r="B8" s="75" t="n">
        <f aca="false">IFERROR(AVERAGE(C8:N8),0)</f>
        <v>52.9013508012429</v>
      </c>
      <c r="C8" s="76" t="n">
        <f aca="false">'Assumption Setting'!$C$7*(1+'Assumption Setting'!$C$8)^((1-1)/12)</f>
        <v>51.5</v>
      </c>
      <c r="D8" s="76" t="n">
        <f aca="false">'Assumption Setting'!$C$7*(1+'Assumption Setting'!$C$8)^((2-1)/12)</f>
        <v>51.7506788541152</v>
      </c>
      <c r="E8" s="76" t="n">
        <f aca="false">'Assumption Setting'!$C$7*(1+'Assumption Setting'!$C$8)^((3-1)/12)</f>
        <v>52.0025779002284</v>
      </c>
      <c r="F8" s="76" t="n">
        <f aca="false">'Assumption Setting'!$C$7*(1+'Assumption Setting'!$C$8)^((4-1)/12)</f>
        <v>52.255703077686</v>
      </c>
      <c r="G8" s="76" t="n">
        <f aca="false">'Assumption Setting'!$C$7*(1+'Assumption Setting'!$C$8)^((5-1)/12)</f>
        <v>52.5100603547441</v>
      </c>
      <c r="H8" s="76" t="n">
        <f aca="false">'Assumption Setting'!$C$7*(1+'Assumption Setting'!$C$8)^((6-1)/12)</f>
        <v>52.7656557287101</v>
      </c>
      <c r="I8" s="76" t="n">
        <f aca="false">'Assumption Setting'!$C$7*(1+'Assumption Setting'!$C$8)^((7-1)/12)</f>
        <v>53.0224952260831</v>
      </c>
      <c r="J8" s="76" t="n">
        <f aca="false">'Assumption Setting'!$C$7*(1+'Assumption Setting'!$C$8)^((8-1)/12)</f>
        <v>53.2805849026967</v>
      </c>
      <c r="K8" s="76" t="n">
        <f aca="false">'Assumption Setting'!$C$7*(1+'Assumption Setting'!$C$8)^((9-1)/12)</f>
        <v>53.5399308438616</v>
      </c>
      <c r="L8" s="76" t="n">
        <f aca="false">'Assumption Setting'!$C$7*(1+'Assumption Setting'!$C$8)^((10-1)/12)</f>
        <v>53.8005391645091</v>
      </c>
      <c r="M8" s="76" t="n">
        <f aca="false">'Assumption Setting'!$C$7*(1+'Assumption Setting'!$C$8)^((11-1)/12)</f>
        <v>54.062416009335</v>
      </c>
      <c r="N8" s="76" t="n">
        <f aca="false">'Assumption Setting'!$C$7*(1+'Assumption Setting'!$C$8)^((12-1)/12)</f>
        <v>54.3255675529451</v>
      </c>
      <c r="O8" s="75" t="n">
        <f aca="false">IFERROR(AVERAGE(P8:AA8),0)</f>
        <v>56.0754318493174</v>
      </c>
      <c r="P8" s="76" t="n">
        <f aca="false">'Assumption Setting'!$C$7*(1+'Assumption Setting'!$C$8)^((13-1)/12)</f>
        <v>54.59</v>
      </c>
      <c r="Q8" s="76" t="n">
        <f aca="false">'Assumption Setting'!$C$7*(1+'Assumption Setting'!$C$8)^((14-1)/12)</f>
        <v>54.8557195853621</v>
      </c>
      <c r="R8" s="76" t="n">
        <f aca="false">'Assumption Setting'!$C$7*(1+'Assumption Setting'!$C$8)^((15-1)/12)</f>
        <v>55.1227325742421</v>
      </c>
      <c r="S8" s="76" t="n">
        <f aca="false">'Assumption Setting'!$C$7*(1+'Assumption Setting'!$C$8)^((16-1)/12)</f>
        <v>55.3910452623471</v>
      </c>
      <c r="T8" s="76" t="n">
        <f aca="false">'Assumption Setting'!$C$7*(1+'Assumption Setting'!$C$8)^((17-1)/12)</f>
        <v>55.6606639760288</v>
      </c>
      <c r="U8" s="76" t="n">
        <f aca="false">'Assumption Setting'!$C$7*(1+'Assumption Setting'!$C$8)^((18-1)/12)</f>
        <v>55.9315950724327</v>
      </c>
      <c r="V8" s="76" t="n">
        <f aca="false">'Assumption Setting'!$C$7*(1+'Assumption Setting'!$C$8)^((19-1)/12)</f>
        <v>56.203844939648</v>
      </c>
      <c r="W8" s="76" t="n">
        <f aca="false">'Assumption Setting'!$C$7*(1+'Assumption Setting'!$C$8)^((20-1)/12)</f>
        <v>56.4774199968585</v>
      </c>
      <c r="X8" s="76" t="n">
        <f aca="false">'Assumption Setting'!$C$7*(1+'Assumption Setting'!$C$8)^((21-1)/12)</f>
        <v>56.7523266944933</v>
      </c>
      <c r="Y8" s="76" t="n">
        <f aca="false">'Assumption Setting'!$C$7*(1+'Assumption Setting'!$C$8)^((22-1)/12)</f>
        <v>57.0285715143796</v>
      </c>
      <c r="Z8" s="76" t="n">
        <f aca="false">'Assumption Setting'!$C$7*(1+'Assumption Setting'!$C$8)^((23-1)/12)</f>
        <v>57.3061609698951</v>
      </c>
      <c r="AA8" s="76" t="n">
        <f aca="false">'Assumption Setting'!$C$7*(1+'Assumption Setting'!$C$8)^((24-1)/12)</f>
        <v>57.5851016061218</v>
      </c>
      <c r="AB8" s="75" t="n">
        <f aca="false">IFERROR(AVERAGE(AC8:AN8),0)</f>
        <v>59.4399577602765</v>
      </c>
      <c r="AC8" s="76" t="n">
        <f aca="false">'Assumption Setting'!$C$7*(1+'Assumption Setting'!$C$8)^((25-1)/12)</f>
        <v>57.8654</v>
      </c>
      <c r="AD8" s="76" t="n">
        <f aca="false">'Assumption Setting'!$C$7*(1+'Assumption Setting'!$C$8)^((26-1)/12)</f>
        <v>58.1470627604838</v>
      </c>
      <c r="AE8" s="76" t="n">
        <f aca="false">'Assumption Setting'!$C$7*(1+'Assumption Setting'!$C$8)^((27-1)/12)</f>
        <v>58.4300965286966</v>
      </c>
      <c r="AF8" s="76" t="n">
        <f aca="false">'Assumption Setting'!$C$7*(1+'Assumption Setting'!$C$8)^((28-1)/12)</f>
        <v>58.7145079780879</v>
      </c>
      <c r="AG8" s="76" t="n">
        <f aca="false">'Assumption Setting'!$C$7*(1+'Assumption Setting'!$C$8)^((29-1)/12)</f>
        <v>59.0003038145905</v>
      </c>
      <c r="AH8" s="76" t="n">
        <f aca="false">'Assumption Setting'!$C$7*(1+'Assumption Setting'!$C$8)^((30-1)/12)</f>
        <v>59.2874907767787</v>
      </c>
      <c r="AI8" s="76" t="n">
        <f aca="false">'Assumption Setting'!$C$7*(1+'Assumption Setting'!$C$8)^((31-1)/12)</f>
        <v>59.5760756360269</v>
      </c>
      <c r="AJ8" s="76" t="n">
        <f aca="false">'Assumption Setting'!$C$7*(1+'Assumption Setting'!$C$8)^((32-1)/12)</f>
        <v>59.86606519667</v>
      </c>
      <c r="AK8" s="76" t="n">
        <f aca="false">'Assumption Setting'!$C$7*(1+'Assumption Setting'!$C$8)^((33-1)/12)</f>
        <v>60.1574662961629</v>
      </c>
      <c r="AL8" s="76" t="n">
        <f aca="false">'Assumption Setting'!$C$7*(1+'Assumption Setting'!$C$8)^((34-1)/12)</f>
        <v>60.4502858052424</v>
      </c>
      <c r="AM8" s="76" t="n">
        <f aca="false">'Assumption Setting'!$C$7*(1+'Assumption Setting'!$C$8)^((35-1)/12)</f>
        <v>60.7445306280889</v>
      </c>
      <c r="AN8" s="76" t="n">
        <f aca="false">'Assumption Setting'!$C$7*(1+'Assumption Setting'!$C$8)^((36-1)/12)</f>
        <v>61.0402077024891</v>
      </c>
      <c r="AO8" s="75" t="n">
        <f aca="false">IFERROR(AVERAGE(AP8:BA8),0)</f>
        <v>63.0063552258931</v>
      </c>
      <c r="AP8" s="76" t="n">
        <f aca="false">'Assumption Setting'!$C$7*(1+'Assumption Setting'!$C$8)^((37-1)/12)</f>
        <v>61.337324</v>
      </c>
      <c r="AQ8" s="76" t="n">
        <f aca="false">'Assumption Setting'!$C$7*(1+'Assumption Setting'!$C$8)^((38-1)/12)</f>
        <v>61.6358865261128</v>
      </c>
      <c r="AR8" s="76" t="n">
        <f aca="false">'Assumption Setting'!$C$7*(1+'Assumption Setting'!$C$8)^((39-1)/12)</f>
        <v>61.9359023204184</v>
      </c>
      <c r="AS8" s="76" t="n">
        <f aca="false">'Assumption Setting'!$C$7*(1+'Assumption Setting'!$C$8)^((40-1)/12)</f>
        <v>62.2373784567732</v>
      </c>
      <c r="AT8" s="76" t="n">
        <f aca="false">'Assumption Setting'!$C$7*(1+'Assumption Setting'!$C$8)^((41-1)/12)</f>
        <v>62.540322043466</v>
      </c>
      <c r="AU8" s="76" t="n">
        <f aca="false">'Assumption Setting'!$C$7*(1+'Assumption Setting'!$C$8)^((42-1)/12)</f>
        <v>62.8447402233854</v>
      </c>
      <c r="AV8" s="76" t="n">
        <f aca="false">'Assumption Setting'!$C$7*(1+'Assumption Setting'!$C$8)^((43-1)/12)</f>
        <v>63.1506401741885</v>
      </c>
      <c r="AW8" s="76" t="n">
        <f aca="false">'Assumption Setting'!$C$7*(1+'Assumption Setting'!$C$8)^((44-1)/12)</f>
        <v>63.4580291084702</v>
      </c>
      <c r="AX8" s="76" t="n">
        <f aca="false">'Assumption Setting'!$C$7*(1+'Assumption Setting'!$C$8)^((45-1)/12)</f>
        <v>63.7669142739327</v>
      </c>
      <c r="AY8" s="76" t="n">
        <f aca="false">'Assumption Setting'!$C$7*(1+'Assumption Setting'!$C$8)^((46-1)/12)</f>
        <v>64.0773029535569</v>
      </c>
      <c r="AZ8" s="76" t="n">
        <f aca="false">'Assumption Setting'!$C$7*(1+'Assumption Setting'!$C$8)^((47-1)/12)</f>
        <v>64.3892024657742</v>
      </c>
      <c r="BA8" s="76" t="n">
        <f aca="false">'Assumption Setting'!$C$7*(1+'Assumption Setting'!$C$8)^((48-1)/12)</f>
        <v>64.7026201646385</v>
      </c>
      <c r="BB8" s="75" t="n">
        <f aca="false">IFERROR(AVERAGE(BC8:BN8),0)</f>
        <v>66.7867365394467</v>
      </c>
      <c r="BC8" s="76" t="n">
        <f aca="false">'Assumption Setting'!$C$7*(1+'Assumption Setting'!$C$8)^((49-1)/12)</f>
        <v>65.01756344</v>
      </c>
      <c r="BD8" s="76" t="n">
        <f aca="false">'Assumption Setting'!$C$7*(1+'Assumption Setting'!$C$8)^((50-1)/12)</f>
        <v>65.3340397176796</v>
      </c>
      <c r="BE8" s="76" t="n">
        <f aca="false">'Assumption Setting'!$C$7*(1+'Assumption Setting'!$C$8)^((51-1)/12)</f>
        <v>65.6520564596436</v>
      </c>
      <c r="BF8" s="76" t="n">
        <f aca="false">'Assumption Setting'!$C$7*(1+'Assumption Setting'!$C$8)^((52-1)/12)</f>
        <v>65.9716211641796</v>
      </c>
      <c r="BG8" s="76" t="n">
        <f aca="false">'Assumption Setting'!$C$7*(1+'Assumption Setting'!$C$8)^((53-1)/12)</f>
        <v>66.2927413660739</v>
      </c>
      <c r="BH8" s="76" t="n">
        <f aca="false">'Assumption Setting'!$C$7*(1+'Assumption Setting'!$C$8)^((54-1)/12)</f>
        <v>66.6154246367885</v>
      </c>
      <c r="BI8" s="76" t="n">
        <f aca="false">'Assumption Setting'!$C$7*(1+'Assumption Setting'!$C$8)^((55-1)/12)</f>
        <v>66.9396785846399</v>
      </c>
      <c r="BJ8" s="76" t="n">
        <f aca="false">'Assumption Setting'!$C$7*(1+'Assumption Setting'!$C$8)^((56-1)/12)</f>
        <v>67.2655108549784</v>
      </c>
      <c r="BK8" s="76" t="n">
        <f aca="false">'Assumption Setting'!$C$7*(1+'Assumption Setting'!$C$8)^((57-1)/12)</f>
        <v>67.5929291303687</v>
      </c>
      <c r="BL8" s="76" t="n">
        <f aca="false">'Assumption Setting'!$C$7*(1+'Assumption Setting'!$C$8)^((58-1)/12)</f>
        <v>67.9219411307704</v>
      </c>
      <c r="BM8" s="76" t="n">
        <f aca="false">'Assumption Setting'!$C$7*(1+'Assumption Setting'!$C$8)^((59-1)/12)</f>
        <v>68.2525546137206</v>
      </c>
      <c r="BN8" s="76" t="n">
        <f aca="false">'Assumption Setting'!$C$7*(1+'Assumption Setting'!$C$8)^((60-1)/12)</f>
        <v>68.5847773745168</v>
      </c>
    </row>
    <row r="9" customFormat="false" ht="15" hidden="false" customHeight="false" outlineLevel="0" collapsed="false">
      <c r="A9" s="4" t="s">
        <v>656</v>
      </c>
      <c r="B9" s="77" t="n">
        <f aca="false">N9</f>
        <v>1</v>
      </c>
      <c r="C9" s="78" t="n">
        <f aca="false">'Assumption Setting'!$C$96</f>
        <v>1</v>
      </c>
      <c r="D9" s="78" t="n">
        <f aca="false">'Assumption Setting'!$C$96</f>
        <v>1</v>
      </c>
      <c r="E9" s="78" t="n">
        <f aca="false">'Assumption Setting'!$C$96</f>
        <v>1</v>
      </c>
      <c r="F9" s="78" t="n">
        <f aca="false">'Assumption Setting'!$C$96</f>
        <v>1</v>
      </c>
      <c r="G9" s="78" t="n">
        <f aca="false">'Assumption Setting'!$C$96</f>
        <v>1</v>
      </c>
      <c r="H9" s="78" t="n">
        <f aca="false">'Assumption Setting'!$C$96</f>
        <v>1</v>
      </c>
      <c r="I9" s="78" t="n">
        <f aca="false">'Assumption Setting'!$C$96</f>
        <v>1</v>
      </c>
      <c r="J9" s="78" t="n">
        <f aca="false">'Assumption Setting'!$C$96</f>
        <v>1</v>
      </c>
      <c r="K9" s="78" t="n">
        <f aca="false">'Assumption Setting'!$C$96</f>
        <v>1</v>
      </c>
      <c r="L9" s="78" t="n">
        <f aca="false">'Assumption Setting'!$C$96</f>
        <v>1</v>
      </c>
      <c r="M9" s="78" t="n">
        <f aca="false">'Assumption Setting'!$C$96</f>
        <v>1</v>
      </c>
      <c r="N9" s="78" t="n">
        <f aca="false">'Assumption Setting'!$C$96</f>
        <v>1</v>
      </c>
      <c r="O9" s="77" t="n">
        <f aca="false">AA9</f>
        <v>1.08</v>
      </c>
      <c r="P9" s="78" t="n">
        <f aca="false">'Assumption Setting'!$D$96</f>
        <v>1.08</v>
      </c>
      <c r="Q9" s="78" t="n">
        <f aca="false">'Assumption Setting'!$D$96</f>
        <v>1.08</v>
      </c>
      <c r="R9" s="78" t="n">
        <f aca="false">'Assumption Setting'!$D$96</f>
        <v>1.08</v>
      </c>
      <c r="S9" s="78" t="n">
        <f aca="false">'Assumption Setting'!$D$96</f>
        <v>1.08</v>
      </c>
      <c r="T9" s="78" t="n">
        <f aca="false">'Assumption Setting'!$D$96</f>
        <v>1.08</v>
      </c>
      <c r="U9" s="78" t="n">
        <f aca="false">'Assumption Setting'!$D$96</f>
        <v>1.08</v>
      </c>
      <c r="V9" s="78" t="n">
        <f aca="false">'Assumption Setting'!$D$96</f>
        <v>1.08</v>
      </c>
      <c r="W9" s="78" t="n">
        <f aca="false">'Assumption Setting'!$D$96</f>
        <v>1.08</v>
      </c>
      <c r="X9" s="78" t="n">
        <f aca="false">'Assumption Setting'!$D$96</f>
        <v>1.08</v>
      </c>
      <c r="Y9" s="78" t="n">
        <f aca="false">'Assumption Setting'!$D$96</f>
        <v>1.08</v>
      </c>
      <c r="Z9" s="78" t="n">
        <f aca="false">'Assumption Setting'!$D$96</f>
        <v>1.08</v>
      </c>
      <c r="AA9" s="78" t="n">
        <f aca="false">'Assumption Setting'!$D$96</f>
        <v>1.08</v>
      </c>
      <c r="AB9" s="77" t="n">
        <f aca="false">AN9</f>
        <v>1.1664</v>
      </c>
      <c r="AC9" s="78" t="n">
        <f aca="false">'Assumption Setting'!$E$96</f>
        <v>1.1664</v>
      </c>
      <c r="AD9" s="78" t="n">
        <f aca="false">'Assumption Setting'!$E$96</f>
        <v>1.1664</v>
      </c>
      <c r="AE9" s="78" t="n">
        <f aca="false">'Assumption Setting'!$E$96</f>
        <v>1.1664</v>
      </c>
      <c r="AF9" s="78" t="n">
        <f aca="false">'Assumption Setting'!$E$96</f>
        <v>1.1664</v>
      </c>
      <c r="AG9" s="78" t="n">
        <f aca="false">'Assumption Setting'!$E$96</f>
        <v>1.1664</v>
      </c>
      <c r="AH9" s="78" t="n">
        <f aca="false">'Assumption Setting'!$E$96</f>
        <v>1.1664</v>
      </c>
      <c r="AI9" s="78" t="n">
        <f aca="false">'Assumption Setting'!$E$96</f>
        <v>1.1664</v>
      </c>
      <c r="AJ9" s="78" t="n">
        <f aca="false">'Assumption Setting'!$E$96</f>
        <v>1.1664</v>
      </c>
      <c r="AK9" s="78" t="n">
        <f aca="false">'Assumption Setting'!$E$96</f>
        <v>1.1664</v>
      </c>
      <c r="AL9" s="78" t="n">
        <f aca="false">'Assumption Setting'!$E$96</f>
        <v>1.1664</v>
      </c>
      <c r="AM9" s="78" t="n">
        <f aca="false">'Assumption Setting'!$E$96</f>
        <v>1.1664</v>
      </c>
      <c r="AN9" s="78" t="n">
        <f aca="false">'Assumption Setting'!$E$96</f>
        <v>1.1664</v>
      </c>
      <c r="AO9" s="77" t="n">
        <f aca="false">BA9</f>
        <v>1.248048</v>
      </c>
      <c r="AP9" s="78" t="n">
        <f aca="false">'Assumption Setting'!$F$96</f>
        <v>1.248048</v>
      </c>
      <c r="AQ9" s="78" t="n">
        <f aca="false">'Assumption Setting'!$F$96</f>
        <v>1.248048</v>
      </c>
      <c r="AR9" s="78" t="n">
        <f aca="false">'Assumption Setting'!$F$96</f>
        <v>1.248048</v>
      </c>
      <c r="AS9" s="78" t="n">
        <f aca="false">'Assumption Setting'!$F$96</f>
        <v>1.248048</v>
      </c>
      <c r="AT9" s="78" t="n">
        <f aca="false">'Assumption Setting'!$F$96</f>
        <v>1.248048</v>
      </c>
      <c r="AU9" s="78" t="n">
        <f aca="false">'Assumption Setting'!$F$96</f>
        <v>1.248048</v>
      </c>
      <c r="AV9" s="78" t="n">
        <f aca="false">'Assumption Setting'!$F$96</f>
        <v>1.248048</v>
      </c>
      <c r="AW9" s="78" t="n">
        <f aca="false">'Assumption Setting'!$F$96</f>
        <v>1.248048</v>
      </c>
      <c r="AX9" s="78" t="n">
        <f aca="false">'Assumption Setting'!$F$96</f>
        <v>1.248048</v>
      </c>
      <c r="AY9" s="78" t="n">
        <f aca="false">'Assumption Setting'!$F$96</f>
        <v>1.248048</v>
      </c>
      <c r="AZ9" s="78" t="n">
        <f aca="false">'Assumption Setting'!$F$96</f>
        <v>1.248048</v>
      </c>
      <c r="BA9" s="78" t="n">
        <f aca="false">'Assumption Setting'!$F$96</f>
        <v>1.248048</v>
      </c>
      <c r="BB9" s="77" t="n">
        <f aca="false">BN9</f>
        <v>1.32293088</v>
      </c>
      <c r="BC9" s="78" t="n">
        <f aca="false">'Assumption Setting'!$G$96</f>
        <v>1.32293088</v>
      </c>
      <c r="BD9" s="78" t="n">
        <f aca="false">'Assumption Setting'!$G$96</f>
        <v>1.32293088</v>
      </c>
      <c r="BE9" s="78" t="n">
        <f aca="false">'Assumption Setting'!$G$96</f>
        <v>1.32293088</v>
      </c>
      <c r="BF9" s="78" t="n">
        <f aca="false">'Assumption Setting'!$G$96</f>
        <v>1.32293088</v>
      </c>
      <c r="BG9" s="78" t="n">
        <f aca="false">'Assumption Setting'!$G$96</f>
        <v>1.32293088</v>
      </c>
      <c r="BH9" s="78" t="n">
        <f aca="false">'Assumption Setting'!$G$96</f>
        <v>1.32293088</v>
      </c>
      <c r="BI9" s="78" t="n">
        <f aca="false">'Assumption Setting'!$G$96</f>
        <v>1.32293088</v>
      </c>
      <c r="BJ9" s="78" t="n">
        <f aca="false">'Assumption Setting'!$G$96</f>
        <v>1.32293088</v>
      </c>
      <c r="BK9" s="78" t="n">
        <f aca="false">'Assumption Setting'!$G$96</f>
        <v>1.32293088</v>
      </c>
      <c r="BL9" s="78" t="n">
        <f aca="false">'Assumption Setting'!$G$96</f>
        <v>1.32293088</v>
      </c>
      <c r="BM9" s="78" t="n">
        <f aca="false">'Assumption Setting'!$G$96</f>
        <v>1.32293088</v>
      </c>
      <c r="BN9" s="78" t="n">
        <f aca="false">'Assumption Setting'!$G$96</f>
        <v>1.32293088</v>
      </c>
    </row>
    <row r="10" customFormat="false" ht="15" hidden="false" customHeight="false" outlineLevel="0" collapsed="false">
      <c r="A10" s="4" t="s">
        <v>657</v>
      </c>
      <c r="B10" s="77" t="n">
        <f aca="false">N10</f>
        <v>1</v>
      </c>
      <c r="C10" s="78" t="n">
        <f aca="false">'Assumption Setting'!$C$112</f>
        <v>1</v>
      </c>
      <c r="D10" s="78" t="n">
        <f aca="false">'Assumption Setting'!$C$112</f>
        <v>1</v>
      </c>
      <c r="E10" s="78" t="n">
        <f aca="false">'Assumption Setting'!$C$112</f>
        <v>1</v>
      </c>
      <c r="F10" s="78" t="n">
        <f aca="false">'Assumption Setting'!$C$112</f>
        <v>1</v>
      </c>
      <c r="G10" s="78" t="n">
        <f aca="false">'Assumption Setting'!$C$112</f>
        <v>1</v>
      </c>
      <c r="H10" s="78" t="n">
        <f aca="false">'Assumption Setting'!$C$112</f>
        <v>1</v>
      </c>
      <c r="I10" s="78" t="n">
        <f aca="false">'Assumption Setting'!$C$112</f>
        <v>1</v>
      </c>
      <c r="J10" s="78" t="n">
        <f aca="false">'Assumption Setting'!$C$112</f>
        <v>1</v>
      </c>
      <c r="K10" s="78" t="n">
        <f aca="false">'Assumption Setting'!$C$112</f>
        <v>1</v>
      </c>
      <c r="L10" s="78" t="n">
        <f aca="false">'Assumption Setting'!$C$112</f>
        <v>1</v>
      </c>
      <c r="M10" s="78" t="n">
        <f aca="false">'Assumption Setting'!$C$112</f>
        <v>1</v>
      </c>
      <c r="N10" s="78" t="n">
        <f aca="false">'Assumption Setting'!$C$112</f>
        <v>1</v>
      </c>
      <c r="O10" s="77" t="n">
        <f aca="false">AA10</f>
        <v>1.12</v>
      </c>
      <c r="P10" s="78" t="n">
        <f aca="false">'Assumption Setting'!$D$112</f>
        <v>1.12</v>
      </c>
      <c r="Q10" s="78" t="n">
        <f aca="false">'Assumption Setting'!$D$112</f>
        <v>1.12</v>
      </c>
      <c r="R10" s="78" t="n">
        <f aca="false">'Assumption Setting'!$D$112</f>
        <v>1.12</v>
      </c>
      <c r="S10" s="78" t="n">
        <f aca="false">'Assumption Setting'!$D$112</f>
        <v>1.12</v>
      </c>
      <c r="T10" s="78" t="n">
        <f aca="false">'Assumption Setting'!$D$112</f>
        <v>1.12</v>
      </c>
      <c r="U10" s="78" t="n">
        <f aca="false">'Assumption Setting'!$D$112</f>
        <v>1.12</v>
      </c>
      <c r="V10" s="78" t="n">
        <f aca="false">'Assumption Setting'!$D$112</f>
        <v>1.12</v>
      </c>
      <c r="W10" s="78" t="n">
        <f aca="false">'Assumption Setting'!$D$112</f>
        <v>1.12</v>
      </c>
      <c r="X10" s="78" t="n">
        <f aca="false">'Assumption Setting'!$D$112</f>
        <v>1.12</v>
      </c>
      <c r="Y10" s="78" t="n">
        <f aca="false">'Assumption Setting'!$D$112</f>
        <v>1.12</v>
      </c>
      <c r="Z10" s="78" t="n">
        <f aca="false">'Assumption Setting'!$D$112</f>
        <v>1.12</v>
      </c>
      <c r="AA10" s="78" t="n">
        <f aca="false">'Assumption Setting'!$D$112</f>
        <v>1.12</v>
      </c>
      <c r="AB10" s="77" t="n">
        <f aca="false">AN10</f>
        <v>1.2544</v>
      </c>
      <c r="AC10" s="78" t="n">
        <f aca="false">'Assumption Setting'!$E$112</f>
        <v>1.2544</v>
      </c>
      <c r="AD10" s="78" t="n">
        <f aca="false">'Assumption Setting'!$E$112</f>
        <v>1.2544</v>
      </c>
      <c r="AE10" s="78" t="n">
        <f aca="false">'Assumption Setting'!$E$112</f>
        <v>1.2544</v>
      </c>
      <c r="AF10" s="78" t="n">
        <f aca="false">'Assumption Setting'!$E$112</f>
        <v>1.2544</v>
      </c>
      <c r="AG10" s="78" t="n">
        <f aca="false">'Assumption Setting'!$E$112</f>
        <v>1.2544</v>
      </c>
      <c r="AH10" s="78" t="n">
        <f aca="false">'Assumption Setting'!$E$112</f>
        <v>1.2544</v>
      </c>
      <c r="AI10" s="78" t="n">
        <f aca="false">'Assumption Setting'!$E$112</f>
        <v>1.2544</v>
      </c>
      <c r="AJ10" s="78" t="n">
        <f aca="false">'Assumption Setting'!$E$112</f>
        <v>1.2544</v>
      </c>
      <c r="AK10" s="78" t="n">
        <f aca="false">'Assumption Setting'!$E$112</f>
        <v>1.2544</v>
      </c>
      <c r="AL10" s="78" t="n">
        <f aca="false">'Assumption Setting'!$E$112</f>
        <v>1.2544</v>
      </c>
      <c r="AM10" s="78" t="n">
        <f aca="false">'Assumption Setting'!$E$112</f>
        <v>1.2544</v>
      </c>
      <c r="AN10" s="78" t="n">
        <f aca="false">'Assumption Setting'!$E$112</f>
        <v>1.2544</v>
      </c>
      <c r="AO10" s="77" t="n">
        <f aca="false">BA10</f>
        <v>1.392384</v>
      </c>
      <c r="AP10" s="78" t="n">
        <f aca="false">'Assumption Setting'!$F$112</f>
        <v>1.392384</v>
      </c>
      <c r="AQ10" s="78" t="n">
        <f aca="false">'Assumption Setting'!$F$112</f>
        <v>1.392384</v>
      </c>
      <c r="AR10" s="78" t="n">
        <f aca="false">'Assumption Setting'!$F$112</f>
        <v>1.392384</v>
      </c>
      <c r="AS10" s="78" t="n">
        <f aca="false">'Assumption Setting'!$F$112</f>
        <v>1.392384</v>
      </c>
      <c r="AT10" s="78" t="n">
        <f aca="false">'Assumption Setting'!$F$112</f>
        <v>1.392384</v>
      </c>
      <c r="AU10" s="78" t="n">
        <f aca="false">'Assumption Setting'!$F$112</f>
        <v>1.392384</v>
      </c>
      <c r="AV10" s="78" t="n">
        <f aca="false">'Assumption Setting'!$F$112</f>
        <v>1.392384</v>
      </c>
      <c r="AW10" s="78" t="n">
        <f aca="false">'Assumption Setting'!$F$112</f>
        <v>1.392384</v>
      </c>
      <c r="AX10" s="78" t="n">
        <f aca="false">'Assumption Setting'!$F$112</f>
        <v>1.392384</v>
      </c>
      <c r="AY10" s="78" t="n">
        <f aca="false">'Assumption Setting'!$F$112</f>
        <v>1.392384</v>
      </c>
      <c r="AZ10" s="78" t="n">
        <f aca="false">'Assumption Setting'!$F$112</f>
        <v>1.392384</v>
      </c>
      <c r="BA10" s="78" t="n">
        <f aca="false">'Assumption Setting'!$F$112</f>
        <v>1.392384</v>
      </c>
      <c r="BB10" s="77" t="n">
        <f aca="false">BN10</f>
        <v>1.5316224</v>
      </c>
      <c r="BC10" s="78" t="n">
        <f aca="false">'Assumption Setting'!$G$112</f>
        <v>1.5316224</v>
      </c>
      <c r="BD10" s="78" t="n">
        <f aca="false">'Assumption Setting'!$G$112</f>
        <v>1.5316224</v>
      </c>
      <c r="BE10" s="78" t="n">
        <f aca="false">'Assumption Setting'!$G$112</f>
        <v>1.5316224</v>
      </c>
      <c r="BF10" s="78" t="n">
        <f aca="false">'Assumption Setting'!$G$112</f>
        <v>1.5316224</v>
      </c>
      <c r="BG10" s="78" t="n">
        <f aca="false">'Assumption Setting'!$G$112</f>
        <v>1.5316224</v>
      </c>
      <c r="BH10" s="78" t="n">
        <f aca="false">'Assumption Setting'!$G$112</f>
        <v>1.5316224</v>
      </c>
      <c r="BI10" s="78" t="n">
        <f aca="false">'Assumption Setting'!$G$112</f>
        <v>1.5316224</v>
      </c>
      <c r="BJ10" s="78" t="n">
        <f aca="false">'Assumption Setting'!$G$112</f>
        <v>1.5316224</v>
      </c>
      <c r="BK10" s="78" t="n">
        <f aca="false">'Assumption Setting'!$G$112</f>
        <v>1.5316224</v>
      </c>
      <c r="BL10" s="78" t="n">
        <f aca="false">'Assumption Setting'!$G$112</f>
        <v>1.5316224</v>
      </c>
      <c r="BM10" s="78" t="n">
        <f aca="false">'Assumption Setting'!$G$112</f>
        <v>1.5316224</v>
      </c>
      <c r="BN10" s="78" t="n">
        <f aca="false">'Assumption Setting'!$G$112</f>
        <v>1.5316224</v>
      </c>
    </row>
    <row r="11" customFormat="false" ht="15" hidden="false" customHeight="false" outlineLevel="0" collapsed="false">
      <c r="A11" s="4" t="s">
        <v>658</v>
      </c>
      <c r="B11" s="77" t="n">
        <f aca="false">N11</f>
        <v>1</v>
      </c>
      <c r="C11" s="78" t="n">
        <f aca="false">'Assumption Setting'!$C$161</f>
        <v>1</v>
      </c>
      <c r="D11" s="78" t="n">
        <f aca="false">'Assumption Setting'!$C$161</f>
        <v>1</v>
      </c>
      <c r="E11" s="78" t="n">
        <f aca="false">'Assumption Setting'!$C$161</f>
        <v>1</v>
      </c>
      <c r="F11" s="78" t="n">
        <f aca="false">'Assumption Setting'!$C$161</f>
        <v>1</v>
      </c>
      <c r="G11" s="78" t="n">
        <f aca="false">'Assumption Setting'!$C$161</f>
        <v>1</v>
      </c>
      <c r="H11" s="78" t="n">
        <f aca="false">'Assumption Setting'!$C$161</f>
        <v>1</v>
      </c>
      <c r="I11" s="78" t="n">
        <f aca="false">'Assumption Setting'!$C$161</f>
        <v>1</v>
      </c>
      <c r="J11" s="78" t="n">
        <f aca="false">'Assumption Setting'!$C$161</f>
        <v>1</v>
      </c>
      <c r="K11" s="78" t="n">
        <f aca="false">'Assumption Setting'!$C$161</f>
        <v>1</v>
      </c>
      <c r="L11" s="78" t="n">
        <f aca="false">'Assumption Setting'!$C$161</f>
        <v>1</v>
      </c>
      <c r="M11" s="78" t="n">
        <f aca="false">'Assumption Setting'!$C$161</f>
        <v>1</v>
      </c>
      <c r="N11" s="78" t="n">
        <f aca="false">'Assumption Setting'!$C$161</f>
        <v>1</v>
      </c>
      <c r="O11" s="77" t="n">
        <f aca="false">AA11</f>
        <v>1.08</v>
      </c>
      <c r="P11" s="78" t="n">
        <f aca="false">'Assumption Setting'!$D$161</f>
        <v>1.08</v>
      </c>
      <c r="Q11" s="78" t="n">
        <f aca="false">'Assumption Setting'!$D$161</f>
        <v>1.08</v>
      </c>
      <c r="R11" s="78" t="n">
        <f aca="false">'Assumption Setting'!$D$161</f>
        <v>1.08</v>
      </c>
      <c r="S11" s="78" t="n">
        <f aca="false">'Assumption Setting'!$D$161</f>
        <v>1.08</v>
      </c>
      <c r="T11" s="78" t="n">
        <f aca="false">'Assumption Setting'!$D$161</f>
        <v>1.08</v>
      </c>
      <c r="U11" s="78" t="n">
        <f aca="false">'Assumption Setting'!$D$161</f>
        <v>1.08</v>
      </c>
      <c r="V11" s="78" t="n">
        <f aca="false">'Assumption Setting'!$D$161</f>
        <v>1.08</v>
      </c>
      <c r="W11" s="78" t="n">
        <f aca="false">'Assumption Setting'!$D$161</f>
        <v>1.08</v>
      </c>
      <c r="X11" s="78" t="n">
        <f aca="false">'Assumption Setting'!$D$161</f>
        <v>1.08</v>
      </c>
      <c r="Y11" s="78" t="n">
        <f aca="false">'Assumption Setting'!$D$161</f>
        <v>1.08</v>
      </c>
      <c r="Z11" s="78" t="n">
        <f aca="false">'Assumption Setting'!$D$161</f>
        <v>1.08</v>
      </c>
      <c r="AA11" s="78" t="n">
        <f aca="false">'Assumption Setting'!$D$161</f>
        <v>1.08</v>
      </c>
      <c r="AB11" s="77" t="n">
        <f aca="false">AN11</f>
        <v>1.1664</v>
      </c>
      <c r="AC11" s="78" t="n">
        <f aca="false">'Assumption Setting'!$E$161</f>
        <v>1.1664</v>
      </c>
      <c r="AD11" s="78" t="n">
        <f aca="false">'Assumption Setting'!$E$161</f>
        <v>1.1664</v>
      </c>
      <c r="AE11" s="78" t="n">
        <f aca="false">'Assumption Setting'!$E$161</f>
        <v>1.1664</v>
      </c>
      <c r="AF11" s="78" t="n">
        <f aca="false">'Assumption Setting'!$E$161</f>
        <v>1.1664</v>
      </c>
      <c r="AG11" s="78" t="n">
        <f aca="false">'Assumption Setting'!$E$161</f>
        <v>1.1664</v>
      </c>
      <c r="AH11" s="78" t="n">
        <f aca="false">'Assumption Setting'!$E$161</f>
        <v>1.1664</v>
      </c>
      <c r="AI11" s="78" t="n">
        <f aca="false">'Assumption Setting'!$E$161</f>
        <v>1.1664</v>
      </c>
      <c r="AJ11" s="78" t="n">
        <f aca="false">'Assumption Setting'!$E$161</f>
        <v>1.1664</v>
      </c>
      <c r="AK11" s="78" t="n">
        <f aca="false">'Assumption Setting'!$E$161</f>
        <v>1.1664</v>
      </c>
      <c r="AL11" s="78" t="n">
        <f aca="false">'Assumption Setting'!$E$161</f>
        <v>1.1664</v>
      </c>
      <c r="AM11" s="78" t="n">
        <f aca="false">'Assumption Setting'!$E$161</f>
        <v>1.1664</v>
      </c>
      <c r="AN11" s="78" t="n">
        <f aca="false">'Assumption Setting'!$E$161</f>
        <v>1.1664</v>
      </c>
      <c r="AO11" s="77" t="n">
        <f aca="false">BA11</f>
        <v>1.248048</v>
      </c>
      <c r="AP11" s="78" t="n">
        <f aca="false">'Assumption Setting'!$F$161</f>
        <v>1.248048</v>
      </c>
      <c r="AQ11" s="78" t="n">
        <f aca="false">'Assumption Setting'!$F$161</f>
        <v>1.248048</v>
      </c>
      <c r="AR11" s="78" t="n">
        <f aca="false">'Assumption Setting'!$F$161</f>
        <v>1.248048</v>
      </c>
      <c r="AS11" s="78" t="n">
        <f aca="false">'Assumption Setting'!$F$161</f>
        <v>1.248048</v>
      </c>
      <c r="AT11" s="78" t="n">
        <f aca="false">'Assumption Setting'!$F$161</f>
        <v>1.248048</v>
      </c>
      <c r="AU11" s="78" t="n">
        <f aca="false">'Assumption Setting'!$F$161</f>
        <v>1.248048</v>
      </c>
      <c r="AV11" s="78" t="n">
        <f aca="false">'Assumption Setting'!$F$161</f>
        <v>1.248048</v>
      </c>
      <c r="AW11" s="78" t="n">
        <f aca="false">'Assumption Setting'!$F$161</f>
        <v>1.248048</v>
      </c>
      <c r="AX11" s="78" t="n">
        <f aca="false">'Assumption Setting'!$F$161</f>
        <v>1.248048</v>
      </c>
      <c r="AY11" s="78" t="n">
        <f aca="false">'Assumption Setting'!$F$161</f>
        <v>1.248048</v>
      </c>
      <c r="AZ11" s="78" t="n">
        <f aca="false">'Assumption Setting'!$F$161</f>
        <v>1.248048</v>
      </c>
      <c r="BA11" s="78" t="n">
        <f aca="false">'Assumption Setting'!$F$161</f>
        <v>1.248048</v>
      </c>
      <c r="BB11" s="77" t="n">
        <f aca="false">BN11</f>
        <v>1.32293088</v>
      </c>
      <c r="BC11" s="78" t="n">
        <f aca="false">'Assumption Setting'!$G$161</f>
        <v>1.32293088</v>
      </c>
      <c r="BD11" s="78" t="n">
        <f aca="false">'Assumption Setting'!$G$161</f>
        <v>1.32293088</v>
      </c>
      <c r="BE11" s="78" t="n">
        <f aca="false">'Assumption Setting'!$G$161</f>
        <v>1.32293088</v>
      </c>
      <c r="BF11" s="78" t="n">
        <f aca="false">'Assumption Setting'!$G$161</f>
        <v>1.32293088</v>
      </c>
      <c r="BG11" s="78" t="n">
        <f aca="false">'Assumption Setting'!$G$161</f>
        <v>1.32293088</v>
      </c>
      <c r="BH11" s="78" t="n">
        <f aca="false">'Assumption Setting'!$G$161</f>
        <v>1.32293088</v>
      </c>
      <c r="BI11" s="78" t="n">
        <f aca="false">'Assumption Setting'!$G$161</f>
        <v>1.32293088</v>
      </c>
      <c r="BJ11" s="78" t="n">
        <f aca="false">'Assumption Setting'!$G$161</f>
        <v>1.32293088</v>
      </c>
      <c r="BK11" s="78" t="n">
        <f aca="false">'Assumption Setting'!$G$161</f>
        <v>1.32293088</v>
      </c>
      <c r="BL11" s="78" t="n">
        <f aca="false">'Assumption Setting'!$G$161</f>
        <v>1.32293088</v>
      </c>
      <c r="BM11" s="78" t="n">
        <f aca="false">'Assumption Setting'!$G$161</f>
        <v>1.32293088</v>
      </c>
      <c r="BN11" s="78" t="n">
        <f aca="false">'Assumption Setting'!$G$161</f>
        <v>1.32293088</v>
      </c>
    </row>
    <row r="12" customFormat="false" ht="15" hidden="false" customHeight="false" outlineLevel="0" collapsed="false">
      <c r="A12" s="4" t="s">
        <v>659</v>
      </c>
      <c r="B12" s="77" t="n">
        <f aca="false">N12</f>
        <v>1</v>
      </c>
      <c r="C12" s="79" t="n">
        <f aca="false">(1+Payroll!$C$37)^0</f>
        <v>1</v>
      </c>
      <c r="D12" s="79" t="n">
        <f aca="false">(1+Payroll!$C$37)^0</f>
        <v>1</v>
      </c>
      <c r="E12" s="79" t="n">
        <f aca="false">(1+Payroll!$C$37)^0</f>
        <v>1</v>
      </c>
      <c r="F12" s="79" t="n">
        <f aca="false">(1+Payroll!$C$37)^0</f>
        <v>1</v>
      </c>
      <c r="G12" s="79" t="n">
        <f aca="false">(1+Payroll!$C$37)^0</f>
        <v>1</v>
      </c>
      <c r="H12" s="79" t="n">
        <f aca="false">(1+Payroll!$C$37)^0</f>
        <v>1</v>
      </c>
      <c r="I12" s="79" t="n">
        <f aca="false">(1+Payroll!$C$37)^0</f>
        <v>1</v>
      </c>
      <c r="J12" s="79" t="n">
        <f aca="false">(1+Payroll!$C$37)^0</f>
        <v>1</v>
      </c>
      <c r="K12" s="79" t="n">
        <f aca="false">(1+Payroll!$C$37)^0</f>
        <v>1</v>
      </c>
      <c r="L12" s="79" t="n">
        <f aca="false">(1+Payroll!$C$37)^0</f>
        <v>1</v>
      </c>
      <c r="M12" s="79" t="n">
        <f aca="false">(1+Payroll!$C$37)^0</f>
        <v>1</v>
      </c>
      <c r="N12" s="79" t="n">
        <f aca="false">(1+Payroll!$C$37)^0</f>
        <v>1</v>
      </c>
      <c r="O12" s="77" t="n">
        <f aca="false">AA12</f>
        <v>1.12</v>
      </c>
      <c r="P12" s="79" t="n">
        <f aca="false">(1+Payroll!$C$37)^1</f>
        <v>1.12</v>
      </c>
      <c r="Q12" s="79" t="n">
        <f aca="false">(1+Payroll!$C$37)^1</f>
        <v>1.12</v>
      </c>
      <c r="R12" s="79" t="n">
        <f aca="false">(1+Payroll!$C$37)^1</f>
        <v>1.12</v>
      </c>
      <c r="S12" s="79" t="n">
        <f aca="false">(1+Payroll!$C$37)^1</f>
        <v>1.12</v>
      </c>
      <c r="T12" s="79" t="n">
        <f aca="false">(1+Payroll!$C$37)^1</f>
        <v>1.12</v>
      </c>
      <c r="U12" s="79" t="n">
        <f aca="false">(1+Payroll!$C$37)^1</f>
        <v>1.12</v>
      </c>
      <c r="V12" s="79" t="n">
        <f aca="false">(1+Payroll!$C$37)^1</f>
        <v>1.12</v>
      </c>
      <c r="W12" s="79" t="n">
        <f aca="false">(1+Payroll!$C$37)^1</f>
        <v>1.12</v>
      </c>
      <c r="X12" s="79" t="n">
        <f aca="false">(1+Payroll!$C$37)^1</f>
        <v>1.12</v>
      </c>
      <c r="Y12" s="79" t="n">
        <f aca="false">(1+Payroll!$C$37)^1</f>
        <v>1.12</v>
      </c>
      <c r="Z12" s="79" t="n">
        <f aca="false">(1+Payroll!$C$37)^1</f>
        <v>1.12</v>
      </c>
      <c r="AA12" s="79" t="n">
        <f aca="false">(1+Payroll!$C$37)^1</f>
        <v>1.12</v>
      </c>
      <c r="AB12" s="77" t="n">
        <f aca="false">AN12</f>
        <v>1.2544</v>
      </c>
      <c r="AC12" s="79" t="n">
        <f aca="false">(1+Payroll!$C$37)^2</f>
        <v>1.2544</v>
      </c>
      <c r="AD12" s="79" t="n">
        <f aca="false">(1+Payroll!$C$37)^2</f>
        <v>1.2544</v>
      </c>
      <c r="AE12" s="79" t="n">
        <f aca="false">(1+Payroll!$C$37)^2</f>
        <v>1.2544</v>
      </c>
      <c r="AF12" s="79" t="n">
        <f aca="false">(1+Payroll!$C$37)^2</f>
        <v>1.2544</v>
      </c>
      <c r="AG12" s="79" t="n">
        <f aca="false">(1+Payroll!$C$37)^2</f>
        <v>1.2544</v>
      </c>
      <c r="AH12" s="79" t="n">
        <f aca="false">(1+Payroll!$C$37)^2</f>
        <v>1.2544</v>
      </c>
      <c r="AI12" s="79" t="n">
        <f aca="false">(1+Payroll!$C$37)^2</f>
        <v>1.2544</v>
      </c>
      <c r="AJ12" s="79" t="n">
        <f aca="false">(1+Payroll!$C$37)^2</f>
        <v>1.2544</v>
      </c>
      <c r="AK12" s="79" t="n">
        <f aca="false">(1+Payroll!$C$37)^2</f>
        <v>1.2544</v>
      </c>
      <c r="AL12" s="79" t="n">
        <f aca="false">(1+Payroll!$C$37)^2</f>
        <v>1.2544</v>
      </c>
      <c r="AM12" s="79" t="n">
        <f aca="false">(1+Payroll!$C$37)^2</f>
        <v>1.2544</v>
      </c>
      <c r="AN12" s="79" t="n">
        <f aca="false">(1+Payroll!$C$37)^2</f>
        <v>1.2544</v>
      </c>
      <c r="AO12" s="77" t="n">
        <f aca="false">BA12</f>
        <v>1.404928</v>
      </c>
      <c r="AP12" s="79" t="n">
        <f aca="false">(1+Payroll!$C$37)^3</f>
        <v>1.404928</v>
      </c>
      <c r="AQ12" s="79" t="n">
        <f aca="false">(1+Payroll!$C$37)^3</f>
        <v>1.404928</v>
      </c>
      <c r="AR12" s="79" t="n">
        <f aca="false">(1+Payroll!$C$37)^3</f>
        <v>1.404928</v>
      </c>
      <c r="AS12" s="79" t="n">
        <f aca="false">(1+Payroll!$C$37)^3</f>
        <v>1.404928</v>
      </c>
      <c r="AT12" s="79" t="n">
        <f aca="false">(1+Payroll!$C$37)^3</f>
        <v>1.404928</v>
      </c>
      <c r="AU12" s="79" t="n">
        <f aca="false">(1+Payroll!$C$37)^3</f>
        <v>1.404928</v>
      </c>
      <c r="AV12" s="79" t="n">
        <f aca="false">(1+Payroll!$C$37)^3</f>
        <v>1.404928</v>
      </c>
      <c r="AW12" s="79" t="n">
        <f aca="false">(1+Payroll!$C$37)^3</f>
        <v>1.404928</v>
      </c>
      <c r="AX12" s="79" t="n">
        <f aca="false">(1+Payroll!$C$37)^3</f>
        <v>1.404928</v>
      </c>
      <c r="AY12" s="79" t="n">
        <f aca="false">(1+Payroll!$C$37)^3</f>
        <v>1.404928</v>
      </c>
      <c r="AZ12" s="79" t="n">
        <f aca="false">(1+Payroll!$C$37)^3</f>
        <v>1.404928</v>
      </c>
      <c r="BA12" s="79" t="n">
        <f aca="false">(1+Payroll!$C$37)^3</f>
        <v>1.404928</v>
      </c>
      <c r="BB12" s="77" t="n">
        <f aca="false">BN12</f>
        <v>1.57351936</v>
      </c>
      <c r="BC12" s="79" t="n">
        <f aca="false">(1+Payroll!$C$37)^4</f>
        <v>1.57351936</v>
      </c>
      <c r="BD12" s="79" t="n">
        <f aca="false">(1+Payroll!$C$37)^4</f>
        <v>1.57351936</v>
      </c>
      <c r="BE12" s="79" t="n">
        <f aca="false">(1+Payroll!$C$37)^4</f>
        <v>1.57351936</v>
      </c>
      <c r="BF12" s="79" t="n">
        <f aca="false">(1+Payroll!$C$37)^4</f>
        <v>1.57351936</v>
      </c>
      <c r="BG12" s="79" t="n">
        <f aca="false">(1+Payroll!$C$37)^4</f>
        <v>1.57351936</v>
      </c>
      <c r="BH12" s="79" t="n">
        <f aca="false">(1+Payroll!$C$37)^4</f>
        <v>1.57351936</v>
      </c>
      <c r="BI12" s="79" t="n">
        <f aca="false">(1+Payroll!$C$37)^4</f>
        <v>1.57351936</v>
      </c>
      <c r="BJ12" s="79" t="n">
        <f aca="false">(1+Payroll!$C$37)^4</f>
        <v>1.57351936</v>
      </c>
      <c r="BK12" s="79" t="n">
        <f aca="false">(1+Payroll!$C$37)^4</f>
        <v>1.57351936</v>
      </c>
      <c r="BL12" s="79" t="n">
        <f aca="false">(1+Payroll!$C$37)^4</f>
        <v>1.57351936</v>
      </c>
      <c r="BM12" s="79" t="n">
        <f aca="false">(1+Payroll!$C$37)^4</f>
        <v>1.57351936</v>
      </c>
      <c r="BN12" s="79" t="n">
        <f aca="false">(1+Payroll!$C$37)^4</f>
        <v>1.57351936</v>
      </c>
    </row>
    <row r="13" customFormat="false" ht="15" hidden="false" customHeight="false" outlineLevel="0" collapsed="false">
      <c r="A13" s="4" t="s">
        <v>660</v>
      </c>
      <c r="B13" s="69" t="n">
        <f aca="false">N13</f>
        <v>19300</v>
      </c>
      <c r="C13" s="72" t="n">
        <f aca="false">Payroll!$C$38*(1+Payroll!$C$40)^0</f>
        <v>19300</v>
      </c>
      <c r="D13" s="72" t="n">
        <f aca="false">Payroll!$C$38*(1+Payroll!$C$40)^0</f>
        <v>19300</v>
      </c>
      <c r="E13" s="72" t="n">
        <f aca="false">Payroll!$C$38*(1+Payroll!$C$40)^0</f>
        <v>19300</v>
      </c>
      <c r="F13" s="72" t="n">
        <f aca="false">Payroll!$C$38*(1+Payroll!$C$40)^0</f>
        <v>19300</v>
      </c>
      <c r="G13" s="72" t="n">
        <f aca="false">Payroll!$C$38*(1+Payroll!$C$40)^0</f>
        <v>19300</v>
      </c>
      <c r="H13" s="72" t="n">
        <f aca="false">Payroll!$C$38*(1+Payroll!$C$40)^0</f>
        <v>19300</v>
      </c>
      <c r="I13" s="72" t="n">
        <f aca="false">Payroll!$C$38*(1+Payroll!$C$40)^0</f>
        <v>19300</v>
      </c>
      <c r="J13" s="72" t="n">
        <f aca="false">Payroll!$C$38*(1+Payroll!$C$40)^0</f>
        <v>19300</v>
      </c>
      <c r="K13" s="72" t="n">
        <f aca="false">Payroll!$C$38*(1+Payroll!$C$40)^0</f>
        <v>19300</v>
      </c>
      <c r="L13" s="72" t="n">
        <f aca="false">Payroll!$C$38*(1+Payroll!$C$40)^0</f>
        <v>19300</v>
      </c>
      <c r="M13" s="72" t="n">
        <f aca="false">Payroll!$C$38*(1+Payroll!$C$40)^0</f>
        <v>19300</v>
      </c>
      <c r="N13" s="72" t="n">
        <f aca="false">Payroll!$C$38*(1+Payroll!$C$40)^0</f>
        <v>19300</v>
      </c>
      <c r="O13" s="69" t="n">
        <f aca="false">AA13</f>
        <v>22195</v>
      </c>
      <c r="P13" s="72" t="n">
        <f aca="false">Payroll!$C$38*(1+Payroll!$C$40)^1</f>
        <v>22195</v>
      </c>
      <c r="Q13" s="72" t="n">
        <f aca="false">Payroll!$C$38*(1+Payroll!$C$40)^1</f>
        <v>22195</v>
      </c>
      <c r="R13" s="72" t="n">
        <f aca="false">Payroll!$C$38*(1+Payroll!$C$40)^1</f>
        <v>22195</v>
      </c>
      <c r="S13" s="72" t="n">
        <f aca="false">Payroll!$C$38*(1+Payroll!$C$40)^1</f>
        <v>22195</v>
      </c>
      <c r="T13" s="72" t="n">
        <f aca="false">Payroll!$C$38*(1+Payroll!$C$40)^1</f>
        <v>22195</v>
      </c>
      <c r="U13" s="72" t="n">
        <f aca="false">Payroll!$C$38*(1+Payroll!$C$40)^1</f>
        <v>22195</v>
      </c>
      <c r="V13" s="72" t="n">
        <f aca="false">Payroll!$C$38*(1+Payroll!$C$40)^1</f>
        <v>22195</v>
      </c>
      <c r="W13" s="72" t="n">
        <f aca="false">Payroll!$C$38*(1+Payroll!$C$40)^1</f>
        <v>22195</v>
      </c>
      <c r="X13" s="72" t="n">
        <f aca="false">Payroll!$C$38*(1+Payroll!$C$40)^1</f>
        <v>22195</v>
      </c>
      <c r="Y13" s="72" t="n">
        <f aca="false">Payroll!$C$38*(1+Payroll!$C$40)^1</f>
        <v>22195</v>
      </c>
      <c r="Z13" s="72" t="n">
        <f aca="false">Payroll!$C$38*(1+Payroll!$C$40)^1</f>
        <v>22195</v>
      </c>
      <c r="AA13" s="72" t="n">
        <f aca="false">Payroll!$C$38*(1+Payroll!$C$40)^1</f>
        <v>22195</v>
      </c>
      <c r="AB13" s="69" t="n">
        <f aca="false">AN13</f>
        <v>25524.25</v>
      </c>
      <c r="AC13" s="72" t="n">
        <f aca="false">Payroll!$C$38*(1+Payroll!$C$40)^2</f>
        <v>25524.25</v>
      </c>
      <c r="AD13" s="72" t="n">
        <f aca="false">Payroll!$C$38*(1+Payroll!$C$40)^2</f>
        <v>25524.25</v>
      </c>
      <c r="AE13" s="72" t="n">
        <f aca="false">Payroll!$C$38*(1+Payroll!$C$40)^2</f>
        <v>25524.25</v>
      </c>
      <c r="AF13" s="72" t="n">
        <f aca="false">Payroll!$C$38*(1+Payroll!$C$40)^2</f>
        <v>25524.25</v>
      </c>
      <c r="AG13" s="72" t="n">
        <f aca="false">Payroll!$C$38*(1+Payroll!$C$40)^2</f>
        <v>25524.25</v>
      </c>
      <c r="AH13" s="72" t="n">
        <f aca="false">Payroll!$C$38*(1+Payroll!$C$40)^2</f>
        <v>25524.25</v>
      </c>
      <c r="AI13" s="72" t="n">
        <f aca="false">Payroll!$C$38*(1+Payroll!$C$40)^2</f>
        <v>25524.25</v>
      </c>
      <c r="AJ13" s="72" t="n">
        <f aca="false">Payroll!$C$38*(1+Payroll!$C$40)^2</f>
        <v>25524.25</v>
      </c>
      <c r="AK13" s="72" t="n">
        <f aca="false">Payroll!$C$38*(1+Payroll!$C$40)^2</f>
        <v>25524.25</v>
      </c>
      <c r="AL13" s="72" t="n">
        <f aca="false">Payroll!$C$38*(1+Payroll!$C$40)^2</f>
        <v>25524.25</v>
      </c>
      <c r="AM13" s="72" t="n">
        <f aca="false">Payroll!$C$38*(1+Payroll!$C$40)^2</f>
        <v>25524.25</v>
      </c>
      <c r="AN13" s="72" t="n">
        <f aca="false">Payroll!$C$38*(1+Payroll!$C$40)^2</f>
        <v>25524.25</v>
      </c>
      <c r="AO13" s="69" t="n">
        <f aca="false">BA13</f>
        <v>29352.8875</v>
      </c>
      <c r="AP13" s="72" t="n">
        <f aca="false">Payroll!$C$38*(1+Payroll!$C$40)^3</f>
        <v>29352.8875</v>
      </c>
      <c r="AQ13" s="72" t="n">
        <f aca="false">Payroll!$C$38*(1+Payroll!$C$40)^3</f>
        <v>29352.8875</v>
      </c>
      <c r="AR13" s="72" t="n">
        <f aca="false">Payroll!$C$38*(1+Payroll!$C$40)^3</f>
        <v>29352.8875</v>
      </c>
      <c r="AS13" s="72" t="n">
        <f aca="false">Payroll!$C$38*(1+Payroll!$C$40)^3</f>
        <v>29352.8875</v>
      </c>
      <c r="AT13" s="72" t="n">
        <f aca="false">Payroll!$C$38*(1+Payroll!$C$40)^3</f>
        <v>29352.8875</v>
      </c>
      <c r="AU13" s="72" t="n">
        <f aca="false">Payroll!$C$38*(1+Payroll!$C$40)^3</f>
        <v>29352.8875</v>
      </c>
      <c r="AV13" s="72" t="n">
        <f aca="false">Payroll!$C$38*(1+Payroll!$C$40)^3</f>
        <v>29352.8875</v>
      </c>
      <c r="AW13" s="72" t="n">
        <f aca="false">Payroll!$C$38*(1+Payroll!$C$40)^3</f>
        <v>29352.8875</v>
      </c>
      <c r="AX13" s="72" t="n">
        <f aca="false">Payroll!$C$38*(1+Payroll!$C$40)^3</f>
        <v>29352.8875</v>
      </c>
      <c r="AY13" s="72" t="n">
        <f aca="false">Payroll!$C$38*(1+Payroll!$C$40)^3</f>
        <v>29352.8875</v>
      </c>
      <c r="AZ13" s="72" t="n">
        <f aca="false">Payroll!$C$38*(1+Payroll!$C$40)^3</f>
        <v>29352.8875</v>
      </c>
      <c r="BA13" s="72" t="n">
        <f aca="false">Payroll!$C$38*(1+Payroll!$C$40)^3</f>
        <v>29352.8875</v>
      </c>
      <c r="BB13" s="69" t="n">
        <f aca="false">BN13</f>
        <v>33755.820625</v>
      </c>
      <c r="BC13" s="72" t="n">
        <f aca="false">Payroll!$C$38*(1+Payroll!$C$40)^4</f>
        <v>33755.820625</v>
      </c>
      <c r="BD13" s="72" t="n">
        <f aca="false">Payroll!$C$38*(1+Payroll!$C$40)^4</f>
        <v>33755.820625</v>
      </c>
      <c r="BE13" s="72" t="n">
        <f aca="false">Payroll!$C$38*(1+Payroll!$C$40)^4</f>
        <v>33755.820625</v>
      </c>
      <c r="BF13" s="72" t="n">
        <f aca="false">Payroll!$C$38*(1+Payroll!$C$40)^4</f>
        <v>33755.820625</v>
      </c>
      <c r="BG13" s="72" t="n">
        <f aca="false">Payroll!$C$38*(1+Payroll!$C$40)^4</f>
        <v>33755.820625</v>
      </c>
      <c r="BH13" s="72" t="n">
        <f aca="false">Payroll!$C$38*(1+Payroll!$C$40)^4</f>
        <v>33755.820625</v>
      </c>
      <c r="BI13" s="72" t="n">
        <f aca="false">Payroll!$C$38*(1+Payroll!$C$40)^4</f>
        <v>33755.820625</v>
      </c>
      <c r="BJ13" s="72" t="n">
        <f aca="false">Payroll!$C$38*(1+Payroll!$C$40)^4</f>
        <v>33755.820625</v>
      </c>
      <c r="BK13" s="72" t="n">
        <f aca="false">Payroll!$C$38*(1+Payroll!$C$40)^4</f>
        <v>33755.820625</v>
      </c>
      <c r="BL13" s="72" t="n">
        <f aca="false">Payroll!$C$38*(1+Payroll!$C$40)^4</f>
        <v>33755.820625</v>
      </c>
      <c r="BM13" s="72" t="n">
        <f aca="false">Payroll!$C$38*(1+Payroll!$C$40)^4</f>
        <v>33755.820625</v>
      </c>
      <c r="BN13" s="72" t="n">
        <f aca="false">Payroll!$C$38*(1+Payroll!$C$40)^4</f>
        <v>33755.820625</v>
      </c>
    </row>
    <row r="14" customFormat="false" ht="15" hidden="false" customHeight="false" outlineLevel="0" collapsed="false">
      <c r="A14" s="4" t="s">
        <v>661</v>
      </c>
      <c r="B14" s="69" t="n">
        <f aca="false">N14</f>
        <v>3200</v>
      </c>
      <c r="C14" s="72" t="n">
        <f aca="false">Payroll!$C$39*(1+Payroll!$C$40)^0</f>
        <v>3200</v>
      </c>
      <c r="D14" s="72" t="n">
        <f aca="false">Payroll!$C$39*(1+Payroll!$C$40)^0</f>
        <v>3200</v>
      </c>
      <c r="E14" s="72" t="n">
        <f aca="false">Payroll!$C$39*(1+Payroll!$C$40)^0</f>
        <v>3200</v>
      </c>
      <c r="F14" s="72" t="n">
        <f aca="false">Payroll!$C$39*(1+Payroll!$C$40)^0</f>
        <v>3200</v>
      </c>
      <c r="G14" s="72" t="n">
        <f aca="false">Payroll!$C$39*(1+Payroll!$C$40)^0</f>
        <v>3200</v>
      </c>
      <c r="H14" s="72" t="n">
        <f aca="false">Payroll!$C$39*(1+Payroll!$C$40)^0</f>
        <v>3200</v>
      </c>
      <c r="I14" s="72" t="n">
        <f aca="false">Payroll!$C$39*(1+Payroll!$C$40)^0</f>
        <v>3200</v>
      </c>
      <c r="J14" s="72" t="n">
        <f aca="false">Payroll!$C$39*(1+Payroll!$C$40)^0</f>
        <v>3200</v>
      </c>
      <c r="K14" s="72" t="n">
        <f aca="false">Payroll!$C$39*(1+Payroll!$C$40)^0</f>
        <v>3200</v>
      </c>
      <c r="L14" s="72" t="n">
        <f aca="false">Payroll!$C$39*(1+Payroll!$C$40)^0</f>
        <v>3200</v>
      </c>
      <c r="M14" s="72" t="n">
        <f aca="false">Payroll!$C$39*(1+Payroll!$C$40)^0</f>
        <v>3200</v>
      </c>
      <c r="N14" s="72" t="n">
        <f aca="false">Payroll!$C$39*(1+Payroll!$C$40)^0</f>
        <v>3200</v>
      </c>
      <c r="O14" s="69" t="n">
        <f aca="false">AA14</f>
        <v>3680</v>
      </c>
      <c r="P14" s="72" t="n">
        <f aca="false">Payroll!$C$39*(1+Payroll!$C$40)^1</f>
        <v>3680</v>
      </c>
      <c r="Q14" s="72" t="n">
        <f aca="false">Payroll!$C$39*(1+Payroll!$C$40)^1</f>
        <v>3680</v>
      </c>
      <c r="R14" s="72" t="n">
        <f aca="false">Payroll!$C$39*(1+Payroll!$C$40)^1</f>
        <v>3680</v>
      </c>
      <c r="S14" s="72" t="n">
        <f aca="false">Payroll!$C$39*(1+Payroll!$C$40)^1</f>
        <v>3680</v>
      </c>
      <c r="T14" s="72" t="n">
        <f aca="false">Payroll!$C$39*(1+Payroll!$C$40)^1</f>
        <v>3680</v>
      </c>
      <c r="U14" s="72" t="n">
        <f aca="false">Payroll!$C$39*(1+Payroll!$C$40)^1</f>
        <v>3680</v>
      </c>
      <c r="V14" s="72" t="n">
        <f aca="false">Payroll!$C$39*(1+Payroll!$C$40)^1</f>
        <v>3680</v>
      </c>
      <c r="W14" s="72" t="n">
        <f aca="false">Payroll!$C$39*(1+Payroll!$C$40)^1</f>
        <v>3680</v>
      </c>
      <c r="X14" s="72" t="n">
        <f aca="false">Payroll!$C$39*(1+Payroll!$C$40)^1</f>
        <v>3680</v>
      </c>
      <c r="Y14" s="72" t="n">
        <f aca="false">Payroll!$C$39*(1+Payroll!$C$40)^1</f>
        <v>3680</v>
      </c>
      <c r="Z14" s="72" t="n">
        <f aca="false">Payroll!$C$39*(1+Payroll!$C$40)^1</f>
        <v>3680</v>
      </c>
      <c r="AA14" s="72" t="n">
        <f aca="false">Payroll!$C$39*(1+Payroll!$C$40)^1</f>
        <v>3680</v>
      </c>
      <c r="AB14" s="69" t="n">
        <f aca="false">AN14</f>
        <v>4232</v>
      </c>
      <c r="AC14" s="72" t="n">
        <f aca="false">Payroll!$C$39*(1+Payroll!$C$40)^2</f>
        <v>4232</v>
      </c>
      <c r="AD14" s="72" t="n">
        <f aca="false">Payroll!$C$39*(1+Payroll!$C$40)^2</f>
        <v>4232</v>
      </c>
      <c r="AE14" s="72" t="n">
        <f aca="false">Payroll!$C$39*(1+Payroll!$C$40)^2</f>
        <v>4232</v>
      </c>
      <c r="AF14" s="72" t="n">
        <f aca="false">Payroll!$C$39*(1+Payroll!$C$40)^2</f>
        <v>4232</v>
      </c>
      <c r="AG14" s="72" t="n">
        <f aca="false">Payroll!$C$39*(1+Payroll!$C$40)^2</f>
        <v>4232</v>
      </c>
      <c r="AH14" s="72" t="n">
        <f aca="false">Payroll!$C$39*(1+Payroll!$C$40)^2</f>
        <v>4232</v>
      </c>
      <c r="AI14" s="72" t="n">
        <f aca="false">Payroll!$C$39*(1+Payroll!$C$40)^2</f>
        <v>4232</v>
      </c>
      <c r="AJ14" s="72" t="n">
        <f aca="false">Payroll!$C$39*(1+Payroll!$C$40)^2</f>
        <v>4232</v>
      </c>
      <c r="AK14" s="72" t="n">
        <f aca="false">Payroll!$C$39*(1+Payroll!$C$40)^2</f>
        <v>4232</v>
      </c>
      <c r="AL14" s="72" t="n">
        <f aca="false">Payroll!$C$39*(1+Payroll!$C$40)^2</f>
        <v>4232</v>
      </c>
      <c r="AM14" s="72" t="n">
        <f aca="false">Payroll!$C$39*(1+Payroll!$C$40)^2</f>
        <v>4232</v>
      </c>
      <c r="AN14" s="72" t="n">
        <f aca="false">Payroll!$C$39*(1+Payroll!$C$40)^2</f>
        <v>4232</v>
      </c>
      <c r="AO14" s="69" t="n">
        <f aca="false">BA14</f>
        <v>4866.8</v>
      </c>
      <c r="AP14" s="72" t="n">
        <f aca="false">Payroll!$C$39*(1+Payroll!$C$40)^3</f>
        <v>4866.8</v>
      </c>
      <c r="AQ14" s="72" t="n">
        <f aca="false">Payroll!$C$39*(1+Payroll!$C$40)^3</f>
        <v>4866.8</v>
      </c>
      <c r="AR14" s="72" t="n">
        <f aca="false">Payroll!$C$39*(1+Payroll!$C$40)^3</f>
        <v>4866.8</v>
      </c>
      <c r="AS14" s="72" t="n">
        <f aca="false">Payroll!$C$39*(1+Payroll!$C$40)^3</f>
        <v>4866.8</v>
      </c>
      <c r="AT14" s="72" t="n">
        <f aca="false">Payroll!$C$39*(1+Payroll!$C$40)^3</f>
        <v>4866.8</v>
      </c>
      <c r="AU14" s="72" t="n">
        <f aca="false">Payroll!$C$39*(1+Payroll!$C$40)^3</f>
        <v>4866.8</v>
      </c>
      <c r="AV14" s="72" t="n">
        <f aca="false">Payroll!$C$39*(1+Payroll!$C$40)^3</f>
        <v>4866.8</v>
      </c>
      <c r="AW14" s="72" t="n">
        <f aca="false">Payroll!$C$39*(1+Payroll!$C$40)^3</f>
        <v>4866.8</v>
      </c>
      <c r="AX14" s="72" t="n">
        <f aca="false">Payroll!$C$39*(1+Payroll!$C$40)^3</f>
        <v>4866.8</v>
      </c>
      <c r="AY14" s="72" t="n">
        <f aca="false">Payroll!$C$39*(1+Payroll!$C$40)^3</f>
        <v>4866.8</v>
      </c>
      <c r="AZ14" s="72" t="n">
        <f aca="false">Payroll!$C$39*(1+Payroll!$C$40)^3</f>
        <v>4866.8</v>
      </c>
      <c r="BA14" s="72" t="n">
        <f aca="false">Payroll!$C$39*(1+Payroll!$C$40)^3</f>
        <v>4866.8</v>
      </c>
      <c r="BB14" s="69" t="n">
        <f aca="false">BN14</f>
        <v>5596.82</v>
      </c>
      <c r="BC14" s="72" t="n">
        <f aca="false">Payroll!$C$39*(1+Payroll!$C$40)^4</f>
        <v>5596.82</v>
      </c>
      <c r="BD14" s="72" t="n">
        <f aca="false">Payroll!$C$39*(1+Payroll!$C$40)^4</f>
        <v>5596.82</v>
      </c>
      <c r="BE14" s="72" t="n">
        <f aca="false">Payroll!$C$39*(1+Payroll!$C$40)^4</f>
        <v>5596.82</v>
      </c>
      <c r="BF14" s="72" t="n">
        <f aca="false">Payroll!$C$39*(1+Payroll!$C$40)^4</f>
        <v>5596.82</v>
      </c>
      <c r="BG14" s="72" t="n">
        <f aca="false">Payroll!$C$39*(1+Payroll!$C$40)^4</f>
        <v>5596.82</v>
      </c>
      <c r="BH14" s="72" t="n">
        <f aca="false">Payroll!$C$39*(1+Payroll!$C$40)^4</f>
        <v>5596.82</v>
      </c>
      <c r="BI14" s="72" t="n">
        <f aca="false">Payroll!$C$39*(1+Payroll!$C$40)^4</f>
        <v>5596.82</v>
      </c>
      <c r="BJ14" s="72" t="n">
        <f aca="false">Payroll!$C$39*(1+Payroll!$C$40)^4</f>
        <v>5596.82</v>
      </c>
      <c r="BK14" s="72" t="n">
        <f aca="false">Payroll!$C$39*(1+Payroll!$C$40)^4</f>
        <v>5596.82</v>
      </c>
      <c r="BL14" s="72" t="n">
        <f aca="false">Payroll!$C$39*(1+Payroll!$C$40)^4</f>
        <v>5596.82</v>
      </c>
      <c r="BM14" s="72" t="n">
        <f aca="false">Payroll!$C$39*(1+Payroll!$C$40)^4</f>
        <v>5596.82</v>
      </c>
      <c r="BN14" s="72" t="n">
        <f aca="false">Payroll!$C$39*(1+Payroll!$C$40)^4</f>
        <v>5596.82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645</v>
      </c>
    </row>
    <row r="2" customFormat="false" ht="15" hidden="false" customHeight="false" outlineLevel="0" collapsed="false">
      <c r="A2" s="8" t="s">
        <v>662</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663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355</v>
      </c>
      <c r="B6" s="59" t="n">
        <f aca="false">SUM(C6:N6)</f>
        <v>9600</v>
      </c>
      <c r="C6" s="63" t="n">
        <f aca="false">'Assumption Setting'!$C$25</f>
        <v>800</v>
      </c>
      <c r="D6" s="63" t="n">
        <f aca="false">'Assumption Setting'!$C$25</f>
        <v>800</v>
      </c>
      <c r="E6" s="63" t="n">
        <f aca="false">'Assumption Setting'!$C$25</f>
        <v>800</v>
      </c>
      <c r="F6" s="63" t="n">
        <f aca="false">'Assumption Setting'!$C$25</f>
        <v>800</v>
      </c>
      <c r="G6" s="63" t="n">
        <f aca="false">'Assumption Setting'!$C$25</f>
        <v>800</v>
      </c>
      <c r="H6" s="63" t="n">
        <f aca="false">'Assumption Setting'!$C$25</f>
        <v>800</v>
      </c>
      <c r="I6" s="63" t="n">
        <f aca="false">'Assumption Setting'!$C$25</f>
        <v>800</v>
      </c>
      <c r="J6" s="63" t="n">
        <f aca="false">'Assumption Setting'!$C$25</f>
        <v>800</v>
      </c>
      <c r="K6" s="63" t="n">
        <f aca="false">'Assumption Setting'!$C$25</f>
        <v>800</v>
      </c>
      <c r="L6" s="63" t="n">
        <f aca="false">'Assumption Setting'!$C$25</f>
        <v>800</v>
      </c>
      <c r="M6" s="63" t="n">
        <f aca="false">'Assumption Setting'!$C$25</f>
        <v>800</v>
      </c>
      <c r="N6" s="63" t="n">
        <f aca="false">'Assumption Setting'!$C$25</f>
        <v>800</v>
      </c>
      <c r="O6" s="59" t="n">
        <f aca="false">SUM(P6:AA6)</f>
        <v>24000</v>
      </c>
      <c r="P6" s="63" t="n">
        <f aca="false">'Assumption Setting'!$D$25</f>
        <v>2000</v>
      </c>
      <c r="Q6" s="63" t="n">
        <f aca="false">'Assumption Setting'!$D$25</f>
        <v>2000</v>
      </c>
      <c r="R6" s="63" t="n">
        <f aca="false">'Assumption Setting'!$D$25</f>
        <v>2000</v>
      </c>
      <c r="S6" s="63" t="n">
        <f aca="false">'Assumption Setting'!$D$25</f>
        <v>2000</v>
      </c>
      <c r="T6" s="63" t="n">
        <f aca="false">'Assumption Setting'!$D$25</f>
        <v>2000</v>
      </c>
      <c r="U6" s="63" t="n">
        <f aca="false">'Assumption Setting'!$D$25</f>
        <v>2000</v>
      </c>
      <c r="V6" s="63" t="n">
        <f aca="false">'Assumption Setting'!$D$25</f>
        <v>2000</v>
      </c>
      <c r="W6" s="63" t="n">
        <f aca="false">'Assumption Setting'!$D$25</f>
        <v>2000</v>
      </c>
      <c r="X6" s="63" t="n">
        <f aca="false">'Assumption Setting'!$D$25</f>
        <v>2000</v>
      </c>
      <c r="Y6" s="63" t="n">
        <f aca="false">'Assumption Setting'!$D$25</f>
        <v>2000</v>
      </c>
      <c r="Z6" s="63" t="n">
        <f aca="false">'Assumption Setting'!$D$25</f>
        <v>2000</v>
      </c>
      <c r="AA6" s="63" t="n">
        <f aca="false">'Assumption Setting'!$D$25</f>
        <v>2000</v>
      </c>
      <c r="AB6" s="59" t="n">
        <f aca="false">SUM(AC6:AN6)</f>
        <v>43200</v>
      </c>
      <c r="AC6" s="63" t="n">
        <f aca="false">'Assumption Setting'!$E$25</f>
        <v>3600</v>
      </c>
      <c r="AD6" s="63" t="n">
        <f aca="false">'Assumption Setting'!$E$25</f>
        <v>3600</v>
      </c>
      <c r="AE6" s="63" t="n">
        <f aca="false">'Assumption Setting'!$E$25</f>
        <v>3600</v>
      </c>
      <c r="AF6" s="63" t="n">
        <f aca="false">'Assumption Setting'!$E$25</f>
        <v>3600</v>
      </c>
      <c r="AG6" s="63" t="n">
        <f aca="false">'Assumption Setting'!$E$25</f>
        <v>3600</v>
      </c>
      <c r="AH6" s="63" t="n">
        <f aca="false">'Assumption Setting'!$E$25</f>
        <v>3600</v>
      </c>
      <c r="AI6" s="63" t="n">
        <f aca="false">'Assumption Setting'!$E$25</f>
        <v>3600</v>
      </c>
      <c r="AJ6" s="63" t="n">
        <f aca="false">'Assumption Setting'!$E$25</f>
        <v>3600</v>
      </c>
      <c r="AK6" s="63" t="n">
        <f aca="false">'Assumption Setting'!$E$25</f>
        <v>3600</v>
      </c>
      <c r="AL6" s="63" t="n">
        <f aca="false">'Assumption Setting'!$E$25</f>
        <v>3600</v>
      </c>
      <c r="AM6" s="63" t="n">
        <f aca="false">'Assumption Setting'!$E$25</f>
        <v>3600</v>
      </c>
      <c r="AN6" s="63" t="n">
        <f aca="false">'Assumption Setting'!$E$25</f>
        <v>3600</v>
      </c>
      <c r="AO6" s="59" t="n">
        <f aca="false">SUM(AP6:BA6)</f>
        <v>62400</v>
      </c>
      <c r="AP6" s="63" t="n">
        <f aca="false">'Assumption Setting'!$F$25</f>
        <v>5200</v>
      </c>
      <c r="AQ6" s="63" t="n">
        <f aca="false">'Assumption Setting'!$F$25</f>
        <v>5200</v>
      </c>
      <c r="AR6" s="63" t="n">
        <f aca="false">'Assumption Setting'!$F$25</f>
        <v>5200</v>
      </c>
      <c r="AS6" s="63" t="n">
        <f aca="false">'Assumption Setting'!$F$25</f>
        <v>5200</v>
      </c>
      <c r="AT6" s="63" t="n">
        <f aca="false">'Assumption Setting'!$F$25</f>
        <v>5200</v>
      </c>
      <c r="AU6" s="63" t="n">
        <f aca="false">'Assumption Setting'!$F$25</f>
        <v>5200</v>
      </c>
      <c r="AV6" s="63" t="n">
        <f aca="false">'Assumption Setting'!$F$25</f>
        <v>5200</v>
      </c>
      <c r="AW6" s="63" t="n">
        <f aca="false">'Assumption Setting'!$F$25</f>
        <v>5200</v>
      </c>
      <c r="AX6" s="63" t="n">
        <f aca="false">'Assumption Setting'!$F$25</f>
        <v>5200</v>
      </c>
      <c r="AY6" s="63" t="n">
        <f aca="false">'Assumption Setting'!$F$25</f>
        <v>5200</v>
      </c>
      <c r="AZ6" s="63" t="n">
        <f aca="false">'Assumption Setting'!$F$25</f>
        <v>5200</v>
      </c>
      <c r="BA6" s="63" t="n">
        <f aca="false">'Assumption Setting'!$F$25</f>
        <v>5200</v>
      </c>
      <c r="BB6" s="59" t="n">
        <f aca="false">SUM(BC6:BN6)</f>
        <v>81600</v>
      </c>
      <c r="BC6" s="63" t="n">
        <f aca="false">'Assumption Setting'!$G$25</f>
        <v>6800</v>
      </c>
      <c r="BD6" s="63" t="n">
        <f aca="false">'Assumption Setting'!$G$25</f>
        <v>6800</v>
      </c>
      <c r="BE6" s="63" t="n">
        <f aca="false">'Assumption Setting'!$G$25</f>
        <v>6800</v>
      </c>
      <c r="BF6" s="63" t="n">
        <f aca="false">'Assumption Setting'!$G$25</f>
        <v>6800</v>
      </c>
      <c r="BG6" s="63" t="n">
        <f aca="false">'Assumption Setting'!$G$25</f>
        <v>6800</v>
      </c>
      <c r="BH6" s="63" t="n">
        <f aca="false">'Assumption Setting'!$G$25</f>
        <v>6800</v>
      </c>
      <c r="BI6" s="63" t="n">
        <f aca="false">'Assumption Setting'!$G$25</f>
        <v>6800</v>
      </c>
      <c r="BJ6" s="63" t="n">
        <f aca="false">'Assumption Setting'!$G$25</f>
        <v>6800</v>
      </c>
      <c r="BK6" s="63" t="n">
        <f aca="false">'Assumption Setting'!$G$25</f>
        <v>6800</v>
      </c>
      <c r="BL6" s="63" t="n">
        <f aca="false">'Assumption Setting'!$G$25</f>
        <v>6800</v>
      </c>
      <c r="BM6" s="63" t="n">
        <f aca="false">'Assumption Setting'!$G$25</f>
        <v>6800</v>
      </c>
      <c r="BN6" s="63" t="n">
        <f aca="false">'Assumption Setting'!$G$25</f>
        <v>6800</v>
      </c>
    </row>
    <row r="7" customFormat="false" ht="15" hidden="false" customHeight="false" outlineLevel="0" collapsed="false">
      <c r="A7" s="4" t="s">
        <v>356</v>
      </c>
      <c r="B7" s="59" t="n">
        <f aca="false">SUM(C7:N7)</f>
        <v>6000</v>
      </c>
      <c r="C7" s="63" t="n">
        <f aca="false">'Assumption Setting'!$C$26</f>
        <v>500</v>
      </c>
      <c r="D7" s="63" t="n">
        <f aca="false">'Assumption Setting'!$C$26</f>
        <v>500</v>
      </c>
      <c r="E7" s="63" t="n">
        <f aca="false">'Assumption Setting'!$C$26</f>
        <v>500</v>
      </c>
      <c r="F7" s="63" t="n">
        <f aca="false">'Assumption Setting'!$C$26</f>
        <v>500</v>
      </c>
      <c r="G7" s="63" t="n">
        <f aca="false">'Assumption Setting'!$C$26</f>
        <v>500</v>
      </c>
      <c r="H7" s="63" t="n">
        <f aca="false">'Assumption Setting'!$C$26</f>
        <v>500</v>
      </c>
      <c r="I7" s="63" t="n">
        <f aca="false">'Assumption Setting'!$C$26</f>
        <v>500</v>
      </c>
      <c r="J7" s="63" t="n">
        <f aca="false">'Assumption Setting'!$C$26</f>
        <v>500</v>
      </c>
      <c r="K7" s="63" t="n">
        <f aca="false">'Assumption Setting'!$C$26</f>
        <v>500</v>
      </c>
      <c r="L7" s="63" t="n">
        <f aca="false">'Assumption Setting'!$C$26</f>
        <v>500</v>
      </c>
      <c r="M7" s="63" t="n">
        <f aca="false">'Assumption Setting'!$C$26</f>
        <v>500</v>
      </c>
      <c r="N7" s="63" t="n">
        <f aca="false">'Assumption Setting'!$C$26</f>
        <v>500</v>
      </c>
      <c r="O7" s="59" t="n">
        <f aca="false">SUM(P7:AA7)</f>
        <v>15600</v>
      </c>
      <c r="P7" s="63" t="n">
        <f aca="false">'Assumption Setting'!$D$26</f>
        <v>1300</v>
      </c>
      <c r="Q7" s="63" t="n">
        <f aca="false">'Assumption Setting'!$D$26</f>
        <v>1300</v>
      </c>
      <c r="R7" s="63" t="n">
        <f aca="false">'Assumption Setting'!$D$26</f>
        <v>1300</v>
      </c>
      <c r="S7" s="63" t="n">
        <f aca="false">'Assumption Setting'!$D$26</f>
        <v>1300</v>
      </c>
      <c r="T7" s="63" t="n">
        <f aca="false">'Assumption Setting'!$D$26</f>
        <v>1300</v>
      </c>
      <c r="U7" s="63" t="n">
        <f aca="false">'Assumption Setting'!$D$26</f>
        <v>1300</v>
      </c>
      <c r="V7" s="63" t="n">
        <f aca="false">'Assumption Setting'!$D$26</f>
        <v>1300</v>
      </c>
      <c r="W7" s="63" t="n">
        <f aca="false">'Assumption Setting'!$D$26</f>
        <v>1300</v>
      </c>
      <c r="X7" s="63" t="n">
        <f aca="false">'Assumption Setting'!$D$26</f>
        <v>1300</v>
      </c>
      <c r="Y7" s="63" t="n">
        <f aca="false">'Assumption Setting'!$D$26</f>
        <v>1300</v>
      </c>
      <c r="Z7" s="63" t="n">
        <f aca="false">'Assumption Setting'!$D$26</f>
        <v>1300</v>
      </c>
      <c r="AA7" s="63" t="n">
        <f aca="false">'Assumption Setting'!$D$26</f>
        <v>1300</v>
      </c>
      <c r="AB7" s="59" t="n">
        <f aca="false">SUM(AC7:AN7)</f>
        <v>27600</v>
      </c>
      <c r="AC7" s="63" t="n">
        <f aca="false">'Assumption Setting'!$E$26</f>
        <v>2300</v>
      </c>
      <c r="AD7" s="63" t="n">
        <f aca="false">'Assumption Setting'!$E$26</f>
        <v>2300</v>
      </c>
      <c r="AE7" s="63" t="n">
        <f aca="false">'Assumption Setting'!$E$26</f>
        <v>2300</v>
      </c>
      <c r="AF7" s="63" t="n">
        <f aca="false">'Assumption Setting'!$E$26</f>
        <v>2300</v>
      </c>
      <c r="AG7" s="63" t="n">
        <f aca="false">'Assumption Setting'!$E$26</f>
        <v>2300</v>
      </c>
      <c r="AH7" s="63" t="n">
        <f aca="false">'Assumption Setting'!$E$26</f>
        <v>2300</v>
      </c>
      <c r="AI7" s="63" t="n">
        <f aca="false">'Assumption Setting'!$E$26</f>
        <v>2300</v>
      </c>
      <c r="AJ7" s="63" t="n">
        <f aca="false">'Assumption Setting'!$E$26</f>
        <v>2300</v>
      </c>
      <c r="AK7" s="63" t="n">
        <f aca="false">'Assumption Setting'!$E$26</f>
        <v>2300</v>
      </c>
      <c r="AL7" s="63" t="n">
        <f aca="false">'Assumption Setting'!$E$26</f>
        <v>2300</v>
      </c>
      <c r="AM7" s="63" t="n">
        <f aca="false">'Assumption Setting'!$E$26</f>
        <v>2300</v>
      </c>
      <c r="AN7" s="63" t="n">
        <f aca="false">'Assumption Setting'!$E$26</f>
        <v>2300</v>
      </c>
      <c r="AO7" s="59" t="n">
        <f aca="false">SUM(AP7:BA7)</f>
        <v>39600</v>
      </c>
      <c r="AP7" s="63" t="n">
        <f aca="false">'Assumption Setting'!$F$26</f>
        <v>3300</v>
      </c>
      <c r="AQ7" s="63" t="n">
        <f aca="false">'Assumption Setting'!$F$26</f>
        <v>3300</v>
      </c>
      <c r="AR7" s="63" t="n">
        <f aca="false">'Assumption Setting'!$F$26</f>
        <v>3300</v>
      </c>
      <c r="AS7" s="63" t="n">
        <f aca="false">'Assumption Setting'!$F$26</f>
        <v>3300</v>
      </c>
      <c r="AT7" s="63" t="n">
        <f aca="false">'Assumption Setting'!$F$26</f>
        <v>3300</v>
      </c>
      <c r="AU7" s="63" t="n">
        <f aca="false">'Assumption Setting'!$F$26</f>
        <v>3300</v>
      </c>
      <c r="AV7" s="63" t="n">
        <f aca="false">'Assumption Setting'!$F$26</f>
        <v>3300</v>
      </c>
      <c r="AW7" s="63" t="n">
        <f aca="false">'Assumption Setting'!$F$26</f>
        <v>3300</v>
      </c>
      <c r="AX7" s="63" t="n">
        <f aca="false">'Assumption Setting'!$F$26</f>
        <v>3300</v>
      </c>
      <c r="AY7" s="63" t="n">
        <f aca="false">'Assumption Setting'!$F$26</f>
        <v>3300</v>
      </c>
      <c r="AZ7" s="63" t="n">
        <f aca="false">'Assumption Setting'!$F$26</f>
        <v>3300</v>
      </c>
      <c r="BA7" s="63" t="n">
        <f aca="false">'Assumption Setting'!$F$26</f>
        <v>3300</v>
      </c>
      <c r="BB7" s="59" t="n">
        <f aca="false">SUM(BC7:BN7)</f>
        <v>51600</v>
      </c>
      <c r="BC7" s="63" t="n">
        <f aca="false">'Assumption Setting'!$G$26</f>
        <v>4300</v>
      </c>
      <c r="BD7" s="63" t="n">
        <f aca="false">'Assumption Setting'!$G$26</f>
        <v>4300</v>
      </c>
      <c r="BE7" s="63" t="n">
        <f aca="false">'Assumption Setting'!$G$26</f>
        <v>4300</v>
      </c>
      <c r="BF7" s="63" t="n">
        <f aca="false">'Assumption Setting'!$G$26</f>
        <v>4300</v>
      </c>
      <c r="BG7" s="63" t="n">
        <f aca="false">'Assumption Setting'!$G$26</f>
        <v>4300</v>
      </c>
      <c r="BH7" s="63" t="n">
        <f aca="false">'Assumption Setting'!$G$26</f>
        <v>4300</v>
      </c>
      <c r="BI7" s="63" t="n">
        <f aca="false">'Assumption Setting'!$G$26</f>
        <v>4300</v>
      </c>
      <c r="BJ7" s="63" t="n">
        <f aca="false">'Assumption Setting'!$G$26</f>
        <v>4300</v>
      </c>
      <c r="BK7" s="63" t="n">
        <f aca="false">'Assumption Setting'!$G$26</f>
        <v>4300</v>
      </c>
      <c r="BL7" s="63" t="n">
        <f aca="false">'Assumption Setting'!$G$26</f>
        <v>4300</v>
      </c>
      <c r="BM7" s="63" t="n">
        <f aca="false">'Assumption Setting'!$G$26</f>
        <v>4300</v>
      </c>
      <c r="BN7" s="63" t="n">
        <f aca="false">'Assumption Setting'!$G$26</f>
        <v>4300</v>
      </c>
    </row>
    <row r="8" customFormat="false" ht="15" hidden="false" customHeight="false" outlineLevel="0" collapsed="false">
      <c r="A8" s="4" t="s">
        <v>357</v>
      </c>
      <c r="B8" s="59" t="n">
        <f aca="false">SUM(C8:N8)</f>
        <v>3600</v>
      </c>
      <c r="C8" s="63" t="n">
        <f aca="false">'Assumption Setting'!$C$27</f>
        <v>300</v>
      </c>
      <c r="D8" s="63" t="n">
        <f aca="false">'Assumption Setting'!$C$27</f>
        <v>300</v>
      </c>
      <c r="E8" s="63" t="n">
        <f aca="false">'Assumption Setting'!$C$27</f>
        <v>300</v>
      </c>
      <c r="F8" s="63" t="n">
        <f aca="false">'Assumption Setting'!$C$27</f>
        <v>300</v>
      </c>
      <c r="G8" s="63" t="n">
        <f aca="false">'Assumption Setting'!$C$27</f>
        <v>300</v>
      </c>
      <c r="H8" s="63" t="n">
        <f aca="false">'Assumption Setting'!$C$27</f>
        <v>300</v>
      </c>
      <c r="I8" s="63" t="n">
        <f aca="false">'Assumption Setting'!$C$27</f>
        <v>300</v>
      </c>
      <c r="J8" s="63" t="n">
        <f aca="false">'Assumption Setting'!$C$27</f>
        <v>300</v>
      </c>
      <c r="K8" s="63" t="n">
        <f aca="false">'Assumption Setting'!$C$27</f>
        <v>300</v>
      </c>
      <c r="L8" s="63" t="n">
        <f aca="false">'Assumption Setting'!$C$27</f>
        <v>300</v>
      </c>
      <c r="M8" s="63" t="n">
        <f aca="false">'Assumption Setting'!$C$27</f>
        <v>300</v>
      </c>
      <c r="N8" s="63" t="n">
        <f aca="false">'Assumption Setting'!$C$27</f>
        <v>300</v>
      </c>
      <c r="O8" s="59" t="n">
        <f aca="false">SUM(P8:AA8)</f>
        <v>8400</v>
      </c>
      <c r="P8" s="63" t="n">
        <f aca="false">'Assumption Setting'!$D$27</f>
        <v>700</v>
      </c>
      <c r="Q8" s="63" t="n">
        <f aca="false">'Assumption Setting'!$D$27</f>
        <v>700</v>
      </c>
      <c r="R8" s="63" t="n">
        <f aca="false">'Assumption Setting'!$D$27</f>
        <v>700</v>
      </c>
      <c r="S8" s="63" t="n">
        <f aca="false">'Assumption Setting'!$D$27</f>
        <v>700</v>
      </c>
      <c r="T8" s="63" t="n">
        <f aca="false">'Assumption Setting'!$D$27</f>
        <v>700</v>
      </c>
      <c r="U8" s="63" t="n">
        <f aca="false">'Assumption Setting'!$D$27</f>
        <v>700</v>
      </c>
      <c r="V8" s="63" t="n">
        <f aca="false">'Assumption Setting'!$D$27</f>
        <v>700</v>
      </c>
      <c r="W8" s="63" t="n">
        <f aca="false">'Assumption Setting'!$D$27</f>
        <v>700</v>
      </c>
      <c r="X8" s="63" t="n">
        <f aca="false">'Assumption Setting'!$D$27</f>
        <v>700</v>
      </c>
      <c r="Y8" s="63" t="n">
        <f aca="false">'Assumption Setting'!$D$27</f>
        <v>700</v>
      </c>
      <c r="Z8" s="63" t="n">
        <f aca="false">'Assumption Setting'!$D$27</f>
        <v>700</v>
      </c>
      <c r="AA8" s="63" t="n">
        <f aca="false">'Assumption Setting'!$D$27</f>
        <v>700</v>
      </c>
      <c r="AB8" s="59" t="n">
        <f aca="false">SUM(AC8:AN8)</f>
        <v>15600</v>
      </c>
      <c r="AC8" s="63" t="n">
        <f aca="false">'Assumption Setting'!$E$27</f>
        <v>1300</v>
      </c>
      <c r="AD8" s="63" t="n">
        <f aca="false">'Assumption Setting'!$E$27</f>
        <v>1300</v>
      </c>
      <c r="AE8" s="63" t="n">
        <f aca="false">'Assumption Setting'!$E$27</f>
        <v>1300</v>
      </c>
      <c r="AF8" s="63" t="n">
        <f aca="false">'Assumption Setting'!$E$27</f>
        <v>1300</v>
      </c>
      <c r="AG8" s="63" t="n">
        <f aca="false">'Assumption Setting'!$E$27</f>
        <v>1300</v>
      </c>
      <c r="AH8" s="63" t="n">
        <f aca="false">'Assumption Setting'!$E$27</f>
        <v>1300</v>
      </c>
      <c r="AI8" s="63" t="n">
        <f aca="false">'Assumption Setting'!$E$27</f>
        <v>1300</v>
      </c>
      <c r="AJ8" s="63" t="n">
        <f aca="false">'Assumption Setting'!$E$27</f>
        <v>1300</v>
      </c>
      <c r="AK8" s="63" t="n">
        <f aca="false">'Assumption Setting'!$E$27</f>
        <v>1300</v>
      </c>
      <c r="AL8" s="63" t="n">
        <f aca="false">'Assumption Setting'!$E$27</f>
        <v>1300</v>
      </c>
      <c r="AM8" s="63" t="n">
        <f aca="false">'Assumption Setting'!$E$27</f>
        <v>1300</v>
      </c>
      <c r="AN8" s="63" t="n">
        <f aca="false">'Assumption Setting'!$E$27</f>
        <v>1300</v>
      </c>
      <c r="AO8" s="59" t="n">
        <f aca="false">SUM(AP8:BA8)</f>
        <v>22800</v>
      </c>
      <c r="AP8" s="63" t="n">
        <f aca="false">'Assumption Setting'!$F$27</f>
        <v>1900</v>
      </c>
      <c r="AQ8" s="63" t="n">
        <f aca="false">'Assumption Setting'!$F$27</f>
        <v>1900</v>
      </c>
      <c r="AR8" s="63" t="n">
        <f aca="false">'Assumption Setting'!$F$27</f>
        <v>1900</v>
      </c>
      <c r="AS8" s="63" t="n">
        <f aca="false">'Assumption Setting'!$F$27</f>
        <v>1900</v>
      </c>
      <c r="AT8" s="63" t="n">
        <f aca="false">'Assumption Setting'!$F$27</f>
        <v>1900</v>
      </c>
      <c r="AU8" s="63" t="n">
        <f aca="false">'Assumption Setting'!$F$27</f>
        <v>1900</v>
      </c>
      <c r="AV8" s="63" t="n">
        <f aca="false">'Assumption Setting'!$F$27</f>
        <v>1900</v>
      </c>
      <c r="AW8" s="63" t="n">
        <f aca="false">'Assumption Setting'!$F$27</f>
        <v>1900</v>
      </c>
      <c r="AX8" s="63" t="n">
        <f aca="false">'Assumption Setting'!$F$27</f>
        <v>1900</v>
      </c>
      <c r="AY8" s="63" t="n">
        <f aca="false">'Assumption Setting'!$F$27</f>
        <v>1900</v>
      </c>
      <c r="AZ8" s="63" t="n">
        <f aca="false">'Assumption Setting'!$F$27</f>
        <v>1900</v>
      </c>
      <c r="BA8" s="63" t="n">
        <f aca="false">'Assumption Setting'!$F$27</f>
        <v>1900</v>
      </c>
      <c r="BB8" s="59" t="n">
        <f aca="false">SUM(BC8:BN8)</f>
        <v>28800</v>
      </c>
      <c r="BC8" s="63" t="n">
        <f aca="false">'Assumption Setting'!$G$27</f>
        <v>2400</v>
      </c>
      <c r="BD8" s="63" t="n">
        <f aca="false">'Assumption Setting'!$G$27</f>
        <v>2400</v>
      </c>
      <c r="BE8" s="63" t="n">
        <f aca="false">'Assumption Setting'!$G$27</f>
        <v>2400</v>
      </c>
      <c r="BF8" s="63" t="n">
        <f aca="false">'Assumption Setting'!$G$27</f>
        <v>2400</v>
      </c>
      <c r="BG8" s="63" t="n">
        <f aca="false">'Assumption Setting'!$G$27</f>
        <v>2400</v>
      </c>
      <c r="BH8" s="63" t="n">
        <f aca="false">'Assumption Setting'!$G$27</f>
        <v>2400</v>
      </c>
      <c r="BI8" s="63" t="n">
        <f aca="false">'Assumption Setting'!$G$27</f>
        <v>2400</v>
      </c>
      <c r="BJ8" s="63" t="n">
        <f aca="false">'Assumption Setting'!$G$27</f>
        <v>2400</v>
      </c>
      <c r="BK8" s="63" t="n">
        <f aca="false">'Assumption Setting'!$G$27</f>
        <v>2400</v>
      </c>
      <c r="BL8" s="63" t="n">
        <f aca="false">'Assumption Setting'!$G$27</f>
        <v>2400</v>
      </c>
      <c r="BM8" s="63" t="n">
        <f aca="false">'Assumption Setting'!$G$27</f>
        <v>2400</v>
      </c>
      <c r="BN8" s="63" t="n">
        <f aca="false">'Assumption Setting'!$G$27</f>
        <v>2400</v>
      </c>
    </row>
    <row r="9" customFormat="false" ht="15" hidden="false" customHeight="false" outlineLevel="0" collapsed="false">
      <c r="A9" s="4" t="s">
        <v>358</v>
      </c>
      <c r="B9" s="59" t="n">
        <f aca="false">SUM(C9:N9)</f>
        <v>2400</v>
      </c>
      <c r="C9" s="63" t="n">
        <f aca="false">'Assumption Setting'!$C$28</f>
        <v>200</v>
      </c>
      <c r="D9" s="63" t="n">
        <f aca="false">'Assumption Setting'!$C$28</f>
        <v>200</v>
      </c>
      <c r="E9" s="63" t="n">
        <f aca="false">'Assumption Setting'!$C$28</f>
        <v>200</v>
      </c>
      <c r="F9" s="63" t="n">
        <f aca="false">'Assumption Setting'!$C$28</f>
        <v>200</v>
      </c>
      <c r="G9" s="63" t="n">
        <f aca="false">'Assumption Setting'!$C$28</f>
        <v>200</v>
      </c>
      <c r="H9" s="63" t="n">
        <f aca="false">'Assumption Setting'!$C$28</f>
        <v>200</v>
      </c>
      <c r="I9" s="63" t="n">
        <f aca="false">'Assumption Setting'!$C$28</f>
        <v>200</v>
      </c>
      <c r="J9" s="63" t="n">
        <f aca="false">'Assumption Setting'!$C$28</f>
        <v>200</v>
      </c>
      <c r="K9" s="63" t="n">
        <f aca="false">'Assumption Setting'!$C$28</f>
        <v>200</v>
      </c>
      <c r="L9" s="63" t="n">
        <f aca="false">'Assumption Setting'!$C$28</f>
        <v>200</v>
      </c>
      <c r="M9" s="63" t="n">
        <f aca="false">'Assumption Setting'!$C$28</f>
        <v>200</v>
      </c>
      <c r="N9" s="63" t="n">
        <f aca="false">'Assumption Setting'!$C$28</f>
        <v>200</v>
      </c>
      <c r="O9" s="59" t="n">
        <f aca="false">SUM(P9:AA9)</f>
        <v>5400</v>
      </c>
      <c r="P9" s="63" t="n">
        <f aca="false">'Assumption Setting'!$D$28</f>
        <v>450</v>
      </c>
      <c r="Q9" s="63" t="n">
        <f aca="false">'Assumption Setting'!$D$28</f>
        <v>450</v>
      </c>
      <c r="R9" s="63" t="n">
        <f aca="false">'Assumption Setting'!$D$28</f>
        <v>450</v>
      </c>
      <c r="S9" s="63" t="n">
        <f aca="false">'Assumption Setting'!$D$28</f>
        <v>450</v>
      </c>
      <c r="T9" s="63" t="n">
        <f aca="false">'Assumption Setting'!$D$28</f>
        <v>450</v>
      </c>
      <c r="U9" s="63" t="n">
        <f aca="false">'Assumption Setting'!$D$28</f>
        <v>450</v>
      </c>
      <c r="V9" s="63" t="n">
        <f aca="false">'Assumption Setting'!$D$28</f>
        <v>450</v>
      </c>
      <c r="W9" s="63" t="n">
        <f aca="false">'Assumption Setting'!$D$28</f>
        <v>450</v>
      </c>
      <c r="X9" s="63" t="n">
        <f aca="false">'Assumption Setting'!$D$28</f>
        <v>450</v>
      </c>
      <c r="Y9" s="63" t="n">
        <f aca="false">'Assumption Setting'!$D$28</f>
        <v>450</v>
      </c>
      <c r="Z9" s="63" t="n">
        <f aca="false">'Assumption Setting'!$D$28</f>
        <v>450</v>
      </c>
      <c r="AA9" s="63" t="n">
        <f aca="false">'Assumption Setting'!$D$28</f>
        <v>450</v>
      </c>
      <c r="AB9" s="59" t="n">
        <f aca="false">SUM(AC9:AN9)</f>
        <v>9600</v>
      </c>
      <c r="AC9" s="63" t="n">
        <f aca="false">'Assumption Setting'!$E$28</f>
        <v>800</v>
      </c>
      <c r="AD9" s="63" t="n">
        <f aca="false">'Assumption Setting'!$E$28</f>
        <v>800</v>
      </c>
      <c r="AE9" s="63" t="n">
        <f aca="false">'Assumption Setting'!$E$28</f>
        <v>800</v>
      </c>
      <c r="AF9" s="63" t="n">
        <f aca="false">'Assumption Setting'!$E$28</f>
        <v>800</v>
      </c>
      <c r="AG9" s="63" t="n">
        <f aca="false">'Assumption Setting'!$E$28</f>
        <v>800</v>
      </c>
      <c r="AH9" s="63" t="n">
        <f aca="false">'Assumption Setting'!$E$28</f>
        <v>800</v>
      </c>
      <c r="AI9" s="63" t="n">
        <f aca="false">'Assumption Setting'!$E$28</f>
        <v>800</v>
      </c>
      <c r="AJ9" s="63" t="n">
        <f aca="false">'Assumption Setting'!$E$28</f>
        <v>800</v>
      </c>
      <c r="AK9" s="63" t="n">
        <f aca="false">'Assumption Setting'!$E$28</f>
        <v>800</v>
      </c>
      <c r="AL9" s="63" t="n">
        <f aca="false">'Assumption Setting'!$E$28</f>
        <v>800</v>
      </c>
      <c r="AM9" s="63" t="n">
        <f aca="false">'Assumption Setting'!$E$28</f>
        <v>800</v>
      </c>
      <c r="AN9" s="63" t="n">
        <f aca="false">'Assumption Setting'!$E$28</f>
        <v>800</v>
      </c>
      <c r="AO9" s="59" t="n">
        <f aca="false">SUM(AP9:BA9)</f>
        <v>13200</v>
      </c>
      <c r="AP9" s="63" t="n">
        <f aca="false">'Assumption Setting'!$F$28</f>
        <v>1100</v>
      </c>
      <c r="AQ9" s="63" t="n">
        <f aca="false">'Assumption Setting'!$F$28</f>
        <v>1100</v>
      </c>
      <c r="AR9" s="63" t="n">
        <f aca="false">'Assumption Setting'!$F$28</f>
        <v>1100</v>
      </c>
      <c r="AS9" s="63" t="n">
        <f aca="false">'Assumption Setting'!$F$28</f>
        <v>1100</v>
      </c>
      <c r="AT9" s="63" t="n">
        <f aca="false">'Assumption Setting'!$F$28</f>
        <v>1100</v>
      </c>
      <c r="AU9" s="63" t="n">
        <f aca="false">'Assumption Setting'!$F$28</f>
        <v>1100</v>
      </c>
      <c r="AV9" s="63" t="n">
        <f aca="false">'Assumption Setting'!$F$28</f>
        <v>1100</v>
      </c>
      <c r="AW9" s="63" t="n">
        <f aca="false">'Assumption Setting'!$F$28</f>
        <v>1100</v>
      </c>
      <c r="AX9" s="63" t="n">
        <f aca="false">'Assumption Setting'!$F$28</f>
        <v>1100</v>
      </c>
      <c r="AY9" s="63" t="n">
        <f aca="false">'Assumption Setting'!$F$28</f>
        <v>1100</v>
      </c>
      <c r="AZ9" s="63" t="n">
        <f aca="false">'Assumption Setting'!$F$28</f>
        <v>1100</v>
      </c>
      <c r="BA9" s="63" t="n">
        <f aca="false">'Assumption Setting'!$F$28</f>
        <v>1100</v>
      </c>
      <c r="BB9" s="59" t="n">
        <f aca="false">SUM(BC9:BN9)</f>
        <v>16800</v>
      </c>
      <c r="BC9" s="63" t="n">
        <f aca="false">'Assumption Setting'!$G$28</f>
        <v>1400</v>
      </c>
      <c r="BD9" s="63" t="n">
        <f aca="false">'Assumption Setting'!$G$28</f>
        <v>1400</v>
      </c>
      <c r="BE9" s="63" t="n">
        <f aca="false">'Assumption Setting'!$G$28</f>
        <v>1400</v>
      </c>
      <c r="BF9" s="63" t="n">
        <f aca="false">'Assumption Setting'!$G$28</f>
        <v>1400</v>
      </c>
      <c r="BG9" s="63" t="n">
        <f aca="false">'Assumption Setting'!$G$28</f>
        <v>1400</v>
      </c>
      <c r="BH9" s="63" t="n">
        <f aca="false">'Assumption Setting'!$G$28</f>
        <v>1400</v>
      </c>
      <c r="BI9" s="63" t="n">
        <f aca="false">'Assumption Setting'!$G$28</f>
        <v>1400</v>
      </c>
      <c r="BJ9" s="63" t="n">
        <f aca="false">'Assumption Setting'!$G$28</f>
        <v>1400</v>
      </c>
      <c r="BK9" s="63" t="n">
        <f aca="false">'Assumption Setting'!$G$28</f>
        <v>1400</v>
      </c>
      <c r="BL9" s="63" t="n">
        <f aca="false">'Assumption Setting'!$G$28</f>
        <v>1400</v>
      </c>
      <c r="BM9" s="63" t="n">
        <f aca="false">'Assumption Setting'!$G$28</f>
        <v>1400</v>
      </c>
      <c r="BN9" s="63" t="n">
        <f aca="false">'Assumption Setting'!$G$28</f>
        <v>1400</v>
      </c>
    </row>
    <row r="10" customFormat="false" ht="15" hidden="false" customHeight="false" outlineLevel="0" collapsed="false">
      <c r="A10" s="4" t="s">
        <v>359</v>
      </c>
      <c r="B10" s="59" t="n">
        <f aca="false">SUM(C10:N10)</f>
        <v>9996</v>
      </c>
      <c r="C10" s="63" t="n">
        <f aca="false">'Assumption Setting'!$C$29</f>
        <v>833</v>
      </c>
      <c r="D10" s="63" t="n">
        <f aca="false">'Assumption Setting'!$C$29</f>
        <v>833</v>
      </c>
      <c r="E10" s="63" t="n">
        <f aca="false">'Assumption Setting'!$C$29</f>
        <v>833</v>
      </c>
      <c r="F10" s="63" t="n">
        <f aca="false">'Assumption Setting'!$C$29</f>
        <v>833</v>
      </c>
      <c r="G10" s="63" t="n">
        <f aca="false">'Assumption Setting'!$C$29</f>
        <v>833</v>
      </c>
      <c r="H10" s="63" t="n">
        <f aca="false">'Assumption Setting'!$C$29</f>
        <v>833</v>
      </c>
      <c r="I10" s="63" t="n">
        <f aca="false">'Assumption Setting'!$C$29</f>
        <v>833</v>
      </c>
      <c r="J10" s="63" t="n">
        <f aca="false">'Assumption Setting'!$C$29</f>
        <v>833</v>
      </c>
      <c r="K10" s="63" t="n">
        <f aca="false">'Assumption Setting'!$C$29</f>
        <v>833</v>
      </c>
      <c r="L10" s="63" t="n">
        <f aca="false">'Assumption Setting'!$C$29</f>
        <v>833</v>
      </c>
      <c r="M10" s="63" t="n">
        <f aca="false">'Assumption Setting'!$C$29</f>
        <v>833</v>
      </c>
      <c r="N10" s="63" t="n">
        <f aca="false">'Assumption Setting'!$C$29</f>
        <v>833</v>
      </c>
      <c r="O10" s="59" t="n">
        <f aca="false">SUM(P10:AA10)</f>
        <v>18000</v>
      </c>
      <c r="P10" s="63" t="n">
        <f aca="false">'Assumption Setting'!$D$29</f>
        <v>1500</v>
      </c>
      <c r="Q10" s="63" t="n">
        <f aca="false">'Assumption Setting'!$D$29</f>
        <v>1500</v>
      </c>
      <c r="R10" s="63" t="n">
        <f aca="false">'Assumption Setting'!$D$29</f>
        <v>1500</v>
      </c>
      <c r="S10" s="63" t="n">
        <f aca="false">'Assumption Setting'!$D$29</f>
        <v>1500</v>
      </c>
      <c r="T10" s="63" t="n">
        <f aca="false">'Assumption Setting'!$D$29</f>
        <v>1500</v>
      </c>
      <c r="U10" s="63" t="n">
        <f aca="false">'Assumption Setting'!$D$29</f>
        <v>1500</v>
      </c>
      <c r="V10" s="63" t="n">
        <f aca="false">'Assumption Setting'!$D$29</f>
        <v>1500</v>
      </c>
      <c r="W10" s="63" t="n">
        <f aca="false">'Assumption Setting'!$D$29</f>
        <v>1500</v>
      </c>
      <c r="X10" s="63" t="n">
        <f aca="false">'Assumption Setting'!$D$29</f>
        <v>1500</v>
      </c>
      <c r="Y10" s="63" t="n">
        <f aca="false">'Assumption Setting'!$D$29</f>
        <v>1500</v>
      </c>
      <c r="Z10" s="63" t="n">
        <f aca="false">'Assumption Setting'!$D$29</f>
        <v>1500</v>
      </c>
      <c r="AA10" s="63" t="n">
        <f aca="false">'Assumption Setting'!$D$29</f>
        <v>1500</v>
      </c>
      <c r="AB10" s="59" t="n">
        <f aca="false">SUM(AC10:AN10)</f>
        <v>28800</v>
      </c>
      <c r="AC10" s="63" t="n">
        <f aca="false">'Assumption Setting'!$E$29</f>
        <v>2400</v>
      </c>
      <c r="AD10" s="63" t="n">
        <f aca="false">'Assumption Setting'!$E$29</f>
        <v>2400</v>
      </c>
      <c r="AE10" s="63" t="n">
        <f aca="false">'Assumption Setting'!$E$29</f>
        <v>2400</v>
      </c>
      <c r="AF10" s="63" t="n">
        <f aca="false">'Assumption Setting'!$E$29</f>
        <v>2400</v>
      </c>
      <c r="AG10" s="63" t="n">
        <f aca="false">'Assumption Setting'!$E$29</f>
        <v>2400</v>
      </c>
      <c r="AH10" s="63" t="n">
        <f aca="false">'Assumption Setting'!$E$29</f>
        <v>2400</v>
      </c>
      <c r="AI10" s="63" t="n">
        <f aca="false">'Assumption Setting'!$E$29</f>
        <v>2400</v>
      </c>
      <c r="AJ10" s="63" t="n">
        <f aca="false">'Assumption Setting'!$E$29</f>
        <v>2400</v>
      </c>
      <c r="AK10" s="63" t="n">
        <f aca="false">'Assumption Setting'!$E$29</f>
        <v>2400</v>
      </c>
      <c r="AL10" s="63" t="n">
        <f aca="false">'Assumption Setting'!$E$29</f>
        <v>2400</v>
      </c>
      <c r="AM10" s="63" t="n">
        <f aca="false">'Assumption Setting'!$E$29</f>
        <v>2400</v>
      </c>
      <c r="AN10" s="63" t="n">
        <f aca="false">'Assumption Setting'!$E$29</f>
        <v>2400</v>
      </c>
      <c r="AO10" s="59" t="n">
        <f aca="false">SUM(AP10:BA10)</f>
        <v>38400</v>
      </c>
      <c r="AP10" s="63" t="n">
        <f aca="false">'Assumption Setting'!$F$29</f>
        <v>3200</v>
      </c>
      <c r="AQ10" s="63" t="n">
        <f aca="false">'Assumption Setting'!$F$29</f>
        <v>3200</v>
      </c>
      <c r="AR10" s="63" t="n">
        <f aca="false">'Assumption Setting'!$F$29</f>
        <v>3200</v>
      </c>
      <c r="AS10" s="63" t="n">
        <f aca="false">'Assumption Setting'!$F$29</f>
        <v>3200</v>
      </c>
      <c r="AT10" s="63" t="n">
        <f aca="false">'Assumption Setting'!$F$29</f>
        <v>3200</v>
      </c>
      <c r="AU10" s="63" t="n">
        <f aca="false">'Assumption Setting'!$F$29</f>
        <v>3200</v>
      </c>
      <c r="AV10" s="63" t="n">
        <f aca="false">'Assumption Setting'!$F$29</f>
        <v>3200</v>
      </c>
      <c r="AW10" s="63" t="n">
        <f aca="false">'Assumption Setting'!$F$29</f>
        <v>3200</v>
      </c>
      <c r="AX10" s="63" t="n">
        <f aca="false">'Assumption Setting'!$F$29</f>
        <v>3200</v>
      </c>
      <c r="AY10" s="63" t="n">
        <f aca="false">'Assumption Setting'!$F$29</f>
        <v>3200</v>
      </c>
      <c r="AZ10" s="63" t="n">
        <f aca="false">'Assumption Setting'!$F$29</f>
        <v>3200</v>
      </c>
      <c r="BA10" s="63" t="n">
        <f aca="false">'Assumption Setting'!$F$29</f>
        <v>3200</v>
      </c>
      <c r="BB10" s="59" t="n">
        <f aca="false">SUM(BC10:BN10)</f>
        <v>48000</v>
      </c>
      <c r="BC10" s="63" t="n">
        <f aca="false">'Assumption Setting'!$G$29</f>
        <v>4000</v>
      </c>
      <c r="BD10" s="63" t="n">
        <f aca="false">'Assumption Setting'!$G$29</f>
        <v>4000</v>
      </c>
      <c r="BE10" s="63" t="n">
        <f aca="false">'Assumption Setting'!$G$29</f>
        <v>4000</v>
      </c>
      <c r="BF10" s="63" t="n">
        <f aca="false">'Assumption Setting'!$G$29</f>
        <v>4000</v>
      </c>
      <c r="BG10" s="63" t="n">
        <f aca="false">'Assumption Setting'!$G$29</f>
        <v>4000</v>
      </c>
      <c r="BH10" s="63" t="n">
        <f aca="false">'Assumption Setting'!$G$29</f>
        <v>4000</v>
      </c>
      <c r="BI10" s="63" t="n">
        <f aca="false">'Assumption Setting'!$G$29</f>
        <v>4000</v>
      </c>
      <c r="BJ10" s="63" t="n">
        <f aca="false">'Assumption Setting'!$G$29</f>
        <v>4000</v>
      </c>
      <c r="BK10" s="63" t="n">
        <f aca="false">'Assumption Setting'!$G$29</f>
        <v>4000</v>
      </c>
      <c r="BL10" s="63" t="n">
        <f aca="false">'Assumption Setting'!$G$29</f>
        <v>4000</v>
      </c>
      <c r="BM10" s="63" t="n">
        <f aca="false">'Assumption Setting'!$G$29</f>
        <v>4000</v>
      </c>
      <c r="BN10" s="63" t="n">
        <f aca="false">'Assumption Setting'!$G$29</f>
        <v>4000</v>
      </c>
    </row>
    <row r="11" customFormat="false" ht="15" hidden="false" customHeight="false" outlineLevel="0" collapsed="false">
      <c r="A11" s="4" t="s">
        <v>360</v>
      </c>
      <c r="B11" s="59" t="n">
        <f aca="false">SUM(C11:N11)</f>
        <v>5004</v>
      </c>
      <c r="C11" s="63" t="n">
        <f aca="false">'Assumption Setting'!$C$30</f>
        <v>417</v>
      </c>
      <c r="D11" s="63" t="n">
        <f aca="false">'Assumption Setting'!$C$30</f>
        <v>417</v>
      </c>
      <c r="E11" s="63" t="n">
        <f aca="false">'Assumption Setting'!$C$30</f>
        <v>417</v>
      </c>
      <c r="F11" s="63" t="n">
        <f aca="false">'Assumption Setting'!$C$30</f>
        <v>417</v>
      </c>
      <c r="G11" s="63" t="n">
        <f aca="false">'Assumption Setting'!$C$30</f>
        <v>417</v>
      </c>
      <c r="H11" s="63" t="n">
        <f aca="false">'Assumption Setting'!$C$30</f>
        <v>417</v>
      </c>
      <c r="I11" s="63" t="n">
        <f aca="false">'Assumption Setting'!$C$30</f>
        <v>417</v>
      </c>
      <c r="J11" s="63" t="n">
        <f aca="false">'Assumption Setting'!$C$30</f>
        <v>417</v>
      </c>
      <c r="K11" s="63" t="n">
        <f aca="false">'Assumption Setting'!$C$30</f>
        <v>417</v>
      </c>
      <c r="L11" s="63" t="n">
        <f aca="false">'Assumption Setting'!$C$30</f>
        <v>417</v>
      </c>
      <c r="M11" s="63" t="n">
        <f aca="false">'Assumption Setting'!$C$30</f>
        <v>417</v>
      </c>
      <c r="N11" s="63" t="n">
        <f aca="false">'Assumption Setting'!$C$30</f>
        <v>417</v>
      </c>
      <c r="O11" s="59" t="n">
        <f aca="false">SUM(P11:AA11)</f>
        <v>10800</v>
      </c>
      <c r="P11" s="63" t="n">
        <f aca="false">'Assumption Setting'!$D$30</f>
        <v>900</v>
      </c>
      <c r="Q11" s="63" t="n">
        <f aca="false">'Assumption Setting'!$D$30</f>
        <v>900</v>
      </c>
      <c r="R11" s="63" t="n">
        <f aca="false">'Assumption Setting'!$D$30</f>
        <v>900</v>
      </c>
      <c r="S11" s="63" t="n">
        <f aca="false">'Assumption Setting'!$D$30</f>
        <v>900</v>
      </c>
      <c r="T11" s="63" t="n">
        <f aca="false">'Assumption Setting'!$D$30</f>
        <v>900</v>
      </c>
      <c r="U11" s="63" t="n">
        <f aca="false">'Assumption Setting'!$D$30</f>
        <v>900</v>
      </c>
      <c r="V11" s="63" t="n">
        <f aca="false">'Assumption Setting'!$D$30</f>
        <v>900</v>
      </c>
      <c r="W11" s="63" t="n">
        <f aca="false">'Assumption Setting'!$D$30</f>
        <v>900</v>
      </c>
      <c r="X11" s="63" t="n">
        <f aca="false">'Assumption Setting'!$D$30</f>
        <v>900</v>
      </c>
      <c r="Y11" s="63" t="n">
        <f aca="false">'Assumption Setting'!$D$30</f>
        <v>900</v>
      </c>
      <c r="Z11" s="63" t="n">
        <f aca="false">'Assumption Setting'!$D$30</f>
        <v>900</v>
      </c>
      <c r="AA11" s="63" t="n">
        <f aca="false">'Assumption Setting'!$D$30</f>
        <v>900</v>
      </c>
      <c r="AB11" s="59" t="n">
        <f aca="false">SUM(AC11:AN11)</f>
        <v>18000</v>
      </c>
      <c r="AC11" s="63" t="n">
        <f aca="false">'Assumption Setting'!$E$30</f>
        <v>1500</v>
      </c>
      <c r="AD11" s="63" t="n">
        <f aca="false">'Assumption Setting'!$E$30</f>
        <v>1500</v>
      </c>
      <c r="AE11" s="63" t="n">
        <f aca="false">'Assumption Setting'!$E$30</f>
        <v>1500</v>
      </c>
      <c r="AF11" s="63" t="n">
        <f aca="false">'Assumption Setting'!$E$30</f>
        <v>1500</v>
      </c>
      <c r="AG11" s="63" t="n">
        <f aca="false">'Assumption Setting'!$E$30</f>
        <v>1500</v>
      </c>
      <c r="AH11" s="63" t="n">
        <f aca="false">'Assumption Setting'!$E$30</f>
        <v>1500</v>
      </c>
      <c r="AI11" s="63" t="n">
        <f aca="false">'Assumption Setting'!$E$30</f>
        <v>1500</v>
      </c>
      <c r="AJ11" s="63" t="n">
        <f aca="false">'Assumption Setting'!$E$30</f>
        <v>1500</v>
      </c>
      <c r="AK11" s="63" t="n">
        <f aca="false">'Assumption Setting'!$E$30</f>
        <v>1500</v>
      </c>
      <c r="AL11" s="63" t="n">
        <f aca="false">'Assumption Setting'!$E$30</f>
        <v>1500</v>
      </c>
      <c r="AM11" s="63" t="n">
        <f aca="false">'Assumption Setting'!$E$30</f>
        <v>1500</v>
      </c>
      <c r="AN11" s="63" t="n">
        <f aca="false">'Assumption Setting'!$E$30</f>
        <v>1500</v>
      </c>
      <c r="AO11" s="59" t="n">
        <f aca="false">SUM(AP11:BA11)</f>
        <v>25200</v>
      </c>
      <c r="AP11" s="63" t="n">
        <f aca="false">'Assumption Setting'!$F$30</f>
        <v>2100</v>
      </c>
      <c r="AQ11" s="63" t="n">
        <f aca="false">'Assumption Setting'!$F$30</f>
        <v>2100</v>
      </c>
      <c r="AR11" s="63" t="n">
        <f aca="false">'Assumption Setting'!$F$30</f>
        <v>2100</v>
      </c>
      <c r="AS11" s="63" t="n">
        <f aca="false">'Assumption Setting'!$F$30</f>
        <v>2100</v>
      </c>
      <c r="AT11" s="63" t="n">
        <f aca="false">'Assumption Setting'!$F$30</f>
        <v>2100</v>
      </c>
      <c r="AU11" s="63" t="n">
        <f aca="false">'Assumption Setting'!$F$30</f>
        <v>2100</v>
      </c>
      <c r="AV11" s="63" t="n">
        <f aca="false">'Assumption Setting'!$F$30</f>
        <v>2100</v>
      </c>
      <c r="AW11" s="63" t="n">
        <f aca="false">'Assumption Setting'!$F$30</f>
        <v>2100</v>
      </c>
      <c r="AX11" s="63" t="n">
        <f aca="false">'Assumption Setting'!$F$30</f>
        <v>2100</v>
      </c>
      <c r="AY11" s="63" t="n">
        <f aca="false">'Assumption Setting'!$F$30</f>
        <v>2100</v>
      </c>
      <c r="AZ11" s="63" t="n">
        <f aca="false">'Assumption Setting'!$F$30</f>
        <v>2100</v>
      </c>
      <c r="BA11" s="63" t="n">
        <f aca="false">'Assumption Setting'!$F$30</f>
        <v>2100</v>
      </c>
      <c r="BB11" s="59" t="n">
        <f aca="false">SUM(BC11:BN11)</f>
        <v>32400</v>
      </c>
      <c r="BC11" s="63" t="n">
        <f aca="false">'Assumption Setting'!$G$30</f>
        <v>2700</v>
      </c>
      <c r="BD11" s="63" t="n">
        <f aca="false">'Assumption Setting'!$G$30</f>
        <v>2700</v>
      </c>
      <c r="BE11" s="63" t="n">
        <f aca="false">'Assumption Setting'!$G$30</f>
        <v>2700</v>
      </c>
      <c r="BF11" s="63" t="n">
        <f aca="false">'Assumption Setting'!$G$30</f>
        <v>2700</v>
      </c>
      <c r="BG11" s="63" t="n">
        <f aca="false">'Assumption Setting'!$G$30</f>
        <v>2700</v>
      </c>
      <c r="BH11" s="63" t="n">
        <f aca="false">'Assumption Setting'!$G$30</f>
        <v>2700</v>
      </c>
      <c r="BI11" s="63" t="n">
        <f aca="false">'Assumption Setting'!$G$30</f>
        <v>2700</v>
      </c>
      <c r="BJ11" s="63" t="n">
        <f aca="false">'Assumption Setting'!$G$30</f>
        <v>2700</v>
      </c>
      <c r="BK11" s="63" t="n">
        <f aca="false">'Assumption Setting'!$G$30</f>
        <v>2700</v>
      </c>
      <c r="BL11" s="63" t="n">
        <f aca="false">'Assumption Setting'!$G$30</f>
        <v>2700</v>
      </c>
      <c r="BM11" s="63" t="n">
        <f aca="false">'Assumption Setting'!$G$30</f>
        <v>2700</v>
      </c>
      <c r="BN11" s="63" t="n">
        <f aca="false">'Assumption Setting'!$G$30</f>
        <v>2700</v>
      </c>
    </row>
    <row r="12" customFormat="false" ht="15" hidden="false" customHeight="false" outlineLevel="0" collapsed="false">
      <c r="A12" s="4" t="s">
        <v>361</v>
      </c>
      <c r="B12" s="59" t="n">
        <f aca="false">SUM(C12:N12)</f>
        <v>3600</v>
      </c>
      <c r="C12" s="63" t="n">
        <f aca="false">'Assumption Setting'!$C$31</f>
        <v>300</v>
      </c>
      <c r="D12" s="63" t="n">
        <f aca="false">'Assumption Setting'!$C$31</f>
        <v>300</v>
      </c>
      <c r="E12" s="63" t="n">
        <f aca="false">'Assumption Setting'!$C$31</f>
        <v>300</v>
      </c>
      <c r="F12" s="63" t="n">
        <f aca="false">'Assumption Setting'!$C$31</f>
        <v>300</v>
      </c>
      <c r="G12" s="63" t="n">
        <f aca="false">'Assumption Setting'!$C$31</f>
        <v>300</v>
      </c>
      <c r="H12" s="63" t="n">
        <f aca="false">'Assumption Setting'!$C$31</f>
        <v>300</v>
      </c>
      <c r="I12" s="63" t="n">
        <f aca="false">'Assumption Setting'!$C$31</f>
        <v>300</v>
      </c>
      <c r="J12" s="63" t="n">
        <f aca="false">'Assumption Setting'!$C$31</f>
        <v>300</v>
      </c>
      <c r="K12" s="63" t="n">
        <f aca="false">'Assumption Setting'!$C$31</f>
        <v>300</v>
      </c>
      <c r="L12" s="63" t="n">
        <f aca="false">'Assumption Setting'!$C$31</f>
        <v>300</v>
      </c>
      <c r="M12" s="63" t="n">
        <f aca="false">'Assumption Setting'!$C$31</f>
        <v>300</v>
      </c>
      <c r="N12" s="63" t="n">
        <f aca="false">'Assumption Setting'!$C$31</f>
        <v>300</v>
      </c>
      <c r="O12" s="59" t="n">
        <f aca="false">SUM(P12:AA12)</f>
        <v>7800</v>
      </c>
      <c r="P12" s="63" t="n">
        <f aca="false">'Assumption Setting'!$D$31</f>
        <v>650</v>
      </c>
      <c r="Q12" s="63" t="n">
        <f aca="false">'Assumption Setting'!$D$31</f>
        <v>650</v>
      </c>
      <c r="R12" s="63" t="n">
        <f aca="false">'Assumption Setting'!$D$31</f>
        <v>650</v>
      </c>
      <c r="S12" s="63" t="n">
        <f aca="false">'Assumption Setting'!$D$31</f>
        <v>650</v>
      </c>
      <c r="T12" s="63" t="n">
        <f aca="false">'Assumption Setting'!$D$31</f>
        <v>650</v>
      </c>
      <c r="U12" s="63" t="n">
        <f aca="false">'Assumption Setting'!$D$31</f>
        <v>650</v>
      </c>
      <c r="V12" s="63" t="n">
        <f aca="false">'Assumption Setting'!$D$31</f>
        <v>650</v>
      </c>
      <c r="W12" s="63" t="n">
        <f aca="false">'Assumption Setting'!$D$31</f>
        <v>650</v>
      </c>
      <c r="X12" s="63" t="n">
        <f aca="false">'Assumption Setting'!$D$31</f>
        <v>650</v>
      </c>
      <c r="Y12" s="63" t="n">
        <f aca="false">'Assumption Setting'!$D$31</f>
        <v>650</v>
      </c>
      <c r="Z12" s="63" t="n">
        <f aca="false">'Assumption Setting'!$D$31</f>
        <v>650</v>
      </c>
      <c r="AA12" s="63" t="n">
        <f aca="false">'Assumption Setting'!$D$31</f>
        <v>650</v>
      </c>
      <c r="AB12" s="59" t="n">
        <f aca="false">SUM(AC12:AN12)</f>
        <v>13200</v>
      </c>
      <c r="AC12" s="63" t="n">
        <f aca="false">'Assumption Setting'!$E$31</f>
        <v>1100</v>
      </c>
      <c r="AD12" s="63" t="n">
        <f aca="false">'Assumption Setting'!$E$31</f>
        <v>1100</v>
      </c>
      <c r="AE12" s="63" t="n">
        <f aca="false">'Assumption Setting'!$E$31</f>
        <v>1100</v>
      </c>
      <c r="AF12" s="63" t="n">
        <f aca="false">'Assumption Setting'!$E$31</f>
        <v>1100</v>
      </c>
      <c r="AG12" s="63" t="n">
        <f aca="false">'Assumption Setting'!$E$31</f>
        <v>1100</v>
      </c>
      <c r="AH12" s="63" t="n">
        <f aca="false">'Assumption Setting'!$E$31</f>
        <v>1100</v>
      </c>
      <c r="AI12" s="63" t="n">
        <f aca="false">'Assumption Setting'!$E$31</f>
        <v>1100</v>
      </c>
      <c r="AJ12" s="63" t="n">
        <f aca="false">'Assumption Setting'!$E$31</f>
        <v>1100</v>
      </c>
      <c r="AK12" s="63" t="n">
        <f aca="false">'Assumption Setting'!$E$31</f>
        <v>1100</v>
      </c>
      <c r="AL12" s="63" t="n">
        <f aca="false">'Assumption Setting'!$E$31</f>
        <v>1100</v>
      </c>
      <c r="AM12" s="63" t="n">
        <f aca="false">'Assumption Setting'!$E$31</f>
        <v>1100</v>
      </c>
      <c r="AN12" s="63" t="n">
        <f aca="false">'Assumption Setting'!$E$31</f>
        <v>1100</v>
      </c>
      <c r="AO12" s="59" t="n">
        <f aca="false">SUM(AP12:BA12)</f>
        <v>18000</v>
      </c>
      <c r="AP12" s="63" t="n">
        <f aca="false">'Assumption Setting'!$F$31</f>
        <v>1500</v>
      </c>
      <c r="AQ12" s="63" t="n">
        <f aca="false">'Assumption Setting'!$F$31</f>
        <v>1500</v>
      </c>
      <c r="AR12" s="63" t="n">
        <f aca="false">'Assumption Setting'!$F$31</f>
        <v>1500</v>
      </c>
      <c r="AS12" s="63" t="n">
        <f aca="false">'Assumption Setting'!$F$31</f>
        <v>1500</v>
      </c>
      <c r="AT12" s="63" t="n">
        <f aca="false">'Assumption Setting'!$F$31</f>
        <v>1500</v>
      </c>
      <c r="AU12" s="63" t="n">
        <f aca="false">'Assumption Setting'!$F$31</f>
        <v>1500</v>
      </c>
      <c r="AV12" s="63" t="n">
        <f aca="false">'Assumption Setting'!$F$31</f>
        <v>1500</v>
      </c>
      <c r="AW12" s="63" t="n">
        <f aca="false">'Assumption Setting'!$F$31</f>
        <v>1500</v>
      </c>
      <c r="AX12" s="63" t="n">
        <f aca="false">'Assumption Setting'!$F$31</f>
        <v>1500</v>
      </c>
      <c r="AY12" s="63" t="n">
        <f aca="false">'Assumption Setting'!$F$31</f>
        <v>1500</v>
      </c>
      <c r="AZ12" s="63" t="n">
        <f aca="false">'Assumption Setting'!$F$31</f>
        <v>1500</v>
      </c>
      <c r="BA12" s="63" t="n">
        <f aca="false">'Assumption Setting'!$F$31</f>
        <v>1500</v>
      </c>
      <c r="BB12" s="59" t="n">
        <f aca="false">SUM(BC12:BN12)</f>
        <v>22800</v>
      </c>
      <c r="BC12" s="63" t="n">
        <f aca="false">'Assumption Setting'!$G$31</f>
        <v>1900</v>
      </c>
      <c r="BD12" s="63" t="n">
        <f aca="false">'Assumption Setting'!$G$31</f>
        <v>1900</v>
      </c>
      <c r="BE12" s="63" t="n">
        <f aca="false">'Assumption Setting'!$G$31</f>
        <v>1900</v>
      </c>
      <c r="BF12" s="63" t="n">
        <f aca="false">'Assumption Setting'!$G$31</f>
        <v>1900</v>
      </c>
      <c r="BG12" s="63" t="n">
        <f aca="false">'Assumption Setting'!$G$31</f>
        <v>1900</v>
      </c>
      <c r="BH12" s="63" t="n">
        <f aca="false">'Assumption Setting'!$G$31</f>
        <v>1900</v>
      </c>
      <c r="BI12" s="63" t="n">
        <f aca="false">'Assumption Setting'!$G$31</f>
        <v>1900</v>
      </c>
      <c r="BJ12" s="63" t="n">
        <f aca="false">'Assumption Setting'!$G$31</f>
        <v>1900</v>
      </c>
      <c r="BK12" s="63" t="n">
        <f aca="false">'Assumption Setting'!$G$31</f>
        <v>1900</v>
      </c>
      <c r="BL12" s="63" t="n">
        <f aca="false">'Assumption Setting'!$G$31</f>
        <v>1900</v>
      </c>
      <c r="BM12" s="63" t="n">
        <f aca="false">'Assumption Setting'!$G$31</f>
        <v>1900</v>
      </c>
      <c r="BN12" s="63" t="n">
        <f aca="false">'Assumption Setting'!$G$31</f>
        <v>1900</v>
      </c>
    </row>
    <row r="13" customFormat="false" ht="15" hidden="false" customHeight="false" outlineLevel="0" collapsed="false">
      <c r="A13" s="13" t="s">
        <v>664</v>
      </c>
      <c r="B13" s="59" t="n">
        <f aca="false">SUM(C13:N13)</f>
        <v>40200</v>
      </c>
      <c r="C13" s="61" t="n">
        <f aca="false">SUM(C6:C12)</f>
        <v>3350</v>
      </c>
      <c r="D13" s="61" t="n">
        <f aca="false">SUM(D6:D12)</f>
        <v>3350</v>
      </c>
      <c r="E13" s="61" t="n">
        <f aca="false">SUM(E6:E12)</f>
        <v>3350</v>
      </c>
      <c r="F13" s="61" t="n">
        <f aca="false">SUM(F6:F12)</f>
        <v>3350</v>
      </c>
      <c r="G13" s="61" t="n">
        <f aca="false">SUM(G6:G12)</f>
        <v>3350</v>
      </c>
      <c r="H13" s="61" t="n">
        <f aca="false">SUM(H6:H12)</f>
        <v>3350</v>
      </c>
      <c r="I13" s="61" t="n">
        <f aca="false">SUM(I6:I12)</f>
        <v>3350</v>
      </c>
      <c r="J13" s="61" t="n">
        <f aca="false">SUM(J6:J12)</f>
        <v>3350</v>
      </c>
      <c r="K13" s="61" t="n">
        <f aca="false">SUM(K6:K12)</f>
        <v>3350</v>
      </c>
      <c r="L13" s="61" t="n">
        <f aca="false">SUM(L6:L12)</f>
        <v>3350</v>
      </c>
      <c r="M13" s="61" t="n">
        <f aca="false">SUM(M6:M12)</f>
        <v>3350</v>
      </c>
      <c r="N13" s="61" t="n">
        <f aca="false">SUM(N6:N12)</f>
        <v>3350</v>
      </c>
      <c r="O13" s="59" t="n">
        <f aca="false">SUM(P13:AA13)</f>
        <v>90000</v>
      </c>
      <c r="P13" s="61" t="n">
        <f aca="false">SUM(P6:P12)</f>
        <v>7500</v>
      </c>
      <c r="Q13" s="61" t="n">
        <f aca="false">SUM(Q6:Q12)</f>
        <v>7500</v>
      </c>
      <c r="R13" s="61" t="n">
        <f aca="false">SUM(R6:R12)</f>
        <v>7500</v>
      </c>
      <c r="S13" s="61" t="n">
        <f aca="false">SUM(S6:S12)</f>
        <v>7500</v>
      </c>
      <c r="T13" s="61" t="n">
        <f aca="false">SUM(T6:T12)</f>
        <v>7500</v>
      </c>
      <c r="U13" s="61" t="n">
        <f aca="false">SUM(U6:U12)</f>
        <v>7500</v>
      </c>
      <c r="V13" s="61" t="n">
        <f aca="false">SUM(V6:V12)</f>
        <v>7500</v>
      </c>
      <c r="W13" s="61" t="n">
        <f aca="false">SUM(W6:W12)</f>
        <v>7500</v>
      </c>
      <c r="X13" s="61" t="n">
        <f aca="false">SUM(X6:X12)</f>
        <v>7500</v>
      </c>
      <c r="Y13" s="61" t="n">
        <f aca="false">SUM(Y6:Y12)</f>
        <v>7500</v>
      </c>
      <c r="Z13" s="61" t="n">
        <f aca="false">SUM(Z6:Z12)</f>
        <v>7500</v>
      </c>
      <c r="AA13" s="61" t="n">
        <f aca="false">SUM(AA6:AA12)</f>
        <v>7500</v>
      </c>
      <c r="AB13" s="59" t="n">
        <f aca="false">SUM(AC13:AN13)</f>
        <v>156000</v>
      </c>
      <c r="AC13" s="61" t="n">
        <f aca="false">SUM(AC6:AC12)</f>
        <v>13000</v>
      </c>
      <c r="AD13" s="61" t="n">
        <f aca="false">SUM(AD6:AD12)</f>
        <v>13000</v>
      </c>
      <c r="AE13" s="61" t="n">
        <f aca="false">SUM(AE6:AE12)</f>
        <v>13000</v>
      </c>
      <c r="AF13" s="61" t="n">
        <f aca="false">SUM(AF6:AF12)</f>
        <v>13000</v>
      </c>
      <c r="AG13" s="61" t="n">
        <f aca="false">SUM(AG6:AG12)</f>
        <v>13000</v>
      </c>
      <c r="AH13" s="61" t="n">
        <f aca="false">SUM(AH6:AH12)</f>
        <v>13000</v>
      </c>
      <c r="AI13" s="61" t="n">
        <f aca="false">SUM(AI6:AI12)</f>
        <v>13000</v>
      </c>
      <c r="AJ13" s="61" t="n">
        <f aca="false">SUM(AJ6:AJ12)</f>
        <v>13000</v>
      </c>
      <c r="AK13" s="61" t="n">
        <f aca="false">SUM(AK6:AK12)</f>
        <v>13000</v>
      </c>
      <c r="AL13" s="61" t="n">
        <f aca="false">SUM(AL6:AL12)</f>
        <v>13000</v>
      </c>
      <c r="AM13" s="61" t="n">
        <f aca="false">SUM(AM6:AM12)</f>
        <v>13000</v>
      </c>
      <c r="AN13" s="61" t="n">
        <f aca="false">SUM(AN6:AN12)</f>
        <v>13000</v>
      </c>
      <c r="AO13" s="59" t="n">
        <f aca="false">SUM(AP13:BA13)</f>
        <v>219600</v>
      </c>
      <c r="AP13" s="61" t="n">
        <f aca="false">SUM(AP6:AP12)</f>
        <v>18300</v>
      </c>
      <c r="AQ13" s="61" t="n">
        <f aca="false">SUM(AQ6:AQ12)</f>
        <v>18300</v>
      </c>
      <c r="AR13" s="61" t="n">
        <f aca="false">SUM(AR6:AR12)</f>
        <v>18300</v>
      </c>
      <c r="AS13" s="61" t="n">
        <f aca="false">SUM(AS6:AS12)</f>
        <v>18300</v>
      </c>
      <c r="AT13" s="61" t="n">
        <f aca="false">SUM(AT6:AT12)</f>
        <v>18300</v>
      </c>
      <c r="AU13" s="61" t="n">
        <f aca="false">SUM(AU6:AU12)</f>
        <v>18300</v>
      </c>
      <c r="AV13" s="61" t="n">
        <f aca="false">SUM(AV6:AV12)</f>
        <v>18300</v>
      </c>
      <c r="AW13" s="61" t="n">
        <f aca="false">SUM(AW6:AW12)</f>
        <v>18300</v>
      </c>
      <c r="AX13" s="61" t="n">
        <f aca="false">SUM(AX6:AX12)</f>
        <v>18300</v>
      </c>
      <c r="AY13" s="61" t="n">
        <f aca="false">SUM(AY6:AY12)</f>
        <v>18300</v>
      </c>
      <c r="AZ13" s="61" t="n">
        <f aca="false">SUM(AZ6:AZ12)</f>
        <v>18300</v>
      </c>
      <c r="BA13" s="61" t="n">
        <f aca="false">SUM(BA6:BA12)</f>
        <v>18300</v>
      </c>
      <c r="BB13" s="59" t="n">
        <f aca="false">SUM(BC13:BN13)</f>
        <v>282000</v>
      </c>
      <c r="BC13" s="61" t="n">
        <f aca="false">SUM(BC6:BC12)</f>
        <v>23500</v>
      </c>
      <c r="BD13" s="61" t="n">
        <f aca="false">SUM(BD6:BD12)</f>
        <v>23500</v>
      </c>
      <c r="BE13" s="61" t="n">
        <f aca="false">SUM(BE6:BE12)</f>
        <v>23500</v>
      </c>
      <c r="BF13" s="61" t="n">
        <f aca="false">SUM(BF6:BF12)</f>
        <v>23500</v>
      </c>
      <c r="BG13" s="61" t="n">
        <f aca="false">SUM(BG6:BG12)</f>
        <v>23500</v>
      </c>
      <c r="BH13" s="61" t="n">
        <f aca="false">SUM(BH6:BH12)</f>
        <v>23500</v>
      </c>
      <c r="BI13" s="61" t="n">
        <f aca="false">SUM(BI6:BI12)</f>
        <v>23500</v>
      </c>
      <c r="BJ13" s="61" t="n">
        <f aca="false">SUM(BJ6:BJ12)</f>
        <v>23500</v>
      </c>
      <c r="BK13" s="61" t="n">
        <f aca="false">SUM(BK6:BK12)</f>
        <v>23500</v>
      </c>
      <c r="BL13" s="61" t="n">
        <f aca="false">SUM(BL6:BL12)</f>
        <v>23500</v>
      </c>
      <c r="BM13" s="61" t="n">
        <f aca="false">SUM(BM6:BM12)</f>
        <v>23500</v>
      </c>
      <c r="BN13" s="61" t="n">
        <f aca="false">SUM(BN6:BN12)</f>
        <v>23500</v>
      </c>
    </row>
    <row r="15" customFormat="false" ht="15" hidden="false" customHeight="false" outlineLevel="0" collapsed="false">
      <c r="A15" s="9" t="s">
        <v>665</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row>
    <row r="16" customFormat="false" ht="15" hidden="false" customHeight="false" outlineLevel="0" collapsed="false">
      <c r="A16" s="56" t="s">
        <v>632</v>
      </c>
      <c r="B16" s="57" t="s">
        <v>87</v>
      </c>
      <c r="C16" s="58" t="s">
        <v>562</v>
      </c>
      <c r="D16" s="58" t="s">
        <v>563</v>
      </c>
      <c r="E16" s="58" t="s">
        <v>564</v>
      </c>
      <c r="F16" s="58" t="s">
        <v>565</v>
      </c>
      <c r="G16" s="58" t="s">
        <v>566</v>
      </c>
      <c r="H16" s="58" t="s">
        <v>567</v>
      </c>
      <c r="I16" s="58" t="s">
        <v>568</v>
      </c>
      <c r="J16" s="58" t="s">
        <v>569</v>
      </c>
      <c r="K16" s="58" t="s">
        <v>570</v>
      </c>
      <c r="L16" s="58" t="s">
        <v>571</v>
      </c>
      <c r="M16" s="58" t="s">
        <v>572</v>
      </c>
      <c r="N16" s="58" t="s">
        <v>573</v>
      </c>
      <c r="O16" s="57" t="s">
        <v>88</v>
      </c>
      <c r="P16" s="58" t="s">
        <v>574</v>
      </c>
      <c r="Q16" s="58" t="s">
        <v>575</v>
      </c>
      <c r="R16" s="58" t="s">
        <v>576</v>
      </c>
      <c r="S16" s="58" t="s">
        <v>577</v>
      </c>
      <c r="T16" s="58" t="s">
        <v>578</v>
      </c>
      <c r="U16" s="58" t="s">
        <v>579</v>
      </c>
      <c r="V16" s="58" t="s">
        <v>580</v>
      </c>
      <c r="W16" s="58" t="s">
        <v>581</v>
      </c>
      <c r="X16" s="58" t="s">
        <v>582</v>
      </c>
      <c r="Y16" s="58" t="s">
        <v>583</v>
      </c>
      <c r="Z16" s="58" t="s">
        <v>584</v>
      </c>
      <c r="AA16" s="58" t="s">
        <v>585</v>
      </c>
      <c r="AB16" s="57" t="s">
        <v>89</v>
      </c>
      <c r="AC16" s="58" t="s">
        <v>586</v>
      </c>
      <c r="AD16" s="58" t="s">
        <v>587</v>
      </c>
      <c r="AE16" s="58" t="s">
        <v>588</v>
      </c>
      <c r="AF16" s="58" t="s">
        <v>589</v>
      </c>
      <c r="AG16" s="58" t="s">
        <v>590</v>
      </c>
      <c r="AH16" s="58" t="s">
        <v>591</v>
      </c>
      <c r="AI16" s="58" t="s">
        <v>592</v>
      </c>
      <c r="AJ16" s="58" t="s">
        <v>593</v>
      </c>
      <c r="AK16" s="58" t="s">
        <v>594</v>
      </c>
      <c r="AL16" s="58" t="s">
        <v>595</v>
      </c>
      <c r="AM16" s="58" t="s">
        <v>596</v>
      </c>
      <c r="AN16" s="58" t="s">
        <v>597</v>
      </c>
      <c r="AO16" s="57" t="s">
        <v>90</v>
      </c>
      <c r="AP16" s="58" t="s">
        <v>598</v>
      </c>
      <c r="AQ16" s="58" t="s">
        <v>599</v>
      </c>
      <c r="AR16" s="58" t="s">
        <v>600</v>
      </c>
      <c r="AS16" s="58" t="s">
        <v>601</v>
      </c>
      <c r="AT16" s="58" t="s">
        <v>602</v>
      </c>
      <c r="AU16" s="58" t="s">
        <v>603</v>
      </c>
      <c r="AV16" s="58" t="s">
        <v>604</v>
      </c>
      <c r="AW16" s="58" t="s">
        <v>605</v>
      </c>
      <c r="AX16" s="58" t="s">
        <v>606</v>
      </c>
      <c r="AY16" s="58" t="s">
        <v>607</v>
      </c>
      <c r="AZ16" s="58" t="s">
        <v>608</v>
      </c>
      <c r="BA16" s="58" t="s">
        <v>609</v>
      </c>
      <c r="BB16" s="57" t="s">
        <v>91</v>
      </c>
      <c r="BC16" s="58" t="s">
        <v>610</v>
      </c>
      <c r="BD16" s="58" t="s">
        <v>611</v>
      </c>
      <c r="BE16" s="58" t="s">
        <v>612</v>
      </c>
      <c r="BF16" s="58" t="s">
        <v>613</v>
      </c>
      <c r="BG16" s="58" t="s">
        <v>614</v>
      </c>
      <c r="BH16" s="58" t="s">
        <v>615</v>
      </c>
      <c r="BI16" s="58" t="s">
        <v>616</v>
      </c>
      <c r="BJ16" s="58" t="s">
        <v>617</v>
      </c>
      <c r="BK16" s="58" t="s">
        <v>618</v>
      </c>
      <c r="BL16" s="58" t="s">
        <v>619</v>
      </c>
      <c r="BM16" s="58" t="s">
        <v>620</v>
      </c>
      <c r="BN16" s="58" t="s">
        <v>621</v>
      </c>
    </row>
    <row r="17" customFormat="false" ht="15" hidden="false" customHeight="false" outlineLevel="0" collapsed="false">
      <c r="A17" s="4" t="s">
        <v>355</v>
      </c>
      <c r="B17" s="69" t="n">
        <f aca="false">SUM(C17:N17)</f>
        <v>96000</v>
      </c>
      <c r="C17" s="72" t="n">
        <f aca="false">C6/('Assumption Setting'!$H$25*'Assumption Setting'!$C$35)</f>
        <v>8000</v>
      </c>
      <c r="D17" s="72" t="n">
        <f aca="false">D6/('Assumption Setting'!$H$25*'Assumption Setting'!$C$35)</f>
        <v>8000</v>
      </c>
      <c r="E17" s="72" t="n">
        <f aca="false">E6/('Assumption Setting'!$H$25*'Assumption Setting'!$C$35)</f>
        <v>8000</v>
      </c>
      <c r="F17" s="72" t="n">
        <f aca="false">F6/('Assumption Setting'!$H$25*'Assumption Setting'!$C$35)</f>
        <v>8000</v>
      </c>
      <c r="G17" s="72" t="n">
        <f aca="false">G6/('Assumption Setting'!$H$25*'Assumption Setting'!$C$35)</f>
        <v>8000</v>
      </c>
      <c r="H17" s="72" t="n">
        <f aca="false">H6/('Assumption Setting'!$H$25*'Assumption Setting'!$C$35)</f>
        <v>8000</v>
      </c>
      <c r="I17" s="72" t="n">
        <f aca="false">I6/('Assumption Setting'!$H$25*'Assumption Setting'!$C$35)</f>
        <v>8000</v>
      </c>
      <c r="J17" s="72" t="n">
        <f aca="false">J6/('Assumption Setting'!$H$25*'Assumption Setting'!$C$35)</f>
        <v>8000</v>
      </c>
      <c r="K17" s="72" t="n">
        <f aca="false">K6/('Assumption Setting'!$H$25*'Assumption Setting'!$C$35)</f>
        <v>8000</v>
      </c>
      <c r="L17" s="72" t="n">
        <f aca="false">L6/('Assumption Setting'!$H$25*'Assumption Setting'!$C$35)</f>
        <v>8000</v>
      </c>
      <c r="M17" s="72" t="n">
        <f aca="false">M6/('Assumption Setting'!$H$25*'Assumption Setting'!$C$35)</f>
        <v>8000</v>
      </c>
      <c r="N17" s="72" t="n">
        <f aca="false">N6/('Assumption Setting'!$H$25*'Assumption Setting'!$C$35)</f>
        <v>8000</v>
      </c>
      <c r="O17" s="69" t="n">
        <f aca="false">SUM(P17:AA17)</f>
        <v>218181.818181818</v>
      </c>
      <c r="P17" s="72" t="n">
        <f aca="false">P6/('Assumption Setting'!$H$25*'Assumption Setting'!$D$35)</f>
        <v>18181.8181818182</v>
      </c>
      <c r="Q17" s="72" t="n">
        <f aca="false">Q6/('Assumption Setting'!$H$25*'Assumption Setting'!$D$35)</f>
        <v>18181.8181818182</v>
      </c>
      <c r="R17" s="72" t="n">
        <f aca="false">R6/('Assumption Setting'!$H$25*'Assumption Setting'!$D$35)</f>
        <v>18181.8181818182</v>
      </c>
      <c r="S17" s="72" t="n">
        <f aca="false">S6/('Assumption Setting'!$H$25*'Assumption Setting'!$D$35)</f>
        <v>18181.8181818182</v>
      </c>
      <c r="T17" s="72" t="n">
        <f aca="false">T6/('Assumption Setting'!$H$25*'Assumption Setting'!$D$35)</f>
        <v>18181.8181818182</v>
      </c>
      <c r="U17" s="72" t="n">
        <f aca="false">U6/('Assumption Setting'!$H$25*'Assumption Setting'!$D$35)</f>
        <v>18181.8181818182</v>
      </c>
      <c r="V17" s="72" t="n">
        <f aca="false">V6/('Assumption Setting'!$H$25*'Assumption Setting'!$D$35)</f>
        <v>18181.8181818182</v>
      </c>
      <c r="W17" s="72" t="n">
        <f aca="false">W6/('Assumption Setting'!$H$25*'Assumption Setting'!$D$35)</f>
        <v>18181.8181818182</v>
      </c>
      <c r="X17" s="72" t="n">
        <f aca="false">X6/('Assumption Setting'!$H$25*'Assumption Setting'!$D$35)</f>
        <v>18181.8181818182</v>
      </c>
      <c r="Y17" s="72" t="n">
        <f aca="false">Y6/('Assumption Setting'!$H$25*'Assumption Setting'!$D$35)</f>
        <v>18181.8181818182</v>
      </c>
      <c r="Z17" s="72" t="n">
        <f aca="false">Z6/('Assumption Setting'!$H$25*'Assumption Setting'!$D$35)</f>
        <v>18181.8181818182</v>
      </c>
      <c r="AA17" s="72" t="n">
        <f aca="false">AA6/('Assumption Setting'!$H$25*'Assumption Setting'!$D$35)</f>
        <v>18181.8181818182</v>
      </c>
      <c r="AB17" s="69" t="n">
        <f aca="false">SUM(AC17:AN17)</f>
        <v>357024.79338843</v>
      </c>
      <c r="AC17" s="72" t="n">
        <f aca="false">AC6/('Assumption Setting'!$H$25*'Assumption Setting'!$E$35)</f>
        <v>29752.0661157025</v>
      </c>
      <c r="AD17" s="72" t="n">
        <f aca="false">AD6/('Assumption Setting'!$H$25*'Assumption Setting'!$E$35)</f>
        <v>29752.0661157025</v>
      </c>
      <c r="AE17" s="72" t="n">
        <f aca="false">AE6/('Assumption Setting'!$H$25*'Assumption Setting'!$E$35)</f>
        <v>29752.0661157025</v>
      </c>
      <c r="AF17" s="72" t="n">
        <f aca="false">AF6/('Assumption Setting'!$H$25*'Assumption Setting'!$E$35)</f>
        <v>29752.0661157025</v>
      </c>
      <c r="AG17" s="72" t="n">
        <f aca="false">AG6/('Assumption Setting'!$H$25*'Assumption Setting'!$E$35)</f>
        <v>29752.0661157025</v>
      </c>
      <c r="AH17" s="72" t="n">
        <f aca="false">AH6/('Assumption Setting'!$H$25*'Assumption Setting'!$E$35)</f>
        <v>29752.0661157025</v>
      </c>
      <c r="AI17" s="72" t="n">
        <f aca="false">AI6/('Assumption Setting'!$H$25*'Assumption Setting'!$E$35)</f>
        <v>29752.0661157025</v>
      </c>
      <c r="AJ17" s="72" t="n">
        <f aca="false">AJ6/('Assumption Setting'!$H$25*'Assumption Setting'!$E$35)</f>
        <v>29752.0661157025</v>
      </c>
      <c r="AK17" s="72" t="n">
        <f aca="false">AK6/('Assumption Setting'!$H$25*'Assumption Setting'!$E$35)</f>
        <v>29752.0661157025</v>
      </c>
      <c r="AL17" s="72" t="n">
        <f aca="false">AL6/('Assumption Setting'!$H$25*'Assumption Setting'!$E$35)</f>
        <v>29752.0661157025</v>
      </c>
      <c r="AM17" s="72" t="n">
        <f aca="false">AM6/('Assumption Setting'!$H$25*'Assumption Setting'!$E$35)</f>
        <v>29752.0661157025</v>
      </c>
      <c r="AN17" s="72" t="n">
        <f aca="false">AN6/('Assumption Setting'!$H$25*'Assumption Setting'!$E$35)</f>
        <v>29752.0661157025</v>
      </c>
      <c r="AO17" s="69" t="n">
        <f aca="false">SUM(AP17:BA17)</f>
        <v>468820.435762584</v>
      </c>
      <c r="AP17" s="72" t="n">
        <f aca="false">AP6/('Assumption Setting'!$H$25*'Assumption Setting'!$F$35)</f>
        <v>39068.369646882</v>
      </c>
      <c r="AQ17" s="72" t="n">
        <f aca="false">AQ6/('Assumption Setting'!$H$25*'Assumption Setting'!$F$35)</f>
        <v>39068.369646882</v>
      </c>
      <c r="AR17" s="72" t="n">
        <f aca="false">AR6/('Assumption Setting'!$H$25*'Assumption Setting'!$F$35)</f>
        <v>39068.369646882</v>
      </c>
      <c r="AS17" s="72" t="n">
        <f aca="false">AS6/('Assumption Setting'!$H$25*'Assumption Setting'!$F$35)</f>
        <v>39068.369646882</v>
      </c>
      <c r="AT17" s="72" t="n">
        <f aca="false">AT6/('Assumption Setting'!$H$25*'Assumption Setting'!$F$35)</f>
        <v>39068.369646882</v>
      </c>
      <c r="AU17" s="72" t="n">
        <f aca="false">AU6/('Assumption Setting'!$H$25*'Assumption Setting'!$F$35)</f>
        <v>39068.369646882</v>
      </c>
      <c r="AV17" s="72" t="n">
        <f aca="false">AV6/('Assumption Setting'!$H$25*'Assumption Setting'!$F$35)</f>
        <v>39068.369646882</v>
      </c>
      <c r="AW17" s="72" t="n">
        <f aca="false">AW6/('Assumption Setting'!$H$25*'Assumption Setting'!$F$35)</f>
        <v>39068.369646882</v>
      </c>
      <c r="AX17" s="72" t="n">
        <f aca="false">AX6/('Assumption Setting'!$H$25*'Assumption Setting'!$F$35)</f>
        <v>39068.369646882</v>
      </c>
      <c r="AY17" s="72" t="n">
        <f aca="false">AY6/('Assumption Setting'!$H$25*'Assumption Setting'!$F$35)</f>
        <v>39068.369646882</v>
      </c>
      <c r="AZ17" s="72" t="n">
        <f aca="false">AZ6/('Assumption Setting'!$H$25*'Assumption Setting'!$F$35)</f>
        <v>39068.369646882</v>
      </c>
      <c r="BA17" s="72" t="n">
        <f aca="false">BA6/('Assumption Setting'!$H$25*'Assumption Setting'!$F$35)</f>
        <v>39068.369646882</v>
      </c>
      <c r="BB17" s="69" t="n">
        <f aca="false">SUM(BC17:BN17)</f>
        <v>557338.979577897</v>
      </c>
      <c r="BC17" s="72" t="n">
        <f aca="false">BC6/('Assumption Setting'!$H$25*'Assumption Setting'!$G$35)</f>
        <v>46444.9149648248</v>
      </c>
      <c r="BD17" s="72" t="n">
        <f aca="false">BD6/('Assumption Setting'!$H$25*'Assumption Setting'!$G$35)</f>
        <v>46444.9149648248</v>
      </c>
      <c r="BE17" s="72" t="n">
        <f aca="false">BE6/('Assumption Setting'!$H$25*'Assumption Setting'!$G$35)</f>
        <v>46444.9149648248</v>
      </c>
      <c r="BF17" s="72" t="n">
        <f aca="false">BF6/('Assumption Setting'!$H$25*'Assumption Setting'!$G$35)</f>
        <v>46444.9149648248</v>
      </c>
      <c r="BG17" s="72" t="n">
        <f aca="false">BG6/('Assumption Setting'!$H$25*'Assumption Setting'!$G$35)</f>
        <v>46444.9149648248</v>
      </c>
      <c r="BH17" s="72" t="n">
        <f aca="false">BH6/('Assumption Setting'!$H$25*'Assumption Setting'!$G$35)</f>
        <v>46444.9149648248</v>
      </c>
      <c r="BI17" s="72" t="n">
        <f aca="false">BI6/('Assumption Setting'!$H$25*'Assumption Setting'!$G$35)</f>
        <v>46444.9149648248</v>
      </c>
      <c r="BJ17" s="72" t="n">
        <f aca="false">BJ6/('Assumption Setting'!$H$25*'Assumption Setting'!$G$35)</f>
        <v>46444.9149648248</v>
      </c>
      <c r="BK17" s="72" t="n">
        <f aca="false">BK6/('Assumption Setting'!$H$25*'Assumption Setting'!$G$35)</f>
        <v>46444.9149648248</v>
      </c>
      <c r="BL17" s="72" t="n">
        <f aca="false">BL6/('Assumption Setting'!$H$25*'Assumption Setting'!$G$35)</f>
        <v>46444.9149648248</v>
      </c>
      <c r="BM17" s="72" t="n">
        <f aca="false">BM6/('Assumption Setting'!$H$25*'Assumption Setting'!$G$35)</f>
        <v>46444.9149648248</v>
      </c>
      <c r="BN17" s="72" t="n">
        <f aca="false">BN6/('Assumption Setting'!$H$25*'Assumption Setting'!$G$35)</f>
        <v>46444.9149648248</v>
      </c>
    </row>
    <row r="18" customFormat="false" ht="15" hidden="false" customHeight="false" outlineLevel="0" collapsed="false">
      <c r="A18" s="4" t="s">
        <v>356</v>
      </c>
      <c r="B18" s="69" t="n">
        <f aca="false">SUM(C18:N18)</f>
        <v>27272.7272727273</v>
      </c>
      <c r="C18" s="72" t="n">
        <f aca="false">C7/('Assumption Setting'!$H$26*'Assumption Setting'!$C$35)</f>
        <v>2272.72727272727</v>
      </c>
      <c r="D18" s="72" t="n">
        <f aca="false">D7/('Assumption Setting'!$H$26*'Assumption Setting'!$C$35)</f>
        <v>2272.72727272727</v>
      </c>
      <c r="E18" s="72" t="n">
        <f aca="false">E7/('Assumption Setting'!$H$26*'Assumption Setting'!$C$35)</f>
        <v>2272.72727272727</v>
      </c>
      <c r="F18" s="72" t="n">
        <f aca="false">F7/('Assumption Setting'!$H$26*'Assumption Setting'!$C$35)</f>
        <v>2272.72727272727</v>
      </c>
      <c r="G18" s="72" t="n">
        <f aca="false">G7/('Assumption Setting'!$H$26*'Assumption Setting'!$C$35)</f>
        <v>2272.72727272727</v>
      </c>
      <c r="H18" s="72" t="n">
        <f aca="false">H7/('Assumption Setting'!$H$26*'Assumption Setting'!$C$35)</f>
        <v>2272.72727272727</v>
      </c>
      <c r="I18" s="72" t="n">
        <f aca="false">I7/('Assumption Setting'!$H$26*'Assumption Setting'!$C$35)</f>
        <v>2272.72727272727</v>
      </c>
      <c r="J18" s="72" t="n">
        <f aca="false">J7/('Assumption Setting'!$H$26*'Assumption Setting'!$C$35)</f>
        <v>2272.72727272727</v>
      </c>
      <c r="K18" s="72" t="n">
        <f aca="false">K7/('Assumption Setting'!$H$26*'Assumption Setting'!$C$35)</f>
        <v>2272.72727272727</v>
      </c>
      <c r="L18" s="72" t="n">
        <f aca="false">L7/('Assumption Setting'!$H$26*'Assumption Setting'!$C$35)</f>
        <v>2272.72727272727</v>
      </c>
      <c r="M18" s="72" t="n">
        <f aca="false">M7/('Assumption Setting'!$H$26*'Assumption Setting'!$C$35)</f>
        <v>2272.72727272727</v>
      </c>
      <c r="N18" s="72" t="n">
        <f aca="false">N7/('Assumption Setting'!$H$26*'Assumption Setting'!$C$35)</f>
        <v>2272.72727272727</v>
      </c>
      <c r="O18" s="69" t="n">
        <f aca="false">SUM(P18:AA18)</f>
        <v>64462.8099173554</v>
      </c>
      <c r="P18" s="72" t="n">
        <f aca="false">P7/('Assumption Setting'!$H$26*'Assumption Setting'!$D$35)</f>
        <v>5371.90082644628</v>
      </c>
      <c r="Q18" s="72" t="n">
        <f aca="false">Q7/('Assumption Setting'!$H$26*'Assumption Setting'!$D$35)</f>
        <v>5371.90082644628</v>
      </c>
      <c r="R18" s="72" t="n">
        <f aca="false">R7/('Assumption Setting'!$H$26*'Assumption Setting'!$D$35)</f>
        <v>5371.90082644628</v>
      </c>
      <c r="S18" s="72" t="n">
        <f aca="false">S7/('Assumption Setting'!$H$26*'Assumption Setting'!$D$35)</f>
        <v>5371.90082644628</v>
      </c>
      <c r="T18" s="72" t="n">
        <f aca="false">T7/('Assumption Setting'!$H$26*'Assumption Setting'!$D$35)</f>
        <v>5371.90082644628</v>
      </c>
      <c r="U18" s="72" t="n">
        <f aca="false">U7/('Assumption Setting'!$H$26*'Assumption Setting'!$D$35)</f>
        <v>5371.90082644628</v>
      </c>
      <c r="V18" s="72" t="n">
        <f aca="false">V7/('Assumption Setting'!$H$26*'Assumption Setting'!$D$35)</f>
        <v>5371.90082644628</v>
      </c>
      <c r="W18" s="72" t="n">
        <f aca="false">W7/('Assumption Setting'!$H$26*'Assumption Setting'!$D$35)</f>
        <v>5371.90082644628</v>
      </c>
      <c r="X18" s="72" t="n">
        <f aca="false">X7/('Assumption Setting'!$H$26*'Assumption Setting'!$D$35)</f>
        <v>5371.90082644628</v>
      </c>
      <c r="Y18" s="72" t="n">
        <f aca="false">Y7/('Assumption Setting'!$H$26*'Assumption Setting'!$D$35)</f>
        <v>5371.90082644628</v>
      </c>
      <c r="Z18" s="72" t="n">
        <f aca="false">Z7/('Assumption Setting'!$H$26*'Assumption Setting'!$D$35)</f>
        <v>5371.90082644628</v>
      </c>
      <c r="AA18" s="72" t="n">
        <f aca="false">AA7/('Assumption Setting'!$H$26*'Assumption Setting'!$D$35)</f>
        <v>5371.90082644628</v>
      </c>
      <c r="AB18" s="69" t="n">
        <f aca="false">SUM(AC18:AN18)</f>
        <v>103681.442524418</v>
      </c>
      <c r="AC18" s="72" t="n">
        <f aca="false">AC7/('Assumption Setting'!$H$26*'Assumption Setting'!$E$35)</f>
        <v>8640.12021036814</v>
      </c>
      <c r="AD18" s="72" t="n">
        <f aca="false">AD7/('Assumption Setting'!$H$26*'Assumption Setting'!$E$35)</f>
        <v>8640.12021036814</v>
      </c>
      <c r="AE18" s="72" t="n">
        <f aca="false">AE7/('Assumption Setting'!$H$26*'Assumption Setting'!$E$35)</f>
        <v>8640.12021036814</v>
      </c>
      <c r="AF18" s="72" t="n">
        <f aca="false">AF7/('Assumption Setting'!$H$26*'Assumption Setting'!$E$35)</f>
        <v>8640.12021036814</v>
      </c>
      <c r="AG18" s="72" t="n">
        <f aca="false">AG7/('Assumption Setting'!$H$26*'Assumption Setting'!$E$35)</f>
        <v>8640.12021036814</v>
      </c>
      <c r="AH18" s="72" t="n">
        <f aca="false">AH7/('Assumption Setting'!$H$26*'Assumption Setting'!$E$35)</f>
        <v>8640.12021036814</v>
      </c>
      <c r="AI18" s="72" t="n">
        <f aca="false">AI7/('Assumption Setting'!$H$26*'Assumption Setting'!$E$35)</f>
        <v>8640.12021036814</v>
      </c>
      <c r="AJ18" s="72" t="n">
        <f aca="false">AJ7/('Assumption Setting'!$H$26*'Assumption Setting'!$E$35)</f>
        <v>8640.12021036814</v>
      </c>
      <c r="AK18" s="72" t="n">
        <f aca="false">AK7/('Assumption Setting'!$H$26*'Assumption Setting'!$E$35)</f>
        <v>8640.12021036814</v>
      </c>
      <c r="AL18" s="72" t="n">
        <f aca="false">AL7/('Assumption Setting'!$H$26*'Assumption Setting'!$E$35)</f>
        <v>8640.12021036814</v>
      </c>
      <c r="AM18" s="72" t="n">
        <f aca="false">AM7/('Assumption Setting'!$H$26*'Assumption Setting'!$E$35)</f>
        <v>8640.12021036814</v>
      </c>
      <c r="AN18" s="72" t="n">
        <f aca="false">AN7/('Assumption Setting'!$H$26*'Assumption Setting'!$E$35)</f>
        <v>8640.12021036814</v>
      </c>
      <c r="AO18" s="69" t="n">
        <f aca="false">SUM(AP18:BA18)</f>
        <v>135236.664162284</v>
      </c>
      <c r="AP18" s="72" t="n">
        <f aca="false">AP7/('Assumption Setting'!$H$26*'Assumption Setting'!$F$35)</f>
        <v>11269.7220135237</v>
      </c>
      <c r="AQ18" s="72" t="n">
        <f aca="false">AQ7/('Assumption Setting'!$H$26*'Assumption Setting'!$F$35)</f>
        <v>11269.7220135237</v>
      </c>
      <c r="AR18" s="72" t="n">
        <f aca="false">AR7/('Assumption Setting'!$H$26*'Assumption Setting'!$F$35)</f>
        <v>11269.7220135237</v>
      </c>
      <c r="AS18" s="72" t="n">
        <f aca="false">AS7/('Assumption Setting'!$H$26*'Assumption Setting'!$F$35)</f>
        <v>11269.7220135237</v>
      </c>
      <c r="AT18" s="72" t="n">
        <f aca="false">AT7/('Assumption Setting'!$H$26*'Assumption Setting'!$F$35)</f>
        <v>11269.7220135237</v>
      </c>
      <c r="AU18" s="72" t="n">
        <f aca="false">AU7/('Assumption Setting'!$H$26*'Assumption Setting'!$F$35)</f>
        <v>11269.7220135237</v>
      </c>
      <c r="AV18" s="72" t="n">
        <f aca="false">AV7/('Assumption Setting'!$H$26*'Assumption Setting'!$F$35)</f>
        <v>11269.7220135237</v>
      </c>
      <c r="AW18" s="72" t="n">
        <f aca="false">AW7/('Assumption Setting'!$H$26*'Assumption Setting'!$F$35)</f>
        <v>11269.7220135237</v>
      </c>
      <c r="AX18" s="72" t="n">
        <f aca="false">AX7/('Assumption Setting'!$H$26*'Assumption Setting'!$F$35)</f>
        <v>11269.7220135237</v>
      </c>
      <c r="AY18" s="72" t="n">
        <f aca="false">AY7/('Assumption Setting'!$H$26*'Assumption Setting'!$F$35)</f>
        <v>11269.7220135237</v>
      </c>
      <c r="AZ18" s="72" t="n">
        <f aca="false">AZ7/('Assumption Setting'!$H$26*'Assumption Setting'!$F$35)</f>
        <v>11269.7220135237</v>
      </c>
      <c r="BA18" s="72" t="n">
        <f aca="false">BA7/('Assumption Setting'!$H$26*'Assumption Setting'!$F$35)</f>
        <v>11269.7220135237</v>
      </c>
      <c r="BB18" s="69" t="n">
        <f aca="false">SUM(BC18:BN18)</f>
        <v>160197.701349262</v>
      </c>
      <c r="BC18" s="72" t="n">
        <f aca="false">BC7/('Assumption Setting'!$H$26*'Assumption Setting'!$G$35)</f>
        <v>13349.8084457718</v>
      </c>
      <c r="BD18" s="72" t="n">
        <f aca="false">BD7/('Assumption Setting'!$H$26*'Assumption Setting'!$G$35)</f>
        <v>13349.8084457718</v>
      </c>
      <c r="BE18" s="72" t="n">
        <f aca="false">BE7/('Assumption Setting'!$H$26*'Assumption Setting'!$G$35)</f>
        <v>13349.8084457718</v>
      </c>
      <c r="BF18" s="72" t="n">
        <f aca="false">BF7/('Assumption Setting'!$H$26*'Assumption Setting'!$G$35)</f>
        <v>13349.8084457718</v>
      </c>
      <c r="BG18" s="72" t="n">
        <f aca="false">BG7/('Assumption Setting'!$H$26*'Assumption Setting'!$G$35)</f>
        <v>13349.8084457718</v>
      </c>
      <c r="BH18" s="72" t="n">
        <f aca="false">BH7/('Assumption Setting'!$H$26*'Assumption Setting'!$G$35)</f>
        <v>13349.8084457718</v>
      </c>
      <c r="BI18" s="72" t="n">
        <f aca="false">BI7/('Assumption Setting'!$H$26*'Assumption Setting'!$G$35)</f>
        <v>13349.8084457718</v>
      </c>
      <c r="BJ18" s="72" t="n">
        <f aca="false">BJ7/('Assumption Setting'!$H$26*'Assumption Setting'!$G$35)</f>
        <v>13349.8084457718</v>
      </c>
      <c r="BK18" s="72" t="n">
        <f aca="false">BK7/('Assumption Setting'!$H$26*'Assumption Setting'!$G$35)</f>
        <v>13349.8084457718</v>
      </c>
      <c r="BL18" s="72" t="n">
        <f aca="false">BL7/('Assumption Setting'!$H$26*'Assumption Setting'!$G$35)</f>
        <v>13349.8084457718</v>
      </c>
      <c r="BM18" s="72" t="n">
        <f aca="false">BM7/('Assumption Setting'!$H$26*'Assumption Setting'!$G$35)</f>
        <v>13349.8084457718</v>
      </c>
      <c r="BN18" s="72" t="n">
        <f aca="false">BN7/('Assumption Setting'!$H$26*'Assumption Setting'!$G$35)</f>
        <v>13349.8084457718</v>
      </c>
    </row>
    <row r="19" customFormat="false" ht="15" hidden="false" customHeight="false" outlineLevel="0" collapsed="false">
      <c r="A19" s="4" t="s">
        <v>357</v>
      </c>
      <c r="B19" s="69" t="n">
        <f aca="false">SUM(C19:N19)</f>
        <v>60000</v>
      </c>
      <c r="C19" s="72" t="n">
        <f aca="false">C8/('Assumption Setting'!$H$27*'Assumption Setting'!$C$35)</f>
        <v>5000</v>
      </c>
      <c r="D19" s="72" t="n">
        <f aca="false">D8/('Assumption Setting'!$H$27*'Assumption Setting'!$C$35)</f>
        <v>5000</v>
      </c>
      <c r="E19" s="72" t="n">
        <f aca="false">E8/('Assumption Setting'!$H$27*'Assumption Setting'!$C$35)</f>
        <v>5000</v>
      </c>
      <c r="F19" s="72" t="n">
        <f aca="false">F8/('Assumption Setting'!$H$27*'Assumption Setting'!$C$35)</f>
        <v>5000</v>
      </c>
      <c r="G19" s="72" t="n">
        <f aca="false">G8/('Assumption Setting'!$H$27*'Assumption Setting'!$C$35)</f>
        <v>5000</v>
      </c>
      <c r="H19" s="72" t="n">
        <f aca="false">H8/('Assumption Setting'!$H$27*'Assumption Setting'!$C$35)</f>
        <v>5000</v>
      </c>
      <c r="I19" s="72" t="n">
        <f aca="false">I8/('Assumption Setting'!$H$27*'Assumption Setting'!$C$35)</f>
        <v>5000</v>
      </c>
      <c r="J19" s="72" t="n">
        <f aca="false">J8/('Assumption Setting'!$H$27*'Assumption Setting'!$C$35)</f>
        <v>5000</v>
      </c>
      <c r="K19" s="72" t="n">
        <f aca="false">K8/('Assumption Setting'!$H$27*'Assumption Setting'!$C$35)</f>
        <v>5000</v>
      </c>
      <c r="L19" s="72" t="n">
        <f aca="false">L8/('Assumption Setting'!$H$27*'Assumption Setting'!$C$35)</f>
        <v>5000</v>
      </c>
      <c r="M19" s="72" t="n">
        <f aca="false">M8/('Assumption Setting'!$H$27*'Assumption Setting'!$C$35)</f>
        <v>5000</v>
      </c>
      <c r="N19" s="72" t="n">
        <f aca="false">N8/('Assumption Setting'!$H$27*'Assumption Setting'!$C$35)</f>
        <v>5000</v>
      </c>
      <c r="O19" s="69" t="n">
        <f aca="false">SUM(P19:AA19)</f>
        <v>127272.727272727</v>
      </c>
      <c r="P19" s="72" t="n">
        <f aca="false">P8/('Assumption Setting'!$H$27*'Assumption Setting'!$D$35)</f>
        <v>10606.0606060606</v>
      </c>
      <c r="Q19" s="72" t="n">
        <f aca="false">Q8/('Assumption Setting'!$H$27*'Assumption Setting'!$D$35)</f>
        <v>10606.0606060606</v>
      </c>
      <c r="R19" s="72" t="n">
        <f aca="false">R8/('Assumption Setting'!$H$27*'Assumption Setting'!$D$35)</f>
        <v>10606.0606060606</v>
      </c>
      <c r="S19" s="72" t="n">
        <f aca="false">S8/('Assumption Setting'!$H$27*'Assumption Setting'!$D$35)</f>
        <v>10606.0606060606</v>
      </c>
      <c r="T19" s="72" t="n">
        <f aca="false">T8/('Assumption Setting'!$H$27*'Assumption Setting'!$D$35)</f>
        <v>10606.0606060606</v>
      </c>
      <c r="U19" s="72" t="n">
        <f aca="false">U8/('Assumption Setting'!$H$27*'Assumption Setting'!$D$35)</f>
        <v>10606.0606060606</v>
      </c>
      <c r="V19" s="72" t="n">
        <f aca="false">V8/('Assumption Setting'!$H$27*'Assumption Setting'!$D$35)</f>
        <v>10606.0606060606</v>
      </c>
      <c r="W19" s="72" t="n">
        <f aca="false">W8/('Assumption Setting'!$H$27*'Assumption Setting'!$D$35)</f>
        <v>10606.0606060606</v>
      </c>
      <c r="X19" s="72" t="n">
        <f aca="false">X8/('Assumption Setting'!$H$27*'Assumption Setting'!$D$35)</f>
        <v>10606.0606060606</v>
      </c>
      <c r="Y19" s="72" t="n">
        <f aca="false">Y8/('Assumption Setting'!$H$27*'Assumption Setting'!$D$35)</f>
        <v>10606.0606060606</v>
      </c>
      <c r="Z19" s="72" t="n">
        <f aca="false">Z8/('Assumption Setting'!$H$27*'Assumption Setting'!$D$35)</f>
        <v>10606.0606060606</v>
      </c>
      <c r="AA19" s="72" t="n">
        <f aca="false">AA8/('Assumption Setting'!$H$27*'Assumption Setting'!$D$35)</f>
        <v>10606.0606060606</v>
      </c>
      <c r="AB19" s="69" t="n">
        <f aca="false">SUM(AC19:AN19)</f>
        <v>214876.033057851</v>
      </c>
      <c r="AC19" s="72" t="n">
        <f aca="false">AC8/('Assumption Setting'!$H$27*'Assumption Setting'!$E$35)</f>
        <v>17906.3360881543</v>
      </c>
      <c r="AD19" s="72" t="n">
        <f aca="false">AD8/('Assumption Setting'!$H$27*'Assumption Setting'!$E$35)</f>
        <v>17906.3360881543</v>
      </c>
      <c r="AE19" s="72" t="n">
        <f aca="false">AE8/('Assumption Setting'!$H$27*'Assumption Setting'!$E$35)</f>
        <v>17906.3360881543</v>
      </c>
      <c r="AF19" s="72" t="n">
        <f aca="false">AF8/('Assumption Setting'!$H$27*'Assumption Setting'!$E$35)</f>
        <v>17906.3360881543</v>
      </c>
      <c r="AG19" s="72" t="n">
        <f aca="false">AG8/('Assumption Setting'!$H$27*'Assumption Setting'!$E$35)</f>
        <v>17906.3360881543</v>
      </c>
      <c r="AH19" s="72" t="n">
        <f aca="false">AH8/('Assumption Setting'!$H$27*'Assumption Setting'!$E$35)</f>
        <v>17906.3360881543</v>
      </c>
      <c r="AI19" s="72" t="n">
        <f aca="false">AI8/('Assumption Setting'!$H$27*'Assumption Setting'!$E$35)</f>
        <v>17906.3360881543</v>
      </c>
      <c r="AJ19" s="72" t="n">
        <f aca="false">AJ8/('Assumption Setting'!$H$27*'Assumption Setting'!$E$35)</f>
        <v>17906.3360881543</v>
      </c>
      <c r="AK19" s="72" t="n">
        <f aca="false">AK8/('Assumption Setting'!$H$27*'Assumption Setting'!$E$35)</f>
        <v>17906.3360881543</v>
      </c>
      <c r="AL19" s="72" t="n">
        <f aca="false">AL8/('Assumption Setting'!$H$27*'Assumption Setting'!$E$35)</f>
        <v>17906.3360881543</v>
      </c>
      <c r="AM19" s="72" t="n">
        <f aca="false">AM8/('Assumption Setting'!$H$27*'Assumption Setting'!$E$35)</f>
        <v>17906.3360881543</v>
      </c>
      <c r="AN19" s="72" t="n">
        <f aca="false">AN8/('Assumption Setting'!$H$27*'Assumption Setting'!$E$35)</f>
        <v>17906.3360881543</v>
      </c>
      <c r="AO19" s="69" t="n">
        <f aca="false">SUM(AP19:BA19)</f>
        <v>285499.624342599</v>
      </c>
      <c r="AP19" s="72" t="n">
        <f aca="false">AP8/('Assumption Setting'!$H$27*'Assumption Setting'!$F$35)</f>
        <v>23791.6353618833</v>
      </c>
      <c r="AQ19" s="72" t="n">
        <f aca="false">AQ8/('Assumption Setting'!$H$27*'Assumption Setting'!$F$35)</f>
        <v>23791.6353618833</v>
      </c>
      <c r="AR19" s="72" t="n">
        <f aca="false">AR8/('Assumption Setting'!$H$27*'Assumption Setting'!$F$35)</f>
        <v>23791.6353618833</v>
      </c>
      <c r="AS19" s="72" t="n">
        <f aca="false">AS8/('Assumption Setting'!$H$27*'Assumption Setting'!$F$35)</f>
        <v>23791.6353618833</v>
      </c>
      <c r="AT19" s="72" t="n">
        <f aca="false">AT8/('Assumption Setting'!$H$27*'Assumption Setting'!$F$35)</f>
        <v>23791.6353618833</v>
      </c>
      <c r="AU19" s="72" t="n">
        <f aca="false">AU8/('Assumption Setting'!$H$27*'Assumption Setting'!$F$35)</f>
        <v>23791.6353618833</v>
      </c>
      <c r="AV19" s="72" t="n">
        <f aca="false">AV8/('Assumption Setting'!$H$27*'Assumption Setting'!$F$35)</f>
        <v>23791.6353618833</v>
      </c>
      <c r="AW19" s="72" t="n">
        <f aca="false">AW8/('Assumption Setting'!$H$27*'Assumption Setting'!$F$35)</f>
        <v>23791.6353618833</v>
      </c>
      <c r="AX19" s="72" t="n">
        <f aca="false">AX8/('Assumption Setting'!$H$27*'Assumption Setting'!$F$35)</f>
        <v>23791.6353618833</v>
      </c>
      <c r="AY19" s="72" t="n">
        <f aca="false">AY8/('Assumption Setting'!$H$27*'Assumption Setting'!$F$35)</f>
        <v>23791.6353618833</v>
      </c>
      <c r="AZ19" s="72" t="n">
        <f aca="false">AZ8/('Assumption Setting'!$H$27*'Assumption Setting'!$F$35)</f>
        <v>23791.6353618833</v>
      </c>
      <c r="BA19" s="72" t="n">
        <f aca="false">BA8/('Assumption Setting'!$H$27*'Assumption Setting'!$F$35)</f>
        <v>23791.6353618833</v>
      </c>
      <c r="BB19" s="69" t="n">
        <f aca="false">SUM(BC19:BN19)</f>
        <v>327846.458575234</v>
      </c>
      <c r="BC19" s="72" t="n">
        <f aca="false">BC8/('Assumption Setting'!$H$27*'Assumption Setting'!$G$35)</f>
        <v>27320.5382146028</v>
      </c>
      <c r="BD19" s="72" t="n">
        <f aca="false">BD8/('Assumption Setting'!$H$27*'Assumption Setting'!$G$35)</f>
        <v>27320.5382146028</v>
      </c>
      <c r="BE19" s="72" t="n">
        <f aca="false">BE8/('Assumption Setting'!$H$27*'Assumption Setting'!$G$35)</f>
        <v>27320.5382146028</v>
      </c>
      <c r="BF19" s="72" t="n">
        <f aca="false">BF8/('Assumption Setting'!$H$27*'Assumption Setting'!$G$35)</f>
        <v>27320.5382146028</v>
      </c>
      <c r="BG19" s="72" t="n">
        <f aca="false">BG8/('Assumption Setting'!$H$27*'Assumption Setting'!$G$35)</f>
        <v>27320.5382146028</v>
      </c>
      <c r="BH19" s="72" t="n">
        <f aca="false">BH8/('Assumption Setting'!$H$27*'Assumption Setting'!$G$35)</f>
        <v>27320.5382146028</v>
      </c>
      <c r="BI19" s="72" t="n">
        <f aca="false">BI8/('Assumption Setting'!$H$27*'Assumption Setting'!$G$35)</f>
        <v>27320.5382146028</v>
      </c>
      <c r="BJ19" s="72" t="n">
        <f aca="false">BJ8/('Assumption Setting'!$H$27*'Assumption Setting'!$G$35)</f>
        <v>27320.5382146028</v>
      </c>
      <c r="BK19" s="72" t="n">
        <f aca="false">BK8/('Assumption Setting'!$H$27*'Assumption Setting'!$G$35)</f>
        <v>27320.5382146028</v>
      </c>
      <c r="BL19" s="72" t="n">
        <f aca="false">BL8/('Assumption Setting'!$H$27*'Assumption Setting'!$G$35)</f>
        <v>27320.5382146028</v>
      </c>
      <c r="BM19" s="72" t="n">
        <f aca="false">BM8/('Assumption Setting'!$H$27*'Assumption Setting'!$G$35)</f>
        <v>27320.5382146028</v>
      </c>
      <c r="BN19" s="72" t="n">
        <f aca="false">BN8/('Assumption Setting'!$H$27*'Assumption Setting'!$G$35)</f>
        <v>27320.5382146028</v>
      </c>
    </row>
    <row r="20" customFormat="false" ht="15" hidden="false" customHeight="false" outlineLevel="0" collapsed="false">
      <c r="A20" s="4" t="s">
        <v>358</v>
      </c>
      <c r="B20" s="69" t="n">
        <f aca="false">SUM(C20:N20)</f>
        <v>17142.8571428571</v>
      </c>
      <c r="C20" s="72" t="n">
        <f aca="false">C9/('Assumption Setting'!$H$28*'Assumption Setting'!$C$35)</f>
        <v>1428.57142857143</v>
      </c>
      <c r="D20" s="72" t="n">
        <f aca="false">D9/('Assumption Setting'!$H$28*'Assumption Setting'!$C$35)</f>
        <v>1428.57142857143</v>
      </c>
      <c r="E20" s="72" t="n">
        <f aca="false">E9/('Assumption Setting'!$H$28*'Assumption Setting'!$C$35)</f>
        <v>1428.57142857143</v>
      </c>
      <c r="F20" s="72" t="n">
        <f aca="false">F9/('Assumption Setting'!$H$28*'Assumption Setting'!$C$35)</f>
        <v>1428.57142857143</v>
      </c>
      <c r="G20" s="72" t="n">
        <f aca="false">G9/('Assumption Setting'!$H$28*'Assumption Setting'!$C$35)</f>
        <v>1428.57142857143</v>
      </c>
      <c r="H20" s="72" t="n">
        <f aca="false">H9/('Assumption Setting'!$H$28*'Assumption Setting'!$C$35)</f>
        <v>1428.57142857143</v>
      </c>
      <c r="I20" s="72" t="n">
        <f aca="false">I9/('Assumption Setting'!$H$28*'Assumption Setting'!$C$35)</f>
        <v>1428.57142857143</v>
      </c>
      <c r="J20" s="72" t="n">
        <f aca="false">J9/('Assumption Setting'!$H$28*'Assumption Setting'!$C$35)</f>
        <v>1428.57142857143</v>
      </c>
      <c r="K20" s="72" t="n">
        <f aca="false">K9/('Assumption Setting'!$H$28*'Assumption Setting'!$C$35)</f>
        <v>1428.57142857143</v>
      </c>
      <c r="L20" s="72" t="n">
        <f aca="false">L9/('Assumption Setting'!$H$28*'Assumption Setting'!$C$35)</f>
        <v>1428.57142857143</v>
      </c>
      <c r="M20" s="72" t="n">
        <f aca="false">M9/('Assumption Setting'!$H$28*'Assumption Setting'!$C$35)</f>
        <v>1428.57142857143</v>
      </c>
      <c r="N20" s="72" t="n">
        <f aca="false">N9/('Assumption Setting'!$H$28*'Assumption Setting'!$C$35)</f>
        <v>1428.57142857143</v>
      </c>
      <c r="O20" s="69" t="n">
        <f aca="false">SUM(P20:AA20)</f>
        <v>35064.9350649351</v>
      </c>
      <c r="P20" s="72" t="n">
        <f aca="false">P9/('Assumption Setting'!$H$28*'Assumption Setting'!$D$35)</f>
        <v>2922.07792207792</v>
      </c>
      <c r="Q20" s="72" t="n">
        <f aca="false">Q9/('Assumption Setting'!$H$28*'Assumption Setting'!$D$35)</f>
        <v>2922.07792207792</v>
      </c>
      <c r="R20" s="72" t="n">
        <f aca="false">R9/('Assumption Setting'!$H$28*'Assumption Setting'!$D$35)</f>
        <v>2922.07792207792</v>
      </c>
      <c r="S20" s="72" t="n">
        <f aca="false">S9/('Assumption Setting'!$H$28*'Assumption Setting'!$D$35)</f>
        <v>2922.07792207792</v>
      </c>
      <c r="T20" s="72" t="n">
        <f aca="false">T9/('Assumption Setting'!$H$28*'Assumption Setting'!$D$35)</f>
        <v>2922.07792207792</v>
      </c>
      <c r="U20" s="72" t="n">
        <f aca="false">U9/('Assumption Setting'!$H$28*'Assumption Setting'!$D$35)</f>
        <v>2922.07792207792</v>
      </c>
      <c r="V20" s="72" t="n">
        <f aca="false">V9/('Assumption Setting'!$H$28*'Assumption Setting'!$D$35)</f>
        <v>2922.07792207792</v>
      </c>
      <c r="W20" s="72" t="n">
        <f aca="false">W9/('Assumption Setting'!$H$28*'Assumption Setting'!$D$35)</f>
        <v>2922.07792207792</v>
      </c>
      <c r="X20" s="72" t="n">
        <f aca="false">X9/('Assumption Setting'!$H$28*'Assumption Setting'!$D$35)</f>
        <v>2922.07792207792</v>
      </c>
      <c r="Y20" s="72" t="n">
        <f aca="false">Y9/('Assumption Setting'!$H$28*'Assumption Setting'!$D$35)</f>
        <v>2922.07792207792</v>
      </c>
      <c r="Z20" s="72" t="n">
        <f aca="false">Z9/('Assumption Setting'!$H$28*'Assumption Setting'!$D$35)</f>
        <v>2922.07792207792</v>
      </c>
      <c r="AA20" s="72" t="n">
        <f aca="false">AA9/('Assumption Setting'!$H$28*'Assumption Setting'!$D$35)</f>
        <v>2922.07792207792</v>
      </c>
      <c r="AB20" s="69" t="n">
        <f aca="false">SUM(AC20:AN20)</f>
        <v>56670.6021251476</v>
      </c>
      <c r="AC20" s="72" t="n">
        <f aca="false">AC9/('Assumption Setting'!$H$28*'Assumption Setting'!$E$35)</f>
        <v>4722.55017709563</v>
      </c>
      <c r="AD20" s="72" t="n">
        <f aca="false">AD9/('Assumption Setting'!$H$28*'Assumption Setting'!$E$35)</f>
        <v>4722.55017709563</v>
      </c>
      <c r="AE20" s="72" t="n">
        <f aca="false">AE9/('Assumption Setting'!$H$28*'Assumption Setting'!$E$35)</f>
        <v>4722.55017709563</v>
      </c>
      <c r="AF20" s="72" t="n">
        <f aca="false">AF9/('Assumption Setting'!$H$28*'Assumption Setting'!$E$35)</f>
        <v>4722.55017709563</v>
      </c>
      <c r="AG20" s="72" t="n">
        <f aca="false">AG9/('Assumption Setting'!$H$28*'Assumption Setting'!$E$35)</f>
        <v>4722.55017709563</v>
      </c>
      <c r="AH20" s="72" t="n">
        <f aca="false">AH9/('Assumption Setting'!$H$28*'Assumption Setting'!$E$35)</f>
        <v>4722.55017709563</v>
      </c>
      <c r="AI20" s="72" t="n">
        <f aca="false">AI9/('Assumption Setting'!$H$28*'Assumption Setting'!$E$35)</f>
        <v>4722.55017709563</v>
      </c>
      <c r="AJ20" s="72" t="n">
        <f aca="false">AJ9/('Assumption Setting'!$H$28*'Assumption Setting'!$E$35)</f>
        <v>4722.55017709563</v>
      </c>
      <c r="AK20" s="72" t="n">
        <f aca="false">AK9/('Assumption Setting'!$H$28*'Assumption Setting'!$E$35)</f>
        <v>4722.55017709563</v>
      </c>
      <c r="AL20" s="72" t="n">
        <f aca="false">AL9/('Assumption Setting'!$H$28*'Assumption Setting'!$E$35)</f>
        <v>4722.55017709563</v>
      </c>
      <c r="AM20" s="72" t="n">
        <f aca="false">AM9/('Assumption Setting'!$H$28*'Assumption Setting'!$E$35)</f>
        <v>4722.55017709563</v>
      </c>
      <c r="AN20" s="72" t="n">
        <f aca="false">AN9/('Assumption Setting'!$H$28*'Assumption Setting'!$E$35)</f>
        <v>4722.55017709563</v>
      </c>
      <c r="AO20" s="69" t="n">
        <f aca="false">SUM(AP20:BA20)</f>
        <v>70838.2526564345</v>
      </c>
      <c r="AP20" s="72" t="n">
        <f aca="false">AP9/('Assumption Setting'!$H$28*'Assumption Setting'!$F$35)</f>
        <v>5903.18772136954</v>
      </c>
      <c r="AQ20" s="72" t="n">
        <f aca="false">AQ9/('Assumption Setting'!$H$28*'Assumption Setting'!$F$35)</f>
        <v>5903.18772136954</v>
      </c>
      <c r="AR20" s="72" t="n">
        <f aca="false">AR9/('Assumption Setting'!$H$28*'Assumption Setting'!$F$35)</f>
        <v>5903.18772136954</v>
      </c>
      <c r="AS20" s="72" t="n">
        <f aca="false">AS9/('Assumption Setting'!$H$28*'Assumption Setting'!$F$35)</f>
        <v>5903.18772136954</v>
      </c>
      <c r="AT20" s="72" t="n">
        <f aca="false">AT9/('Assumption Setting'!$H$28*'Assumption Setting'!$F$35)</f>
        <v>5903.18772136954</v>
      </c>
      <c r="AU20" s="72" t="n">
        <f aca="false">AU9/('Assumption Setting'!$H$28*'Assumption Setting'!$F$35)</f>
        <v>5903.18772136954</v>
      </c>
      <c r="AV20" s="72" t="n">
        <f aca="false">AV9/('Assumption Setting'!$H$28*'Assumption Setting'!$F$35)</f>
        <v>5903.18772136954</v>
      </c>
      <c r="AW20" s="72" t="n">
        <f aca="false">AW9/('Assumption Setting'!$H$28*'Assumption Setting'!$F$35)</f>
        <v>5903.18772136954</v>
      </c>
      <c r="AX20" s="72" t="n">
        <f aca="false">AX9/('Assumption Setting'!$H$28*'Assumption Setting'!$F$35)</f>
        <v>5903.18772136954</v>
      </c>
      <c r="AY20" s="72" t="n">
        <f aca="false">AY9/('Assumption Setting'!$H$28*'Assumption Setting'!$F$35)</f>
        <v>5903.18772136954</v>
      </c>
      <c r="AZ20" s="72" t="n">
        <f aca="false">AZ9/('Assumption Setting'!$H$28*'Assumption Setting'!$F$35)</f>
        <v>5903.18772136954</v>
      </c>
      <c r="BA20" s="72" t="n">
        <f aca="false">BA9/('Assumption Setting'!$H$28*'Assumption Setting'!$F$35)</f>
        <v>5903.18772136954</v>
      </c>
      <c r="BB20" s="69" t="n">
        <f aca="false">SUM(BC20:BN20)</f>
        <v>81961.6146438084</v>
      </c>
      <c r="BC20" s="72" t="n">
        <f aca="false">BC9/('Assumption Setting'!$H$28*'Assumption Setting'!$G$35)</f>
        <v>6830.1345536507</v>
      </c>
      <c r="BD20" s="72" t="n">
        <f aca="false">BD9/('Assumption Setting'!$H$28*'Assumption Setting'!$G$35)</f>
        <v>6830.1345536507</v>
      </c>
      <c r="BE20" s="72" t="n">
        <f aca="false">BE9/('Assumption Setting'!$H$28*'Assumption Setting'!$G$35)</f>
        <v>6830.1345536507</v>
      </c>
      <c r="BF20" s="72" t="n">
        <f aca="false">BF9/('Assumption Setting'!$H$28*'Assumption Setting'!$G$35)</f>
        <v>6830.1345536507</v>
      </c>
      <c r="BG20" s="72" t="n">
        <f aca="false">BG9/('Assumption Setting'!$H$28*'Assumption Setting'!$G$35)</f>
        <v>6830.1345536507</v>
      </c>
      <c r="BH20" s="72" t="n">
        <f aca="false">BH9/('Assumption Setting'!$H$28*'Assumption Setting'!$G$35)</f>
        <v>6830.1345536507</v>
      </c>
      <c r="BI20" s="72" t="n">
        <f aca="false">BI9/('Assumption Setting'!$H$28*'Assumption Setting'!$G$35)</f>
        <v>6830.1345536507</v>
      </c>
      <c r="BJ20" s="72" t="n">
        <f aca="false">BJ9/('Assumption Setting'!$H$28*'Assumption Setting'!$G$35)</f>
        <v>6830.1345536507</v>
      </c>
      <c r="BK20" s="72" t="n">
        <f aca="false">BK9/('Assumption Setting'!$H$28*'Assumption Setting'!$G$35)</f>
        <v>6830.1345536507</v>
      </c>
      <c r="BL20" s="72" t="n">
        <f aca="false">BL9/('Assumption Setting'!$H$28*'Assumption Setting'!$G$35)</f>
        <v>6830.1345536507</v>
      </c>
      <c r="BM20" s="72" t="n">
        <f aca="false">BM9/('Assumption Setting'!$H$28*'Assumption Setting'!$G$35)</f>
        <v>6830.1345536507</v>
      </c>
      <c r="BN20" s="72" t="n">
        <f aca="false">BN9/('Assumption Setting'!$H$28*'Assumption Setting'!$G$35)</f>
        <v>6830.1345536507</v>
      </c>
    </row>
    <row r="21" customFormat="false" ht="15" hidden="false" customHeight="false" outlineLevel="0" collapsed="false">
      <c r="A21" s="4" t="s">
        <v>359</v>
      </c>
      <c r="B21" s="69" t="n">
        <f aca="false">SUM(C21:N21)</f>
        <v>33320</v>
      </c>
      <c r="C21" s="72" t="n">
        <f aca="false">C10/('Assumption Setting'!$H$29*'Assumption Setting'!$C$35)</f>
        <v>2776.66666666667</v>
      </c>
      <c r="D21" s="72" t="n">
        <f aca="false">D10/('Assumption Setting'!$H$29*'Assumption Setting'!$C$35)</f>
        <v>2776.66666666667</v>
      </c>
      <c r="E21" s="72" t="n">
        <f aca="false">E10/('Assumption Setting'!$H$29*'Assumption Setting'!$C$35)</f>
        <v>2776.66666666667</v>
      </c>
      <c r="F21" s="72" t="n">
        <f aca="false">F10/('Assumption Setting'!$H$29*'Assumption Setting'!$C$35)</f>
        <v>2776.66666666667</v>
      </c>
      <c r="G21" s="72" t="n">
        <f aca="false">G10/('Assumption Setting'!$H$29*'Assumption Setting'!$C$35)</f>
        <v>2776.66666666667</v>
      </c>
      <c r="H21" s="72" t="n">
        <f aca="false">H10/('Assumption Setting'!$H$29*'Assumption Setting'!$C$35)</f>
        <v>2776.66666666667</v>
      </c>
      <c r="I21" s="72" t="n">
        <f aca="false">I10/('Assumption Setting'!$H$29*'Assumption Setting'!$C$35)</f>
        <v>2776.66666666667</v>
      </c>
      <c r="J21" s="72" t="n">
        <f aca="false">J10/('Assumption Setting'!$H$29*'Assumption Setting'!$C$35)</f>
        <v>2776.66666666667</v>
      </c>
      <c r="K21" s="72" t="n">
        <f aca="false">K10/('Assumption Setting'!$H$29*'Assumption Setting'!$C$35)</f>
        <v>2776.66666666667</v>
      </c>
      <c r="L21" s="72" t="n">
        <f aca="false">L10/('Assumption Setting'!$H$29*'Assumption Setting'!$C$35)</f>
        <v>2776.66666666667</v>
      </c>
      <c r="M21" s="72" t="n">
        <f aca="false">M10/('Assumption Setting'!$H$29*'Assumption Setting'!$C$35)</f>
        <v>2776.66666666667</v>
      </c>
      <c r="N21" s="72" t="n">
        <f aca="false">N10/('Assumption Setting'!$H$29*'Assumption Setting'!$C$35)</f>
        <v>2776.66666666667</v>
      </c>
      <c r="O21" s="69" t="n">
        <f aca="false">SUM(P21:AA21)</f>
        <v>54545.4545454545</v>
      </c>
      <c r="P21" s="72" t="n">
        <f aca="false">P10/('Assumption Setting'!$H$29*'Assumption Setting'!$D$35)</f>
        <v>4545.45454545455</v>
      </c>
      <c r="Q21" s="72" t="n">
        <f aca="false">Q10/('Assumption Setting'!$H$29*'Assumption Setting'!$D$35)</f>
        <v>4545.45454545455</v>
      </c>
      <c r="R21" s="72" t="n">
        <f aca="false">R10/('Assumption Setting'!$H$29*'Assumption Setting'!$D$35)</f>
        <v>4545.45454545455</v>
      </c>
      <c r="S21" s="72" t="n">
        <f aca="false">S10/('Assumption Setting'!$H$29*'Assumption Setting'!$D$35)</f>
        <v>4545.45454545455</v>
      </c>
      <c r="T21" s="72" t="n">
        <f aca="false">T10/('Assumption Setting'!$H$29*'Assumption Setting'!$D$35)</f>
        <v>4545.45454545455</v>
      </c>
      <c r="U21" s="72" t="n">
        <f aca="false">U10/('Assumption Setting'!$H$29*'Assumption Setting'!$D$35)</f>
        <v>4545.45454545455</v>
      </c>
      <c r="V21" s="72" t="n">
        <f aca="false">V10/('Assumption Setting'!$H$29*'Assumption Setting'!$D$35)</f>
        <v>4545.45454545455</v>
      </c>
      <c r="W21" s="72" t="n">
        <f aca="false">W10/('Assumption Setting'!$H$29*'Assumption Setting'!$D$35)</f>
        <v>4545.45454545455</v>
      </c>
      <c r="X21" s="72" t="n">
        <f aca="false">X10/('Assumption Setting'!$H$29*'Assumption Setting'!$D$35)</f>
        <v>4545.45454545455</v>
      </c>
      <c r="Y21" s="72" t="n">
        <f aca="false">Y10/('Assumption Setting'!$H$29*'Assumption Setting'!$D$35)</f>
        <v>4545.45454545455</v>
      </c>
      <c r="Z21" s="72" t="n">
        <f aca="false">Z10/('Assumption Setting'!$H$29*'Assumption Setting'!$D$35)</f>
        <v>4545.45454545455</v>
      </c>
      <c r="AA21" s="72" t="n">
        <f aca="false">AA10/('Assumption Setting'!$H$29*'Assumption Setting'!$D$35)</f>
        <v>4545.45454545455</v>
      </c>
      <c r="AB21" s="69" t="n">
        <f aca="false">SUM(AC21:AN21)</f>
        <v>79338.8429752066</v>
      </c>
      <c r="AC21" s="72" t="n">
        <f aca="false">AC10/('Assumption Setting'!$H$29*'Assumption Setting'!$E$35)</f>
        <v>6611.57024793388</v>
      </c>
      <c r="AD21" s="72" t="n">
        <f aca="false">AD10/('Assumption Setting'!$H$29*'Assumption Setting'!$E$35)</f>
        <v>6611.57024793388</v>
      </c>
      <c r="AE21" s="72" t="n">
        <f aca="false">AE10/('Assumption Setting'!$H$29*'Assumption Setting'!$E$35)</f>
        <v>6611.57024793388</v>
      </c>
      <c r="AF21" s="72" t="n">
        <f aca="false">AF10/('Assumption Setting'!$H$29*'Assumption Setting'!$E$35)</f>
        <v>6611.57024793388</v>
      </c>
      <c r="AG21" s="72" t="n">
        <f aca="false">AG10/('Assumption Setting'!$H$29*'Assumption Setting'!$E$35)</f>
        <v>6611.57024793388</v>
      </c>
      <c r="AH21" s="72" t="n">
        <f aca="false">AH10/('Assumption Setting'!$H$29*'Assumption Setting'!$E$35)</f>
        <v>6611.57024793388</v>
      </c>
      <c r="AI21" s="72" t="n">
        <f aca="false">AI10/('Assumption Setting'!$H$29*'Assumption Setting'!$E$35)</f>
        <v>6611.57024793388</v>
      </c>
      <c r="AJ21" s="72" t="n">
        <f aca="false">AJ10/('Assumption Setting'!$H$29*'Assumption Setting'!$E$35)</f>
        <v>6611.57024793388</v>
      </c>
      <c r="AK21" s="72" t="n">
        <f aca="false">AK10/('Assumption Setting'!$H$29*'Assumption Setting'!$E$35)</f>
        <v>6611.57024793388</v>
      </c>
      <c r="AL21" s="72" t="n">
        <f aca="false">AL10/('Assumption Setting'!$H$29*'Assumption Setting'!$E$35)</f>
        <v>6611.57024793388</v>
      </c>
      <c r="AM21" s="72" t="n">
        <f aca="false">AM10/('Assumption Setting'!$H$29*'Assumption Setting'!$E$35)</f>
        <v>6611.57024793388</v>
      </c>
      <c r="AN21" s="72" t="n">
        <f aca="false">AN10/('Assumption Setting'!$H$29*'Assumption Setting'!$E$35)</f>
        <v>6611.57024793388</v>
      </c>
      <c r="AO21" s="69" t="n">
        <f aca="false">SUM(AP21:BA21)</f>
        <v>96168.2945154019</v>
      </c>
      <c r="AP21" s="72" t="n">
        <f aca="false">AP10/('Assumption Setting'!$H$29*'Assumption Setting'!$F$35)</f>
        <v>8014.02454295016</v>
      </c>
      <c r="AQ21" s="72" t="n">
        <f aca="false">AQ10/('Assumption Setting'!$H$29*'Assumption Setting'!$F$35)</f>
        <v>8014.02454295016</v>
      </c>
      <c r="AR21" s="72" t="n">
        <f aca="false">AR10/('Assumption Setting'!$H$29*'Assumption Setting'!$F$35)</f>
        <v>8014.02454295016</v>
      </c>
      <c r="AS21" s="72" t="n">
        <f aca="false">AS10/('Assumption Setting'!$H$29*'Assumption Setting'!$F$35)</f>
        <v>8014.02454295016</v>
      </c>
      <c r="AT21" s="72" t="n">
        <f aca="false">AT10/('Assumption Setting'!$H$29*'Assumption Setting'!$F$35)</f>
        <v>8014.02454295016</v>
      </c>
      <c r="AU21" s="72" t="n">
        <f aca="false">AU10/('Assumption Setting'!$H$29*'Assumption Setting'!$F$35)</f>
        <v>8014.02454295016</v>
      </c>
      <c r="AV21" s="72" t="n">
        <f aca="false">AV10/('Assumption Setting'!$H$29*'Assumption Setting'!$F$35)</f>
        <v>8014.02454295016</v>
      </c>
      <c r="AW21" s="72" t="n">
        <f aca="false">AW10/('Assumption Setting'!$H$29*'Assumption Setting'!$F$35)</f>
        <v>8014.02454295016</v>
      </c>
      <c r="AX21" s="72" t="n">
        <f aca="false">AX10/('Assumption Setting'!$H$29*'Assumption Setting'!$F$35)</f>
        <v>8014.02454295016</v>
      </c>
      <c r="AY21" s="72" t="n">
        <f aca="false">AY10/('Assumption Setting'!$H$29*'Assumption Setting'!$F$35)</f>
        <v>8014.02454295016</v>
      </c>
      <c r="AZ21" s="72" t="n">
        <f aca="false">AZ10/('Assumption Setting'!$H$29*'Assumption Setting'!$F$35)</f>
        <v>8014.02454295016</v>
      </c>
      <c r="BA21" s="72" t="n">
        <f aca="false">BA10/('Assumption Setting'!$H$29*'Assumption Setting'!$F$35)</f>
        <v>8014.02454295016</v>
      </c>
      <c r="BB21" s="69" t="n">
        <f aca="false">SUM(BC21:BN21)</f>
        <v>109282.152858411</v>
      </c>
      <c r="BC21" s="72" t="n">
        <f aca="false">BC10/('Assumption Setting'!$H$29*'Assumption Setting'!$G$35)</f>
        <v>9106.84607153427</v>
      </c>
      <c r="BD21" s="72" t="n">
        <f aca="false">BD10/('Assumption Setting'!$H$29*'Assumption Setting'!$G$35)</f>
        <v>9106.84607153427</v>
      </c>
      <c r="BE21" s="72" t="n">
        <f aca="false">BE10/('Assumption Setting'!$H$29*'Assumption Setting'!$G$35)</f>
        <v>9106.84607153427</v>
      </c>
      <c r="BF21" s="72" t="n">
        <f aca="false">BF10/('Assumption Setting'!$H$29*'Assumption Setting'!$G$35)</f>
        <v>9106.84607153427</v>
      </c>
      <c r="BG21" s="72" t="n">
        <f aca="false">BG10/('Assumption Setting'!$H$29*'Assumption Setting'!$G$35)</f>
        <v>9106.84607153427</v>
      </c>
      <c r="BH21" s="72" t="n">
        <f aca="false">BH10/('Assumption Setting'!$H$29*'Assumption Setting'!$G$35)</f>
        <v>9106.84607153427</v>
      </c>
      <c r="BI21" s="72" t="n">
        <f aca="false">BI10/('Assumption Setting'!$H$29*'Assumption Setting'!$G$35)</f>
        <v>9106.84607153427</v>
      </c>
      <c r="BJ21" s="72" t="n">
        <f aca="false">BJ10/('Assumption Setting'!$H$29*'Assumption Setting'!$G$35)</f>
        <v>9106.84607153427</v>
      </c>
      <c r="BK21" s="72" t="n">
        <f aca="false">BK10/('Assumption Setting'!$H$29*'Assumption Setting'!$G$35)</f>
        <v>9106.84607153427</v>
      </c>
      <c r="BL21" s="72" t="n">
        <f aca="false">BL10/('Assumption Setting'!$H$29*'Assumption Setting'!$G$35)</f>
        <v>9106.84607153427</v>
      </c>
      <c r="BM21" s="72" t="n">
        <f aca="false">BM10/('Assumption Setting'!$H$29*'Assumption Setting'!$G$35)</f>
        <v>9106.84607153427</v>
      </c>
      <c r="BN21" s="72" t="n">
        <f aca="false">BN10/('Assumption Setting'!$H$29*'Assumption Setting'!$G$35)</f>
        <v>9106.84607153427</v>
      </c>
    </row>
    <row r="22" customFormat="false" ht="15" hidden="false" customHeight="false" outlineLevel="0" collapsed="false">
      <c r="A22" s="4" t="s">
        <v>360</v>
      </c>
      <c r="B22" s="69" t="n">
        <f aca="false">SUM(C22:N22)</f>
        <v>11120</v>
      </c>
      <c r="C22" s="72" t="n">
        <f aca="false">C11/('Assumption Setting'!$H$30*'Assumption Setting'!$C$35)</f>
        <v>926.666666666667</v>
      </c>
      <c r="D22" s="72" t="n">
        <f aca="false">D11/('Assumption Setting'!$H$30*'Assumption Setting'!$C$35)</f>
        <v>926.666666666667</v>
      </c>
      <c r="E22" s="72" t="n">
        <f aca="false">E11/('Assumption Setting'!$H$30*'Assumption Setting'!$C$35)</f>
        <v>926.666666666667</v>
      </c>
      <c r="F22" s="72" t="n">
        <f aca="false">F11/('Assumption Setting'!$H$30*'Assumption Setting'!$C$35)</f>
        <v>926.666666666667</v>
      </c>
      <c r="G22" s="72" t="n">
        <f aca="false">G11/('Assumption Setting'!$H$30*'Assumption Setting'!$C$35)</f>
        <v>926.666666666667</v>
      </c>
      <c r="H22" s="72" t="n">
        <f aca="false">H11/('Assumption Setting'!$H$30*'Assumption Setting'!$C$35)</f>
        <v>926.666666666667</v>
      </c>
      <c r="I22" s="72" t="n">
        <f aca="false">I11/('Assumption Setting'!$H$30*'Assumption Setting'!$C$35)</f>
        <v>926.666666666667</v>
      </c>
      <c r="J22" s="72" t="n">
        <f aca="false">J11/('Assumption Setting'!$H$30*'Assumption Setting'!$C$35)</f>
        <v>926.666666666667</v>
      </c>
      <c r="K22" s="72" t="n">
        <f aca="false">K11/('Assumption Setting'!$H$30*'Assumption Setting'!$C$35)</f>
        <v>926.666666666667</v>
      </c>
      <c r="L22" s="72" t="n">
        <f aca="false">L11/('Assumption Setting'!$H$30*'Assumption Setting'!$C$35)</f>
        <v>926.666666666667</v>
      </c>
      <c r="M22" s="72" t="n">
        <f aca="false">M11/('Assumption Setting'!$H$30*'Assumption Setting'!$C$35)</f>
        <v>926.666666666667</v>
      </c>
      <c r="N22" s="72" t="n">
        <f aca="false">N11/('Assumption Setting'!$H$30*'Assumption Setting'!$C$35)</f>
        <v>926.666666666667</v>
      </c>
      <c r="O22" s="69" t="n">
        <f aca="false">SUM(P22:AA22)</f>
        <v>21818.1818181818</v>
      </c>
      <c r="P22" s="72" t="n">
        <f aca="false">P11/('Assumption Setting'!$H$30*'Assumption Setting'!$D$35)</f>
        <v>1818.18181818182</v>
      </c>
      <c r="Q22" s="72" t="n">
        <f aca="false">Q11/('Assumption Setting'!$H$30*'Assumption Setting'!$D$35)</f>
        <v>1818.18181818182</v>
      </c>
      <c r="R22" s="72" t="n">
        <f aca="false">R11/('Assumption Setting'!$H$30*'Assumption Setting'!$D$35)</f>
        <v>1818.18181818182</v>
      </c>
      <c r="S22" s="72" t="n">
        <f aca="false">S11/('Assumption Setting'!$H$30*'Assumption Setting'!$D$35)</f>
        <v>1818.18181818182</v>
      </c>
      <c r="T22" s="72" t="n">
        <f aca="false">T11/('Assumption Setting'!$H$30*'Assumption Setting'!$D$35)</f>
        <v>1818.18181818182</v>
      </c>
      <c r="U22" s="72" t="n">
        <f aca="false">U11/('Assumption Setting'!$H$30*'Assumption Setting'!$D$35)</f>
        <v>1818.18181818182</v>
      </c>
      <c r="V22" s="72" t="n">
        <f aca="false">V11/('Assumption Setting'!$H$30*'Assumption Setting'!$D$35)</f>
        <v>1818.18181818182</v>
      </c>
      <c r="W22" s="72" t="n">
        <f aca="false">W11/('Assumption Setting'!$H$30*'Assumption Setting'!$D$35)</f>
        <v>1818.18181818182</v>
      </c>
      <c r="X22" s="72" t="n">
        <f aca="false">X11/('Assumption Setting'!$H$30*'Assumption Setting'!$D$35)</f>
        <v>1818.18181818182</v>
      </c>
      <c r="Y22" s="72" t="n">
        <f aca="false">Y11/('Assumption Setting'!$H$30*'Assumption Setting'!$D$35)</f>
        <v>1818.18181818182</v>
      </c>
      <c r="Z22" s="72" t="n">
        <f aca="false">Z11/('Assumption Setting'!$H$30*'Assumption Setting'!$D$35)</f>
        <v>1818.18181818182</v>
      </c>
      <c r="AA22" s="72" t="n">
        <f aca="false">AA11/('Assumption Setting'!$H$30*'Assumption Setting'!$D$35)</f>
        <v>1818.18181818182</v>
      </c>
      <c r="AB22" s="69" t="n">
        <f aca="false">SUM(AC22:AN22)</f>
        <v>33057.8512396694</v>
      </c>
      <c r="AC22" s="72" t="n">
        <f aca="false">AC11/('Assumption Setting'!$H$30*'Assumption Setting'!$E$35)</f>
        <v>2754.82093663912</v>
      </c>
      <c r="AD22" s="72" t="n">
        <f aca="false">AD11/('Assumption Setting'!$H$30*'Assumption Setting'!$E$35)</f>
        <v>2754.82093663912</v>
      </c>
      <c r="AE22" s="72" t="n">
        <f aca="false">AE11/('Assumption Setting'!$H$30*'Assumption Setting'!$E$35)</f>
        <v>2754.82093663912</v>
      </c>
      <c r="AF22" s="72" t="n">
        <f aca="false">AF11/('Assumption Setting'!$H$30*'Assumption Setting'!$E$35)</f>
        <v>2754.82093663912</v>
      </c>
      <c r="AG22" s="72" t="n">
        <f aca="false">AG11/('Assumption Setting'!$H$30*'Assumption Setting'!$E$35)</f>
        <v>2754.82093663912</v>
      </c>
      <c r="AH22" s="72" t="n">
        <f aca="false">AH11/('Assumption Setting'!$H$30*'Assumption Setting'!$E$35)</f>
        <v>2754.82093663912</v>
      </c>
      <c r="AI22" s="72" t="n">
        <f aca="false">AI11/('Assumption Setting'!$H$30*'Assumption Setting'!$E$35)</f>
        <v>2754.82093663912</v>
      </c>
      <c r="AJ22" s="72" t="n">
        <f aca="false">AJ11/('Assumption Setting'!$H$30*'Assumption Setting'!$E$35)</f>
        <v>2754.82093663912</v>
      </c>
      <c r="AK22" s="72" t="n">
        <f aca="false">AK11/('Assumption Setting'!$H$30*'Assumption Setting'!$E$35)</f>
        <v>2754.82093663912</v>
      </c>
      <c r="AL22" s="72" t="n">
        <f aca="false">AL11/('Assumption Setting'!$H$30*'Assumption Setting'!$E$35)</f>
        <v>2754.82093663912</v>
      </c>
      <c r="AM22" s="72" t="n">
        <f aca="false">AM11/('Assumption Setting'!$H$30*'Assumption Setting'!$E$35)</f>
        <v>2754.82093663912</v>
      </c>
      <c r="AN22" s="72" t="n">
        <f aca="false">AN11/('Assumption Setting'!$H$30*'Assumption Setting'!$E$35)</f>
        <v>2754.82093663912</v>
      </c>
      <c r="AO22" s="69" t="n">
        <f aca="false">SUM(AP22:BA22)</f>
        <v>42073.6288504883</v>
      </c>
      <c r="AP22" s="72" t="n">
        <f aca="false">AP11/('Assumption Setting'!$H$30*'Assumption Setting'!$F$35)</f>
        <v>3506.1357375407</v>
      </c>
      <c r="AQ22" s="72" t="n">
        <f aca="false">AQ11/('Assumption Setting'!$H$30*'Assumption Setting'!$F$35)</f>
        <v>3506.1357375407</v>
      </c>
      <c r="AR22" s="72" t="n">
        <f aca="false">AR11/('Assumption Setting'!$H$30*'Assumption Setting'!$F$35)</f>
        <v>3506.1357375407</v>
      </c>
      <c r="AS22" s="72" t="n">
        <f aca="false">AS11/('Assumption Setting'!$H$30*'Assumption Setting'!$F$35)</f>
        <v>3506.1357375407</v>
      </c>
      <c r="AT22" s="72" t="n">
        <f aca="false">AT11/('Assumption Setting'!$H$30*'Assumption Setting'!$F$35)</f>
        <v>3506.1357375407</v>
      </c>
      <c r="AU22" s="72" t="n">
        <f aca="false">AU11/('Assumption Setting'!$H$30*'Assumption Setting'!$F$35)</f>
        <v>3506.1357375407</v>
      </c>
      <c r="AV22" s="72" t="n">
        <f aca="false">AV11/('Assumption Setting'!$H$30*'Assumption Setting'!$F$35)</f>
        <v>3506.1357375407</v>
      </c>
      <c r="AW22" s="72" t="n">
        <f aca="false">AW11/('Assumption Setting'!$H$30*'Assumption Setting'!$F$35)</f>
        <v>3506.1357375407</v>
      </c>
      <c r="AX22" s="72" t="n">
        <f aca="false">AX11/('Assumption Setting'!$H$30*'Assumption Setting'!$F$35)</f>
        <v>3506.1357375407</v>
      </c>
      <c r="AY22" s="72" t="n">
        <f aca="false">AY11/('Assumption Setting'!$H$30*'Assumption Setting'!$F$35)</f>
        <v>3506.1357375407</v>
      </c>
      <c r="AZ22" s="72" t="n">
        <f aca="false">AZ11/('Assumption Setting'!$H$30*'Assumption Setting'!$F$35)</f>
        <v>3506.1357375407</v>
      </c>
      <c r="BA22" s="72" t="n">
        <f aca="false">BA11/('Assumption Setting'!$H$30*'Assumption Setting'!$F$35)</f>
        <v>3506.1357375407</v>
      </c>
      <c r="BB22" s="69" t="n">
        <f aca="false">SUM(BC22:BN22)</f>
        <v>49176.9687862851</v>
      </c>
      <c r="BC22" s="72" t="n">
        <f aca="false">BC11/('Assumption Setting'!$H$30*'Assumption Setting'!$G$35)</f>
        <v>4098.08073219042</v>
      </c>
      <c r="BD22" s="72" t="n">
        <f aca="false">BD11/('Assumption Setting'!$H$30*'Assumption Setting'!$G$35)</f>
        <v>4098.08073219042</v>
      </c>
      <c r="BE22" s="72" t="n">
        <f aca="false">BE11/('Assumption Setting'!$H$30*'Assumption Setting'!$G$35)</f>
        <v>4098.08073219042</v>
      </c>
      <c r="BF22" s="72" t="n">
        <f aca="false">BF11/('Assumption Setting'!$H$30*'Assumption Setting'!$G$35)</f>
        <v>4098.08073219042</v>
      </c>
      <c r="BG22" s="72" t="n">
        <f aca="false">BG11/('Assumption Setting'!$H$30*'Assumption Setting'!$G$35)</f>
        <v>4098.08073219042</v>
      </c>
      <c r="BH22" s="72" t="n">
        <f aca="false">BH11/('Assumption Setting'!$H$30*'Assumption Setting'!$G$35)</f>
        <v>4098.08073219042</v>
      </c>
      <c r="BI22" s="72" t="n">
        <f aca="false">BI11/('Assumption Setting'!$H$30*'Assumption Setting'!$G$35)</f>
        <v>4098.08073219042</v>
      </c>
      <c r="BJ22" s="72" t="n">
        <f aca="false">BJ11/('Assumption Setting'!$H$30*'Assumption Setting'!$G$35)</f>
        <v>4098.08073219042</v>
      </c>
      <c r="BK22" s="72" t="n">
        <f aca="false">BK11/('Assumption Setting'!$H$30*'Assumption Setting'!$G$35)</f>
        <v>4098.08073219042</v>
      </c>
      <c r="BL22" s="72" t="n">
        <f aca="false">BL11/('Assumption Setting'!$H$30*'Assumption Setting'!$G$35)</f>
        <v>4098.08073219042</v>
      </c>
      <c r="BM22" s="72" t="n">
        <f aca="false">BM11/('Assumption Setting'!$H$30*'Assumption Setting'!$G$35)</f>
        <v>4098.08073219042</v>
      </c>
      <c r="BN22" s="72" t="n">
        <f aca="false">BN11/('Assumption Setting'!$H$30*'Assumption Setting'!$G$35)</f>
        <v>4098.08073219042</v>
      </c>
    </row>
    <row r="23" customFormat="false" ht="15" hidden="false" customHeight="false" outlineLevel="0" collapsed="false">
      <c r="A23" s="4" t="s">
        <v>361</v>
      </c>
      <c r="B23" s="69" t="n">
        <f aca="false">SUM(C23:N23)</f>
        <v>30000</v>
      </c>
      <c r="C23" s="72" t="n">
        <f aca="false">C12/('Assumption Setting'!$H$31*'Assumption Setting'!$C$35)</f>
        <v>2500</v>
      </c>
      <c r="D23" s="72" t="n">
        <f aca="false">D12/('Assumption Setting'!$H$31*'Assumption Setting'!$C$35)</f>
        <v>2500</v>
      </c>
      <c r="E23" s="72" t="n">
        <f aca="false">E12/('Assumption Setting'!$H$31*'Assumption Setting'!$C$35)</f>
        <v>2500</v>
      </c>
      <c r="F23" s="72" t="n">
        <f aca="false">F12/('Assumption Setting'!$H$31*'Assumption Setting'!$C$35)</f>
        <v>2500</v>
      </c>
      <c r="G23" s="72" t="n">
        <f aca="false">G12/('Assumption Setting'!$H$31*'Assumption Setting'!$C$35)</f>
        <v>2500</v>
      </c>
      <c r="H23" s="72" t="n">
        <f aca="false">H12/('Assumption Setting'!$H$31*'Assumption Setting'!$C$35)</f>
        <v>2500</v>
      </c>
      <c r="I23" s="72" t="n">
        <f aca="false">I12/('Assumption Setting'!$H$31*'Assumption Setting'!$C$35)</f>
        <v>2500</v>
      </c>
      <c r="J23" s="72" t="n">
        <f aca="false">J12/('Assumption Setting'!$H$31*'Assumption Setting'!$C$35)</f>
        <v>2500</v>
      </c>
      <c r="K23" s="72" t="n">
        <f aca="false">K12/('Assumption Setting'!$H$31*'Assumption Setting'!$C$35)</f>
        <v>2500</v>
      </c>
      <c r="L23" s="72" t="n">
        <f aca="false">L12/('Assumption Setting'!$H$31*'Assumption Setting'!$C$35)</f>
        <v>2500</v>
      </c>
      <c r="M23" s="72" t="n">
        <f aca="false">M12/('Assumption Setting'!$H$31*'Assumption Setting'!$C$35)</f>
        <v>2500</v>
      </c>
      <c r="N23" s="72" t="n">
        <f aca="false">N12/('Assumption Setting'!$H$31*'Assumption Setting'!$C$35)</f>
        <v>2500</v>
      </c>
      <c r="O23" s="69" t="n">
        <f aca="false">SUM(P23:AA23)</f>
        <v>59090.9090909091</v>
      </c>
      <c r="P23" s="72" t="n">
        <f aca="false">P12/('Assumption Setting'!$H$31*'Assumption Setting'!$D$35)</f>
        <v>4924.24242424242</v>
      </c>
      <c r="Q23" s="72" t="n">
        <f aca="false">Q12/('Assumption Setting'!$H$31*'Assumption Setting'!$D$35)</f>
        <v>4924.24242424242</v>
      </c>
      <c r="R23" s="72" t="n">
        <f aca="false">R12/('Assumption Setting'!$H$31*'Assumption Setting'!$D$35)</f>
        <v>4924.24242424242</v>
      </c>
      <c r="S23" s="72" t="n">
        <f aca="false">S12/('Assumption Setting'!$H$31*'Assumption Setting'!$D$35)</f>
        <v>4924.24242424242</v>
      </c>
      <c r="T23" s="72" t="n">
        <f aca="false">T12/('Assumption Setting'!$H$31*'Assumption Setting'!$D$35)</f>
        <v>4924.24242424242</v>
      </c>
      <c r="U23" s="72" t="n">
        <f aca="false">U12/('Assumption Setting'!$H$31*'Assumption Setting'!$D$35)</f>
        <v>4924.24242424242</v>
      </c>
      <c r="V23" s="72" t="n">
        <f aca="false">V12/('Assumption Setting'!$H$31*'Assumption Setting'!$D$35)</f>
        <v>4924.24242424242</v>
      </c>
      <c r="W23" s="72" t="n">
        <f aca="false">W12/('Assumption Setting'!$H$31*'Assumption Setting'!$D$35)</f>
        <v>4924.24242424242</v>
      </c>
      <c r="X23" s="72" t="n">
        <f aca="false">X12/('Assumption Setting'!$H$31*'Assumption Setting'!$D$35)</f>
        <v>4924.24242424242</v>
      </c>
      <c r="Y23" s="72" t="n">
        <f aca="false">Y12/('Assumption Setting'!$H$31*'Assumption Setting'!$D$35)</f>
        <v>4924.24242424242</v>
      </c>
      <c r="Z23" s="72" t="n">
        <f aca="false">Z12/('Assumption Setting'!$H$31*'Assumption Setting'!$D$35)</f>
        <v>4924.24242424242</v>
      </c>
      <c r="AA23" s="72" t="n">
        <f aca="false">AA12/('Assumption Setting'!$H$31*'Assumption Setting'!$D$35)</f>
        <v>4924.24242424242</v>
      </c>
      <c r="AB23" s="69" t="n">
        <f aca="false">SUM(AC23:AN23)</f>
        <v>90909.0909090909</v>
      </c>
      <c r="AC23" s="72" t="n">
        <f aca="false">AC12/('Assumption Setting'!$H$31*'Assumption Setting'!$E$35)</f>
        <v>7575.75757575757</v>
      </c>
      <c r="AD23" s="72" t="n">
        <f aca="false">AD12/('Assumption Setting'!$H$31*'Assumption Setting'!$E$35)</f>
        <v>7575.75757575757</v>
      </c>
      <c r="AE23" s="72" t="n">
        <f aca="false">AE12/('Assumption Setting'!$H$31*'Assumption Setting'!$E$35)</f>
        <v>7575.75757575757</v>
      </c>
      <c r="AF23" s="72" t="n">
        <f aca="false">AF12/('Assumption Setting'!$H$31*'Assumption Setting'!$E$35)</f>
        <v>7575.75757575757</v>
      </c>
      <c r="AG23" s="72" t="n">
        <f aca="false">AG12/('Assumption Setting'!$H$31*'Assumption Setting'!$E$35)</f>
        <v>7575.75757575757</v>
      </c>
      <c r="AH23" s="72" t="n">
        <f aca="false">AH12/('Assumption Setting'!$H$31*'Assumption Setting'!$E$35)</f>
        <v>7575.75757575757</v>
      </c>
      <c r="AI23" s="72" t="n">
        <f aca="false">AI12/('Assumption Setting'!$H$31*'Assumption Setting'!$E$35)</f>
        <v>7575.75757575757</v>
      </c>
      <c r="AJ23" s="72" t="n">
        <f aca="false">AJ12/('Assumption Setting'!$H$31*'Assumption Setting'!$E$35)</f>
        <v>7575.75757575757</v>
      </c>
      <c r="AK23" s="72" t="n">
        <f aca="false">AK12/('Assumption Setting'!$H$31*'Assumption Setting'!$E$35)</f>
        <v>7575.75757575757</v>
      </c>
      <c r="AL23" s="72" t="n">
        <f aca="false">AL12/('Assumption Setting'!$H$31*'Assumption Setting'!$E$35)</f>
        <v>7575.75757575757</v>
      </c>
      <c r="AM23" s="72" t="n">
        <f aca="false">AM12/('Assumption Setting'!$H$31*'Assumption Setting'!$E$35)</f>
        <v>7575.75757575757</v>
      </c>
      <c r="AN23" s="72" t="n">
        <f aca="false">AN12/('Assumption Setting'!$H$31*'Assumption Setting'!$E$35)</f>
        <v>7575.75757575757</v>
      </c>
      <c r="AO23" s="69" t="n">
        <f aca="false">SUM(AP23:BA23)</f>
        <v>112697.220135237</v>
      </c>
      <c r="AP23" s="72" t="n">
        <f aca="false">AP12/('Assumption Setting'!$H$31*'Assumption Setting'!$F$35)</f>
        <v>9391.43501126972</v>
      </c>
      <c r="AQ23" s="72" t="n">
        <f aca="false">AQ12/('Assumption Setting'!$H$31*'Assumption Setting'!$F$35)</f>
        <v>9391.43501126972</v>
      </c>
      <c r="AR23" s="72" t="n">
        <f aca="false">AR12/('Assumption Setting'!$H$31*'Assumption Setting'!$F$35)</f>
        <v>9391.43501126972</v>
      </c>
      <c r="AS23" s="72" t="n">
        <f aca="false">AS12/('Assumption Setting'!$H$31*'Assumption Setting'!$F$35)</f>
        <v>9391.43501126972</v>
      </c>
      <c r="AT23" s="72" t="n">
        <f aca="false">AT12/('Assumption Setting'!$H$31*'Assumption Setting'!$F$35)</f>
        <v>9391.43501126972</v>
      </c>
      <c r="AU23" s="72" t="n">
        <f aca="false">AU12/('Assumption Setting'!$H$31*'Assumption Setting'!$F$35)</f>
        <v>9391.43501126972</v>
      </c>
      <c r="AV23" s="72" t="n">
        <f aca="false">AV12/('Assumption Setting'!$H$31*'Assumption Setting'!$F$35)</f>
        <v>9391.43501126972</v>
      </c>
      <c r="AW23" s="72" t="n">
        <f aca="false">AW12/('Assumption Setting'!$H$31*'Assumption Setting'!$F$35)</f>
        <v>9391.43501126972</v>
      </c>
      <c r="AX23" s="72" t="n">
        <f aca="false">AX12/('Assumption Setting'!$H$31*'Assumption Setting'!$F$35)</f>
        <v>9391.43501126972</v>
      </c>
      <c r="AY23" s="72" t="n">
        <f aca="false">AY12/('Assumption Setting'!$H$31*'Assumption Setting'!$F$35)</f>
        <v>9391.43501126972</v>
      </c>
      <c r="AZ23" s="72" t="n">
        <f aca="false">AZ12/('Assumption Setting'!$H$31*'Assumption Setting'!$F$35)</f>
        <v>9391.43501126972</v>
      </c>
      <c r="BA23" s="72" t="n">
        <f aca="false">BA12/('Assumption Setting'!$H$31*'Assumption Setting'!$F$35)</f>
        <v>9391.43501126972</v>
      </c>
      <c r="BB23" s="69" t="n">
        <f aca="false">SUM(BC23:BN23)</f>
        <v>129772.556519363</v>
      </c>
      <c r="BC23" s="72" t="n">
        <f aca="false">BC12/('Assumption Setting'!$H$31*'Assumption Setting'!$G$35)</f>
        <v>10814.3797099469</v>
      </c>
      <c r="BD23" s="72" t="n">
        <f aca="false">BD12/('Assumption Setting'!$H$31*'Assumption Setting'!$G$35)</f>
        <v>10814.3797099469</v>
      </c>
      <c r="BE23" s="72" t="n">
        <f aca="false">BE12/('Assumption Setting'!$H$31*'Assumption Setting'!$G$35)</f>
        <v>10814.3797099469</v>
      </c>
      <c r="BF23" s="72" t="n">
        <f aca="false">BF12/('Assumption Setting'!$H$31*'Assumption Setting'!$G$35)</f>
        <v>10814.3797099469</v>
      </c>
      <c r="BG23" s="72" t="n">
        <f aca="false">BG12/('Assumption Setting'!$H$31*'Assumption Setting'!$G$35)</f>
        <v>10814.3797099469</v>
      </c>
      <c r="BH23" s="72" t="n">
        <f aca="false">BH12/('Assumption Setting'!$H$31*'Assumption Setting'!$G$35)</f>
        <v>10814.3797099469</v>
      </c>
      <c r="BI23" s="72" t="n">
        <f aca="false">BI12/('Assumption Setting'!$H$31*'Assumption Setting'!$G$35)</f>
        <v>10814.3797099469</v>
      </c>
      <c r="BJ23" s="72" t="n">
        <f aca="false">BJ12/('Assumption Setting'!$H$31*'Assumption Setting'!$G$35)</f>
        <v>10814.3797099469</v>
      </c>
      <c r="BK23" s="72" t="n">
        <f aca="false">BK12/('Assumption Setting'!$H$31*'Assumption Setting'!$G$35)</f>
        <v>10814.3797099469</v>
      </c>
      <c r="BL23" s="72" t="n">
        <f aca="false">BL12/('Assumption Setting'!$H$31*'Assumption Setting'!$G$35)</f>
        <v>10814.3797099469</v>
      </c>
      <c r="BM23" s="72" t="n">
        <f aca="false">BM12/('Assumption Setting'!$H$31*'Assumption Setting'!$G$35)</f>
        <v>10814.3797099469</v>
      </c>
      <c r="BN23" s="72" t="n">
        <f aca="false">BN12/('Assumption Setting'!$H$31*'Assumption Setting'!$G$35)</f>
        <v>10814.3797099469</v>
      </c>
    </row>
    <row r="24" customFormat="false" ht="15" hidden="false" customHeight="false" outlineLevel="0" collapsed="false">
      <c r="A24" s="13" t="s">
        <v>666</v>
      </c>
      <c r="B24" s="69" t="n">
        <f aca="false">SUM(C24:N24)</f>
        <v>274855.584415584</v>
      </c>
      <c r="C24" s="80" t="n">
        <f aca="false">SUM(C17:C23)</f>
        <v>22904.632034632</v>
      </c>
      <c r="D24" s="80" t="n">
        <f aca="false">SUM(D17:D23)</f>
        <v>22904.632034632</v>
      </c>
      <c r="E24" s="80" t="n">
        <f aca="false">SUM(E17:E23)</f>
        <v>22904.632034632</v>
      </c>
      <c r="F24" s="80" t="n">
        <f aca="false">SUM(F17:F23)</f>
        <v>22904.632034632</v>
      </c>
      <c r="G24" s="80" t="n">
        <f aca="false">SUM(G17:G23)</f>
        <v>22904.632034632</v>
      </c>
      <c r="H24" s="80" t="n">
        <f aca="false">SUM(H17:H23)</f>
        <v>22904.632034632</v>
      </c>
      <c r="I24" s="80" t="n">
        <f aca="false">SUM(I17:I23)</f>
        <v>22904.632034632</v>
      </c>
      <c r="J24" s="80" t="n">
        <f aca="false">SUM(J17:J23)</f>
        <v>22904.632034632</v>
      </c>
      <c r="K24" s="80" t="n">
        <f aca="false">SUM(K17:K23)</f>
        <v>22904.632034632</v>
      </c>
      <c r="L24" s="80" t="n">
        <f aca="false">SUM(L17:L23)</f>
        <v>22904.632034632</v>
      </c>
      <c r="M24" s="80" t="n">
        <f aca="false">SUM(M17:M23)</f>
        <v>22904.632034632</v>
      </c>
      <c r="N24" s="80" t="n">
        <f aca="false">SUM(N17:N23)</f>
        <v>22904.632034632</v>
      </c>
      <c r="O24" s="69" t="n">
        <f aca="false">SUM(P24:AA24)</f>
        <v>580436.835891381</v>
      </c>
      <c r="P24" s="80" t="n">
        <f aca="false">SUM(P17:P23)</f>
        <v>48369.7363242818</v>
      </c>
      <c r="Q24" s="80" t="n">
        <f aca="false">SUM(Q17:Q23)</f>
        <v>48369.7363242818</v>
      </c>
      <c r="R24" s="80" t="n">
        <f aca="false">SUM(R17:R23)</f>
        <v>48369.7363242818</v>
      </c>
      <c r="S24" s="80" t="n">
        <f aca="false">SUM(S17:S23)</f>
        <v>48369.7363242818</v>
      </c>
      <c r="T24" s="80" t="n">
        <f aca="false">SUM(T17:T23)</f>
        <v>48369.7363242818</v>
      </c>
      <c r="U24" s="80" t="n">
        <f aca="false">SUM(U17:U23)</f>
        <v>48369.7363242818</v>
      </c>
      <c r="V24" s="80" t="n">
        <f aca="false">SUM(V17:V23)</f>
        <v>48369.7363242818</v>
      </c>
      <c r="W24" s="80" t="n">
        <f aca="false">SUM(W17:W23)</f>
        <v>48369.7363242818</v>
      </c>
      <c r="X24" s="80" t="n">
        <f aca="false">SUM(X17:X23)</f>
        <v>48369.7363242818</v>
      </c>
      <c r="Y24" s="80" t="n">
        <f aca="false">SUM(Y17:Y23)</f>
        <v>48369.7363242818</v>
      </c>
      <c r="Z24" s="80" t="n">
        <f aca="false">SUM(Z17:Z23)</f>
        <v>48369.7363242818</v>
      </c>
      <c r="AA24" s="80" t="n">
        <f aca="false">SUM(AA17:AA23)</f>
        <v>48369.7363242818</v>
      </c>
      <c r="AB24" s="69" t="n">
        <f aca="false">SUM(AC24:AN24)</f>
        <v>935558.656219813</v>
      </c>
      <c r="AC24" s="80" t="n">
        <f aca="false">SUM(AC17:AC23)</f>
        <v>77963.2213516511</v>
      </c>
      <c r="AD24" s="80" t="n">
        <f aca="false">SUM(AD17:AD23)</f>
        <v>77963.2213516511</v>
      </c>
      <c r="AE24" s="80" t="n">
        <f aca="false">SUM(AE17:AE23)</f>
        <v>77963.2213516511</v>
      </c>
      <c r="AF24" s="80" t="n">
        <f aca="false">SUM(AF17:AF23)</f>
        <v>77963.2213516511</v>
      </c>
      <c r="AG24" s="80" t="n">
        <f aca="false">SUM(AG17:AG23)</f>
        <v>77963.2213516511</v>
      </c>
      <c r="AH24" s="80" t="n">
        <f aca="false">SUM(AH17:AH23)</f>
        <v>77963.2213516511</v>
      </c>
      <c r="AI24" s="80" t="n">
        <f aca="false">SUM(AI17:AI23)</f>
        <v>77963.2213516511</v>
      </c>
      <c r="AJ24" s="80" t="n">
        <f aca="false">SUM(AJ17:AJ23)</f>
        <v>77963.2213516511</v>
      </c>
      <c r="AK24" s="80" t="n">
        <f aca="false">SUM(AK17:AK23)</f>
        <v>77963.2213516511</v>
      </c>
      <c r="AL24" s="80" t="n">
        <f aca="false">SUM(AL17:AL23)</f>
        <v>77963.2213516511</v>
      </c>
      <c r="AM24" s="80" t="n">
        <f aca="false">SUM(AM17:AM23)</f>
        <v>77963.2213516511</v>
      </c>
      <c r="AN24" s="80" t="n">
        <f aca="false">SUM(AN17:AN23)</f>
        <v>77963.2213516511</v>
      </c>
      <c r="AO24" s="69" t="n">
        <f aca="false">SUM(AP24:BA24)</f>
        <v>1211334.12042503</v>
      </c>
      <c r="AP24" s="80" t="n">
        <f aca="false">SUM(AP17:AP23)</f>
        <v>100944.510035419</v>
      </c>
      <c r="AQ24" s="80" t="n">
        <f aca="false">SUM(AQ17:AQ23)</f>
        <v>100944.510035419</v>
      </c>
      <c r="AR24" s="80" t="n">
        <f aca="false">SUM(AR17:AR23)</f>
        <v>100944.510035419</v>
      </c>
      <c r="AS24" s="80" t="n">
        <f aca="false">SUM(AS17:AS23)</f>
        <v>100944.510035419</v>
      </c>
      <c r="AT24" s="80" t="n">
        <f aca="false">SUM(AT17:AT23)</f>
        <v>100944.510035419</v>
      </c>
      <c r="AU24" s="80" t="n">
        <f aca="false">SUM(AU17:AU23)</f>
        <v>100944.510035419</v>
      </c>
      <c r="AV24" s="80" t="n">
        <f aca="false">SUM(AV17:AV23)</f>
        <v>100944.510035419</v>
      </c>
      <c r="AW24" s="80" t="n">
        <f aca="false">SUM(AW17:AW23)</f>
        <v>100944.510035419</v>
      </c>
      <c r="AX24" s="80" t="n">
        <f aca="false">SUM(AX17:AX23)</f>
        <v>100944.510035419</v>
      </c>
      <c r="AY24" s="80" t="n">
        <f aca="false">SUM(AY17:AY23)</f>
        <v>100944.510035419</v>
      </c>
      <c r="AZ24" s="80" t="n">
        <f aca="false">SUM(AZ17:AZ23)</f>
        <v>100944.510035419</v>
      </c>
      <c r="BA24" s="80" t="n">
        <f aca="false">SUM(BA17:BA23)</f>
        <v>100944.510035419</v>
      </c>
      <c r="BB24" s="69" t="n">
        <f aca="false">SUM(BC24:BN24)</f>
        <v>1415576.43231026</v>
      </c>
      <c r="BC24" s="80" t="n">
        <f aca="false">SUM(BC17:BC23)</f>
        <v>117964.702692522</v>
      </c>
      <c r="BD24" s="80" t="n">
        <f aca="false">SUM(BD17:BD23)</f>
        <v>117964.702692522</v>
      </c>
      <c r="BE24" s="80" t="n">
        <f aca="false">SUM(BE17:BE23)</f>
        <v>117964.702692522</v>
      </c>
      <c r="BF24" s="80" t="n">
        <f aca="false">SUM(BF17:BF23)</f>
        <v>117964.702692522</v>
      </c>
      <c r="BG24" s="80" t="n">
        <f aca="false">SUM(BG17:BG23)</f>
        <v>117964.702692522</v>
      </c>
      <c r="BH24" s="80" t="n">
        <f aca="false">SUM(BH17:BH23)</f>
        <v>117964.702692522</v>
      </c>
      <c r="BI24" s="80" t="n">
        <f aca="false">SUM(BI17:BI23)</f>
        <v>117964.702692522</v>
      </c>
      <c r="BJ24" s="80" t="n">
        <f aca="false">SUM(BJ17:BJ23)</f>
        <v>117964.702692522</v>
      </c>
      <c r="BK24" s="80" t="n">
        <f aca="false">SUM(BK17:BK23)</f>
        <v>117964.702692522</v>
      </c>
      <c r="BL24" s="80" t="n">
        <f aca="false">SUM(BL17:BL23)</f>
        <v>117964.702692522</v>
      </c>
      <c r="BM24" s="80" t="n">
        <f aca="false">SUM(BM17:BM23)</f>
        <v>117964.702692522</v>
      </c>
      <c r="BN24" s="80" t="n">
        <f aca="false">SUM(BN17:BN23)</f>
        <v>117964.702692522</v>
      </c>
    </row>
    <row r="26" customFormat="false" ht="15" hidden="false" customHeight="false" outlineLevel="0" collapsed="false">
      <c r="A26" s="9" t="s">
        <v>667</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row>
    <row r="27" customFormat="false" ht="15" hidden="false" customHeight="false" outlineLevel="0" collapsed="false">
      <c r="A27" s="56" t="s">
        <v>632</v>
      </c>
      <c r="B27" s="57" t="s">
        <v>87</v>
      </c>
      <c r="C27" s="58" t="s">
        <v>562</v>
      </c>
      <c r="D27" s="58" t="s">
        <v>563</v>
      </c>
      <c r="E27" s="58" t="s">
        <v>564</v>
      </c>
      <c r="F27" s="58" t="s">
        <v>565</v>
      </c>
      <c r="G27" s="58" t="s">
        <v>566</v>
      </c>
      <c r="H27" s="58" t="s">
        <v>567</v>
      </c>
      <c r="I27" s="58" t="s">
        <v>568</v>
      </c>
      <c r="J27" s="58" t="s">
        <v>569</v>
      </c>
      <c r="K27" s="58" t="s">
        <v>570</v>
      </c>
      <c r="L27" s="58" t="s">
        <v>571</v>
      </c>
      <c r="M27" s="58" t="s">
        <v>572</v>
      </c>
      <c r="N27" s="58" t="s">
        <v>573</v>
      </c>
      <c r="O27" s="57" t="s">
        <v>88</v>
      </c>
      <c r="P27" s="58" t="s">
        <v>574</v>
      </c>
      <c r="Q27" s="58" t="s">
        <v>575</v>
      </c>
      <c r="R27" s="58" t="s">
        <v>576</v>
      </c>
      <c r="S27" s="58" t="s">
        <v>577</v>
      </c>
      <c r="T27" s="58" t="s">
        <v>578</v>
      </c>
      <c r="U27" s="58" t="s">
        <v>579</v>
      </c>
      <c r="V27" s="58" t="s">
        <v>580</v>
      </c>
      <c r="W27" s="58" t="s">
        <v>581</v>
      </c>
      <c r="X27" s="58" t="s">
        <v>582</v>
      </c>
      <c r="Y27" s="58" t="s">
        <v>583</v>
      </c>
      <c r="Z27" s="58" t="s">
        <v>584</v>
      </c>
      <c r="AA27" s="58" t="s">
        <v>585</v>
      </c>
      <c r="AB27" s="57" t="s">
        <v>89</v>
      </c>
      <c r="AC27" s="58" t="s">
        <v>586</v>
      </c>
      <c r="AD27" s="58" t="s">
        <v>587</v>
      </c>
      <c r="AE27" s="58" t="s">
        <v>588</v>
      </c>
      <c r="AF27" s="58" t="s">
        <v>589</v>
      </c>
      <c r="AG27" s="58" t="s">
        <v>590</v>
      </c>
      <c r="AH27" s="58" t="s">
        <v>591</v>
      </c>
      <c r="AI27" s="58" t="s">
        <v>592</v>
      </c>
      <c r="AJ27" s="58" t="s">
        <v>593</v>
      </c>
      <c r="AK27" s="58" t="s">
        <v>594</v>
      </c>
      <c r="AL27" s="58" t="s">
        <v>595</v>
      </c>
      <c r="AM27" s="58" t="s">
        <v>596</v>
      </c>
      <c r="AN27" s="58" t="s">
        <v>597</v>
      </c>
      <c r="AO27" s="57" t="s">
        <v>90</v>
      </c>
      <c r="AP27" s="58" t="s">
        <v>598</v>
      </c>
      <c r="AQ27" s="58" t="s">
        <v>599</v>
      </c>
      <c r="AR27" s="58" t="s">
        <v>600</v>
      </c>
      <c r="AS27" s="58" t="s">
        <v>601</v>
      </c>
      <c r="AT27" s="58" t="s">
        <v>602</v>
      </c>
      <c r="AU27" s="58" t="s">
        <v>603</v>
      </c>
      <c r="AV27" s="58" t="s">
        <v>604</v>
      </c>
      <c r="AW27" s="58" t="s">
        <v>605</v>
      </c>
      <c r="AX27" s="58" t="s">
        <v>606</v>
      </c>
      <c r="AY27" s="58" t="s">
        <v>607</v>
      </c>
      <c r="AZ27" s="58" t="s">
        <v>608</v>
      </c>
      <c r="BA27" s="58" t="s">
        <v>609</v>
      </c>
      <c r="BB27" s="57" t="s">
        <v>91</v>
      </c>
      <c r="BC27" s="58" t="s">
        <v>610</v>
      </c>
      <c r="BD27" s="58" t="s">
        <v>611</v>
      </c>
      <c r="BE27" s="58" t="s">
        <v>612</v>
      </c>
      <c r="BF27" s="58" t="s">
        <v>613</v>
      </c>
      <c r="BG27" s="58" t="s">
        <v>614</v>
      </c>
      <c r="BH27" s="58" t="s">
        <v>615</v>
      </c>
      <c r="BI27" s="58" t="s">
        <v>616</v>
      </c>
      <c r="BJ27" s="58" t="s">
        <v>617</v>
      </c>
      <c r="BK27" s="58" t="s">
        <v>618</v>
      </c>
      <c r="BL27" s="58" t="s">
        <v>619</v>
      </c>
      <c r="BM27" s="58" t="s">
        <v>620</v>
      </c>
      <c r="BN27" s="58" t="s">
        <v>621</v>
      </c>
    </row>
    <row r="28" customFormat="false" ht="15" hidden="false" customHeight="false" outlineLevel="0" collapsed="false">
      <c r="A28" s="4" t="s">
        <v>355</v>
      </c>
      <c r="B28" s="69" t="n">
        <f aca="false">SUM(C28:N28)</f>
        <v>123840</v>
      </c>
      <c r="C28" s="72" t="n">
        <f aca="false">C17*(1+'Assumption Setting'!$I$25+'Assumption Setting'!$J$25)</f>
        <v>10320</v>
      </c>
      <c r="D28" s="72" t="n">
        <f aca="false">D17*(1+'Assumption Setting'!$I$25+'Assumption Setting'!$J$25)</f>
        <v>10320</v>
      </c>
      <c r="E28" s="72" t="n">
        <f aca="false">E17*(1+'Assumption Setting'!$I$25+'Assumption Setting'!$J$25)</f>
        <v>10320</v>
      </c>
      <c r="F28" s="72" t="n">
        <f aca="false">F17*(1+'Assumption Setting'!$I$25+'Assumption Setting'!$J$25)</f>
        <v>10320</v>
      </c>
      <c r="G28" s="72" t="n">
        <f aca="false">G17*(1+'Assumption Setting'!$I$25+'Assumption Setting'!$J$25)</f>
        <v>10320</v>
      </c>
      <c r="H28" s="72" t="n">
        <f aca="false">H17*(1+'Assumption Setting'!$I$25+'Assumption Setting'!$J$25)</f>
        <v>10320</v>
      </c>
      <c r="I28" s="72" t="n">
        <f aca="false">I17*(1+'Assumption Setting'!$I$25+'Assumption Setting'!$J$25)</f>
        <v>10320</v>
      </c>
      <c r="J28" s="72" t="n">
        <f aca="false">J17*(1+'Assumption Setting'!$I$25+'Assumption Setting'!$J$25)</f>
        <v>10320</v>
      </c>
      <c r="K28" s="72" t="n">
        <f aca="false">K17*(1+'Assumption Setting'!$I$25+'Assumption Setting'!$J$25)</f>
        <v>10320</v>
      </c>
      <c r="L28" s="72" t="n">
        <f aca="false">L17*(1+'Assumption Setting'!$I$25+'Assumption Setting'!$J$25)</f>
        <v>10320</v>
      </c>
      <c r="M28" s="72" t="n">
        <f aca="false">M17*(1+'Assumption Setting'!$I$25+'Assumption Setting'!$J$25)</f>
        <v>10320</v>
      </c>
      <c r="N28" s="72" t="n">
        <f aca="false">N17*(1+'Assumption Setting'!$I$25+'Assumption Setting'!$J$25)</f>
        <v>10320</v>
      </c>
      <c r="O28" s="69" t="n">
        <f aca="false">SUM(P28:AA28)</f>
        <v>281454.545454545</v>
      </c>
      <c r="P28" s="72" t="n">
        <f aca="false">P17*(1+'Assumption Setting'!$I$25+'Assumption Setting'!$J$25)</f>
        <v>23454.5454545455</v>
      </c>
      <c r="Q28" s="72" t="n">
        <f aca="false">Q17*(1+'Assumption Setting'!$I$25+'Assumption Setting'!$J$25)</f>
        <v>23454.5454545455</v>
      </c>
      <c r="R28" s="72" t="n">
        <f aca="false">R17*(1+'Assumption Setting'!$I$25+'Assumption Setting'!$J$25)</f>
        <v>23454.5454545455</v>
      </c>
      <c r="S28" s="72" t="n">
        <f aca="false">S17*(1+'Assumption Setting'!$I$25+'Assumption Setting'!$J$25)</f>
        <v>23454.5454545455</v>
      </c>
      <c r="T28" s="72" t="n">
        <f aca="false">T17*(1+'Assumption Setting'!$I$25+'Assumption Setting'!$J$25)</f>
        <v>23454.5454545455</v>
      </c>
      <c r="U28" s="72" t="n">
        <f aca="false">U17*(1+'Assumption Setting'!$I$25+'Assumption Setting'!$J$25)</f>
        <v>23454.5454545455</v>
      </c>
      <c r="V28" s="72" t="n">
        <f aca="false">V17*(1+'Assumption Setting'!$I$25+'Assumption Setting'!$J$25)</f>
        <v>23454.5454545455</v>
      </c>
      <c r="W28" s="72" t="n">
        <f aca="false">W17*(1+'Assumption Setting'!$I$25+'Assumption Setting'!$J$25)</f>
        <v>23454.5454545455</v>
      </c>
      <c r="X28" s="72" t="n">
        <f aca="false">X17*(1+'Assumption Setting'!$I$25+'Assumption Setting'!$J$25)</f>
        <v>23454.5454545455</v>
      </c>
      <c r="Y28" s="72" t="n">
        <f aca="false">Y17*(1+'Assumption Setting'!$I$25+'Assumption Setting'!$J$25)</f>
        <v>23454.5454545455</v>
      </c>
      <c r="Z28" s="72" t="n">
        <f aca="false">Z17*(1+'Assumption Setting'!$I$25+'Assumption Setting'!$J$25)</f>
        <v>23454.5454545455</v>
      </c>
      <c r="AA28" s="72" t="n">
        <f aca="false">AA17*(1+'Assumption Setting'!$I$25+'Assumption Setting'!$J$25)</f>
        <v>23454.5454545455</v>
      </c>
      <c r="AB28" s="69" t="n">
        <f aca="false">SUM(AC28:AN28)</f>
        <v>460561.983471074</v>
      </c>
      <c r="AC28" s="72" t="n">
        <f aca="false">AC17*(1+'Assumption Setting'!$I$25+'Assumption Setting'!$J$25)</f>
        <v>38380.1652892562</v>
      </c>
      <c r="AD28" s="72" t="n">
        <f aca="false">AD17*(1+'Assumption Setting'!$I$25+'Assumption Setting'!$J$25)</f>
        <v>38380.1652892562</v>
      </c>
      <c r="AE28" s="72" t="n">
        <f aca="false">AE17*(1+'Assumption Setting'!$I$25+'Assumption Setting'!$J$25)</f>
        <v>38380.1652892562</v>
      </c>
      <c r="AF28" s="72" t="n">
        <f aca="false">AF17*(1+'Assumption Setting'!$I$25+'Assumption Setting'!$J$25)</f>
        <v>38380.1652892562</v>
      </c>
      <c r="AG28" s="72" t="n">
        <f aca="false">AG17*(1+'Assumption Setting'!$I$25+'Assumption Setting'!$J$25)</f>
        <v>38380.1652892562</v>
      </c>
      <c r="AH28" s="72" t="n">
        <f aca="false">AH17*(1+'Assumption Setting'!$I$25+'Assumption Setting'!$J$25)</f>
        <v>38380.1652892562</v>
      </c>
      <c r="AI28" s="72" t="n">
        <f aca="false">AI17*(1+'Assumption Setting'!$I$25+'Assumption Setting'!$J$25)</f>
        <v>38380.1652892562</v>
      </c>
      <c r="AJ28" s="72" t="n">
        <f aca="false">AJ17*(1+'Assumption Setting'!$I$25+'Assumption Setting'!$J$25)</f>
        <v>38380.1652892562</v>
      </c>
      <c r="AK28" s="72" t="n">
        <f aca="false">AK17*(1+'Assumption Setting'!$I$25+'Assumption Setting'!$J$25)</f>
        <v>38380.1652892562</v>
      </c>
      <c r="AL28" s="72" t="n">
        <f aca="false">AL17*(1+'Assumption Setting'!$I$25+'Assumption Setting'!$J$25)</f>
        <v>38380.1652892562</v>
      </c>
      <c r="AM28" s="72" t="n">
        <f aca="false">AM17*(1+'Assumption Setting'!$I$25+'Assumption Setting'!$J$25)</f>
        <v>38380.1652892562</v>
      </c>
      <c r="AN28" s="72" t="n">
        <f aca="false">AN17*(1+'Assumption Setting'!$I$25+'Assumption Setting'!$J$25)</f>
        <v>38380.1652892562</v>
      </c>
      <c r="AO28" s="69" t="n">
        <f aca="false">SUM(AP28:BA28)</f>
        <v>604778.362133734</v>
      </c>
      <c r="AP28" s="72" t="n">
        <f aca="false">AP17*(1+'Assumption Setting'!$I$25+'Assumption Setting'!$J$25)</f>
        <v>50398.1968444778</v>
      </c>
      <c r="AQ28" s="72" t="n">
        <f aca="false">AQ17*(1+'Assumption Setting'!$I$25+'Assumption Setting'!$J$25)</f>
        <v>50398.1968444778</v>
      </c>
      <c r="AR28" s="72" t="n">
        <f aca="false">AR17*(1+'Assumption Setting'!$I$25+'Assumption Setting'!$J$25)</f>
        <v>50398.1968444778</v>
      </c>
      <c r="AS28" s="72" t="n">
        <f aca="false">AS17*(1+'Assumption Setting'!$I$25+'Assumption Setting'!$J$25)</f>
        <v>50398.1968444778</v>
      </c>
      <c r="AT28" s="72" t="n">
        <f aca="false">AT17*(1+'Assumption Setting'!$I$25+'Assumption Setting'!$J$25)</f>
        <v>50398.1968444778</v>
      </c>
      <c r="AU28" s="72" t="n">
        <f aca="false">AU17*(1+'Assumption Setting'!$I$25+'Assumption Setting'!$J$25)</f>
        <v>50398.1968444778</v>
      </c>
      <c r="AV28" s="72" t="n">
        <f aca="false">AV17*(1+'Assumption Setting'!$I$25+'Assumption Setting'!$J$25)</f>
        <v>50398.1968444778</v>
      </c>
      <c r="AW28" s="72" t="n">
        <f aca="false">AW17*(1+'Assumption Setting'!$I$25+'Assumption Setting'!$J$25)</f>
        <v>50398.1968444778</v>
      </c>
      <c r="AX28" s="72" t="n">
        <f aca="false">AX17*(1+'Assumption Setting'!$I$25+'Assumption Setting'!$J$25)</f>
        <v>50398.1968444778</v>
      </c>
      <c r="AY28" s="72" t="n">
        <f aca="false">AY17*(1+'Assumption Setting'!$I$25+'Assumption Setting'!$J$25)</f>
        <v>50398.1968444778</v>
      </c>
      <c r="AZ28" s="72" t="n">
        <f aca="false">AZ17*(1+'Assumption Setting'!$I$25+'Assumption Setting'!$J$25)</f>
        <v>50398.1968444778</v>
      </c>
      <c r="BA28" s="72" t="n">
        <f aca="false">BA17*(1+'Assumption Setting'!$I$25+'Assumption Setting'!$J$25)</f>
        <v>50398.1968444778</v>
      </c>
      <c r="BB28" s="69" t="n">
        <f aca="false">SUM(BC28:BN28)</f>
        <v>718967.283655488</v>
      </c>
      <c r="BC28" s="72" t="n">
        <f aca="false">BC17*(1+'Assumption Setting'!$I$25+'Assumption Setting'!$J$25)</f>
        <v>59913.940304624</v>
      </c>
      <c r="BD28" s="72" t="n">
        <f aca="false">BD17*(1+'Assumption Setting'!$I$25+'Assumption Setting'!$J$25)</f>
        <v>59913.940304624</v>
      </c>
      <c r="BE28" s="72" t="n">
        <f aca="false">BE17*(1+'Assumption Setting'!$I$25+'Assumption Setting'!$J$25)</f>
        <v>59913.940304624</v>
      </c>
      <c r="BF28" s="72" t="n">
        <f aca="false">BF17*(1+'Assumption Setting'!$I$25+'Assumption Setting'!$J$25)</f>
        <v>59913.940304624</v>
      </c>
      <c r="BG28" s="72" t="n">
        <f aca="false">BG17*(1+'Assumption Setting'!$I$25+'Assumption Setting'!$J$25)</f>
        <v>59913.940304624</v>
      </c>
      <c r="BH28" s="72" t="n">
        <f aca="false">BH17*(1+'Assumption Setting'!$I$25+'Assumption Setting'!$J$25)</f>
        <v>59913.940304624</v>
      </c>
      <c r="BI28" s="72" t="n">
        <f aca="false">BI17*(1+'Assumption Setting'!$I$25+'Assumption Setting'!$J$25)</f>
        <v>59913.940304624</v>
      </c>
      <c r="BJ28" s="72" t="n">
        <f aca="false">BJ17*(1+'Assumption Setting'!$I$25+'Assumption Setting'!$J$25)</f>
        <v>59913.940304624</v>
      </c>
      <c r="BK28" s="72" t="n">
        <f aca="false">BK17*(1+'Assumption Setting'!$I$25+'Assumption Setting'!$J$25)</f>
        <v>59913.940304624</v>
      </c>
      <c r="BL28" s="72" t="n">
        <f aca="false">BL17*(1+'Assumption Setting'!$I$25+'Assumption Setting'!$J$25)</f>
        <v>59913.940304624</v>
      </c>
      <c r="BM28" s="72" t="n">
        <f aca="false">BM17*(1+'Assumption Setting'!$I$25+'Assumption Setting'!$J$25)</f>
        <v>59913.940304624</v>
      </c>
      <c r="BN28" s="72" t="n">
        <f aca="false">BN17*(1+'Assumption Setting'!$I$25+'Assumption Setting'!$J$25)</f>
        <v>59913.940304624</v>
      </c>
    </row>
    <row r="29" customFormat="false" ht="15" hidden="false" customHeight="false" outlineLevel="0" collapsed="false">
      <c r="A29" s="4" t="s">
        <v>356</v>
      </c>
      <c r="B29" s="69" t="n">
        <f aca="false">SUM(C29:N29)</f>
        <v>30818.1818181818</v>
      </c>
      <c r="C29" s="72" t="n">
        <f aca="false">C18*(1+'Assumption Setting'!$I$26+'Assumption Setting'!$J$26)</f>
        <v>2568.18181818182</v>
      </c>
      <c r="D29" s="72" t="n">
        <f aca="false">D18*(1+'Assumption Setting'!$I$26+'Assumption Setting'!$J$26)</f>
        <v>2568.18181818182</v>
      </c>
      <c r="E29" s="72" t="n">
        <f aca="false">E18*(1+'Assumption Setting'!$I$26+'Assumption Setting'!$J$26)</f>
        <v>2568.18181818182</v>
      </c>
      <c r="F29" s="72" t="n">
        <f aca="false">F18*(1+'Assumption Setting'!$I$26+'Assumption Setting'!$J$26)</f>
        <v>2568.18181818182</v>
      </c>
      <c r="G29" s="72" t="n">
        <f aca="false">G18*(1+'Assumption Setting'!$I$26+'Assumption Setting'!$J$26)</f>
        <v>2568.18181818182</v>
      </c>
      <c r="H29" s="72" t="n">
        <f aca="false">H18*(1+'Assumption Setting'!$I$26+'Assumption Setting'!$J$26)</f>
        <v>2568.18181818182</v>
      </c>
      <c r="I29" s="72" t="n">
        <f aca="false">I18*(1+'Assumption Setting'!$I$26+'Assumption Setting'!$J$26)</f>
        <v>2568.18181818182</v>
      </c>
      <c r="J29" s="72" t="n">
        <f aca="false">J18*(1+'Assumption Setting'!$I$26+'Assumption Setting'!$J$26)</f>
        <v>2568.18181818182</v>
      </c>
      <c r="K29" s="72" t="n">
        <f aca="false">K18*(1+'Assumption Setting'!$I$26+'Assumption Setting'!$J$26)</f>
        <v>2568.18181818182</v>
      </c>
      <c r="L29" s="72" t="n">
        <f aca="false">L18*(1+'Assumption Setting'!$I$26+'Assumption Setting'!$J$26)</f>
        <v>2568.18181818182</v>
      </c>
      <c r="M29" s="72" t="n">
        <f aca="false">M18*(1+'Assumption Setting'!$I$26+'Assumption Setting'!$J$26)</f>
        <v>2568.18181818182</v>
      </c>
      <c r="N29" s="72" t="n">
        <f aca="false">N18*(1+'Assumption Setting'!$I$26+'Assumption Setting'!$J$26)</f>
        <v>2568.18181818182</v>
      </c>
      <c r="O29" s="69" t="n">
        <f aca="false">SUM(P29:AA29)</f>
        <v>72842.9752066116</v>
      </c>
      <c r="P29" s="72" t="n">
        <f aca="false">P18*(1+'Assumption Setting'!$I$26+'Assumption Setting'!$J$26)</f>
        <v>6070.2479338843</v>
      </c>
      <c r="Q29" s="72" t="n">
        <f aca="false">Q18*(1+'Assumption Setting'!$I$26+'Assumption Setting'!$J$26)</f>
        <v>6070.2479338843</v>
      </c>
      <c r="R29" s="72" t="n">
        <f aca="false">R18*(1+'Assumption Setting'!$I$26+'Assumption Setting'!$J$26)</f>
        <v>6070.2479338843</v>
      </c>
      <c r="S29" s="72" t="n">
        <f aca="false">S18*(1+'Assumption Setting'!$I$26+'Assumption Setting'!$J$26)</f>
        <v>6070.2479338843</v>
      </c>
      <c r="T29" s="72" t="n">
        <f aca="false">T18*(1+'Assumption Setting'!$I$26+'Assumption Setting'!$J$26)</f>
        <v>6070.2479338843</v>
      </c>
      <c r="U29" s="72" t="n">
        <f aca="false">U18*(1+'Assumption Setting'!$I$26+'Assumption Setting'!$J$26)</f>
        <v>6070.2479338843</v>
      </c>
      <c r="V29" s="72" t="n">
        <f aca="false">V18*(1+'Assumption Setting'!$I$26+'Assumption Setting'!$J$26)</f>
        <v>6070.2479338843</v>
      </c>
      <c r="W29" s="72" t="n">
        <f aca="false">W18*(1+'Assumption Setting'!$I$26+'Assumption Setting'!$J$26)</f>
        <v>6070.2479338843</v>
      </c>
      <c r="X29" s="72" t="n">
        <f aca="false">X18*(1+'Assumption Setting'!$I$26+'Assumption Setting'!$J$26)</f>
        <v>6070.2479338843</v>
      </c>
      <c r="Y29" s="72" t="n">
        <f aca="false">Y18*(1+'Assumption Setting'!$I$26+'Assumption Setting'!$J$26)</f>
        <v>6070.2479338843</v>
      </c>
      <c r="Z29" s="72" t="n">
        <f aca="false">Z18*(1+'Assumption Setting'!$I$26+'Assumption Setting'!$J$26)</f>
        <v>6070.2479338843</v>
      </c>
      <c r="AA29" s="72" t="n">
        <f aca="false">AA18*(1+'Assumption Setting'!$I$26+'Assumption Setting'!$J$26)</f>
        <v>6070.2479338843</v>
      </c>
      <c r="AB29" s="69" t="n">
        <f aca="false">SUM(AC29:AN29)</f>
        <v>117160.030052592</v>
      </c>
      <c r="AC29" s="72" t="n">
        <f aca="false">AC18*(1+'Assumption Setting'!$I$26+'Assumption Setting'!$J$26)</f>
        <v>9763.335837716</v>
      </c>
      <c r="AD29" s="72" t="n">
        <f aca="false">AD18*(1+'Assumption Setting'!$I$26+'Assumption Setting'!$J$26)</f>
        <v>9763.335837716</v>
      </c>
      <c r="AE29" s="72" t="n">
        <f aca="false">AE18*(1+'Assumption Setting'!$I$26+'Assumption Setting'!$J$26)</f>
        <v>9763.335837716</v>
      </c>
      <c r="AF29" s="72" t="n">
        <f aca="false">AF18*(1+'Assumption Setting'!$I$26+'Assumption Setting'!$J$26)</f>
        <v>9763.335837716</v>
      </c>
      <c r="AG29" s="72" t="n">
        <f aca="false">AG18*(1+'Assumption Setting'!$I$26+'Assumption Setting'!$J$26)</f>
        <v>9763.335837716</v>
      </c>
      <c r="AH29" s="72" t="n">
        <f aca="false">AH18*(1+'Assumption Setting'!$I$26+'Assumption Setting'!$J$26)</f>
        <v>9763.335837716</v>
      </c>
      <c r="AI29" s="72" t="n">
        <f aca="false">AI18*(1+'Assumption Setting'!$I$26+'Assumption Setting'!$J$26)</f>
        <v>9763.335837716</v>
      </c>
      <c r="AJ29" s="72" t="n">
        <f aca="false">AJ18*(1+'Assumption Setting'!$I$26+'Assumption Setting'!$J$26)</f>
        <v>9763.335837716</v>
      </c>
      <c r="AK29" s="72" t="n">
        <f aca="false">AK18*(1+'Assumption Setting'!$I$26+'Assumption Setting'!$J$26)</f>
        <v>9763.335837716</v>
      </c>
      <c r="AL29" s="72" t="n">
        <f aca="false">AL18*(1+'Assumption Setting'!$I$26+'Assumption Setting'!$J$26)</f>
        <v>9763.335837716</v>
      </c>
      <c r="AM29" s="72" t="n">
        <f aca="false">AM18*(1+'Assumption Setting'!$I$26+'Assumption Setting'!$J$26)</f>
        <v>9763.335837716</v>
      </c>
      <c r="AN29" s="72" t="n">
        <f aca="false">AN18*(1+'Assumption Setting'!$I$26+'Assumption Setting'!$J$26)</f>
        <v>9763.335837716</v>
      </c>
      <c r="AO29" s="69" t="n">
        <f aca="false">SUM(AP29:BA29)</f>
        <v>152817.430503381</v>
      </c>
      <c r="AP29" s="72" t="n">
        <f aca="false">AP18*(1+'Assumption Setting'!$I$26+'Assumption Setting'!$J$26)</f>
        <v>12734.7858752817</v>
      </c>
      <c r="AQ29" s="72" t="n">
        <f aca="false">AQ18*(1+'Assumption Setting'!$I$26+'Assumption Setting'!$J$26)</f>
        <v>12734.7858752817</v>
      </c>
      <c r="AR29" s="72" t="n">
        <f aca="false">AR18*(1+'Assumption Setting'!$I$26+'Assumption Setting'!$J$26)</f>
        <v>12734.7858752817</v>
      </c>
      <c r="AS29" s="72" t="n">
        <f aca="false">AS18*(1+'Assumption Setting'!$I$26+'Assumption Setting'!$J$26)</f>
        <v>12734.7858752817</v>
      </c>
      <c r="AT29" s="72" t="n">
        <f aca="false">AT18*(1+'Assumption Setting'!$I$26+'Assumption Setting'!$J$26)</f>
        <v>12734.7858752817</v>
      </c>
      <c r="AU29" s="72" t="n">
        <f aca="false">AU18*(1+'Assumption Setting'!$I$26+'Assumption Setting'!$J$26)</f>
        <v>12734.7858752817</v>
      </c>
      <c r="AV29" s="72" t="n">
        <f aca="false">AV18*(1+'Assumption Setting'!$I$26+'Assumption Setting'!$J$26)</f>
        <v>12734.7858752817</v>
      </c>
      <c r="AW29" s="72" t="n">
        <f aca="false">AW18*(1+'Assumption Setting'!$I$26+'Assumption Setting'!$J$26)</f>
        <v>12734.7858752817</v>
      </c>
      <c r="AX29" s="72" t="n">
        <f aca="false">AX18*(1+'Assumption Setting'!$I$26+'Assumption Setting'!$J$26)</f>
        <v>12734.7858752817</v>
      </c>
      <c r="AY29" s="72" t="n">
        <f aca="false">AY18*(1+'Assumption Setting'!$I$26+'Assumption Setting'!$J$26)</f>
        <v>12734.7858752817</v>
      </c>
      <c r="AZ29" s="72" t="n">
        <f aca="false">AZ18*(1+'Assumption Setting'!$I$26+'Assumption Setting'!$J$26)</f>
        <v>12734.7858752817</v>
      </c>
      <c r="BA29" s="72" t="n">
        <f aca="false">BA18*(1+'Assumption Setting'!$I$26+'Assumption Setting'!$J$26)</f>
        <v>12734.7858752817</v>
      </c>
      <c r="BB29" s="69" t="n">
        <f aca="false">SUM(BC29:BN29)</f>
        <v>181023.402524666</v>
      </c>
      <c r="BC29" s="72" t="n">
        <f aca="false">BC18*(1+'Assumption Setting'!$I$26+'Assumption Setting'!$J$26)</f>
        <v>15085.2835437222</v>
      </c>
      <c r="BD29" s="72" t="n">
        <f aca="false">BD18*(1+'Assumption Setting'!$I$26+'Assumption Setting'!$J$26)</f>
        <v>15085.2835437222</v>
      </c>
      <c r="BE29" s="72" t="n">
        <f aca="false">BE18*(1+'Assumption Setting'!$I$26+'Assumption Setting'!$J$26)</f>
        <v>15085.2835437222</v>
      </c>
      <c r="BF29" s="72" t="n">
        <f aca="false">BF18*(1+'Assumption Setting'!$I$26+'Assumption Setting'!$J$26)</f>
        <v>15085.2835437222</v>
      </c>
      <c r="BG29" s="72" t="n">
        <f aca="false">BG18*(1+'Assumption Setting'!$I$26+'Assumption Setting'!$J$26)</f>
        <v>15085.2835437222</v>
      </c>
      <c r="BH29" s="72" t="n">
        <f aca="false">BH18*(1+'Assumption Setting'!$I$26+'Assumption Setting'!$J$26)</f>
        <v>15085.2835437222</v>
      </c>
      <c r="BI29" s="72" t="n">
        <f aca="false">BI18*(1+'Assumption Setting'!$I$26+'Assumption Setting'!$J$26)</f>
        <v>15085.2835437222</v>
      </c>
      <c r="BJ29" s="72" t="n">
        <f aca="false">BJ18*(1+'Assumption Setting'!$I$26+'Assumption Setting'!$J$26)</f>
        <v>15085.2835437222</v>
      </c>
      <c r="BK29" s="72" t="n">
        <f aca="false">BK18*(1+'Assumption Setting'!$I$26+'Assumption Setting'!$J$26)</f>
        <v>15085.2835437222</v>
      </c>
      <c r="BL29" s="72" t="n">
        <f aca="false">BL18*(1+'Assumption Setting'!$I$26+'Assumption Setting'!$J$26)</f>
        <v>15085.2835437222</v>
      </c>
      <c r="BM29" s="72" t="n">
        <f aca="false">BM18*(1+'Assumption Setting'!$I$26+'Assumption Setting'!$J$26)</f>
        <v>15085.2835437222</v>
      </c>
      <c r="BN29" s="72" t="n">
        <f aca="false">BN18*(1+'Assumption Setting'!$I$26+'Assumption Setting'!$J$26)</f>
        <v>15085.2835437222</v>
      </c>
    </row>
    <row r="30" customFormat="false" ht="15" hidden="false" customHeight="false" outlineLevel="0" collapsed="false">
      <c r="A30" s="4" t="s">
        <v>357</v>
      </c>
      <c r="B30" s="69" t="n">
        <f aca="false">SUM(C30:N30)</f>
        <v>83400</v>
      </c>
      <c r="C30" s="72" t="n">
        <f aca="false">C19*(1+'Assumption Setting'!$I$27+'Assumption Setting'!$J$27)</f>
        <v>6950</v>
      </c>
      <c r="D30" s="72" t="n">
        <f aca="false">D19*(1+'Assumption Setting'!$I$27+'Assumption Setting'!$J$27)</f>
        <v>6950</v>
      </c>
      <c r="E30" s="72" t="n">
        <f aca="false">E19*(1+'Assumption Setting'!$I$27+'Assumption Setting'!$J$27)</f>
        <v>6950</v>
      </c>
      <c r="F30" s="72" t="n">
        <f aca="false">F19*(1+'Assumption Setting'!$I$27+'Assumption Setting'!$J$27)</f>
        <v>6950</v>
      </c>
      <c r="G30" s="72" t="n">
        <f aca="false">G19*(1+'Assumption Setting'!$I$27+'Assumption Setting'!$J$27)</f>
        <v>6950</v>
      </c>
      <c r="H30" s="72" t="n">
        <f aca="false">H19*(1+'Assumption Setting'!$I$27+'Assumption Setting'!$J$27)</f>
        <v>6950</v>
      </c>
      <c r="I30" s="72" t="n">
        <f aca="false">I19*(1+'Assumption Setting'!$I$27+'Assumption Setting'!$J$27)</f>
        <v>6950</v>
      </c>
      <c r="J30" s="72" t="n">
        <f aca="false">J19*(1+'Assumption Setting'!$I$27+'Assumption Setting'!$J$27)</f>
        <v>6950</v>
      </c>
      <c r="K30" s="72" t="n">
        <f aca="false">K19*(1+'Assumption Setting'!$I$27+'Assumption Setting'!$J$27)</f>
        <v>6950</v>
      </c>
      <c r="L30" s="72" t="n">
        <f aca="false">L19*(1+'Assumption Setting'!$I$27+'Assumption Setting'!$J$27)</f>
        <v>6950</v>
      </c>
      <c r="M30" s="72" t="n">
        <f aca="false">M19*(1+'Assumption Setting'!$I$27+'Assumption Setting'!$J$27)</f>
        <v>6950</v>
      </c>
      <c r="N30" s="72" t="n">
        <f aca="false">N19*(1+'Assumption Setting'!$I$27+'Assumption Setting'!$J$27)</f>
        <v>6950</v>
      </c>
      <c r="O30" s="69" t="n">
        <f aca="false">SUM(P30:AA30)</f>
        <v>176909.090909091</v>
      </c>
      <c r="P30" s="72" t="n">
        <f aca="false">P19*(1+'Assumption Setting'!$I$27+'Assumption Setting'!$J$27)</f>
        <v>14742.4242424242</v>
      </c>
      <c r="Q30" s="72" t="n">
        <f aca="false">Q19*(1+'Assumption Setting'!$I$27+'Assumption Setting'!$J$27)</f>
        <v>14742.4242424242</v>
      </c>
      <c r="R30" s="72" t="n">
        <f aca="false">R19*(1+'Assumption Setting'!$I$27+'Assumption Setting'!$J$27)</f>
        <v>14742.4242424242</v>
      </c>
      <c r="S30" s="72" t="n">
        <f aca="false">S19*(1+'Assumption Setting'!$I$27+'Assumption Setting'!$J$27)</f>
        <v>14742.4242424242</v>
      </c>
      <c r="T30" s="72" t="n">
        <f aca="false">T19*(1+'Assumption Setting'!$I$27+'Assumption Setting'!$J$27)</f>
        <v>14742.4242424242</v>
      </c>
      <c r="U30" s="72" t="n">
        <f aca="false">U19*(1+'Assumption Setting'!$I$27+'Assumption Setting'!$J$27)</f>
        <v>14742.4242424242</v>
      </c>
      <c r="V30" s="72" t="n">
        <f aca="false">V19*(1+'Assumption Setting'!$I$27+'Assumption Setting'!$J$27)</f>
        <v>14742.4242424242</v>
      </c>
      <c r="W30" s="72" t="n">
        <f aca="false">W19*(1+'Assumption Setting'!$I$27+'Assumption Setting'!$J$27)</f>
        <v>14742.4242424242</v>
      </c>
      <c r="X30" s="72" t="n">
        <f aca="false">X19*(1+'Assumption Setting'!$I$27+'Assumption Setting'!$J$27)</f>
        <v>14742.4242424242</v>
      </c>
      <c r="Y30" s="72" t="n">
        <f aca="false">Y19*(1+'Assumption Setting'!$I$27+'Assumption Setting'!$J$27)</f>
        <v>14742.4242424242</v>
      </c>
      <c r="Z30" s="72" t="n">
        <f aca="false">Z19*(1+'Assumption Setting'!$I$27+'Assumption Setting'!$J$27)</f>
        <v>14742.4242424242</v>
      </c>
      <c r="AA30" s="72" t="n">
        <f aca="false">AA19*(1+'Assumption Setting'!$I$27+'Assumption Setting'!$J$27)</f>
        <v>14742.4242424242</v>
      </c>
      <c r="AB30" s="69" t="n">
        <f aca="false">SUM(AC30:AN30)</f>
        <v>298677.685950413</v>
      </c>
      <c r="AC30" s="72" t="n">
        <f aca="false">AC19*(1+'Assumption Setting'!$I$27+'Assumption Setting'!$J$27)</f>
        <v>24889.8071625344</v>
      </c>
      <c r="AD30" s="72" t="n">
        <f aca="false">AD19*(1+'Assumption Setting'!$I$27+'Assumption Setting'!$J$27)</f>
        <v>24889.8071625344</v>
      </c>
      <c r="AE30" s="72" t="n">
        <f aca="false">AE19*(1+'Assumption Setting'!$I$27+'Assumption Setting'!$J$27)</f>
        <v>24889.8071625344</v>
      </c>
      <c r="AF30" s="72" t="n">
        <f aca="false">AF19*(1+'Assumption Setting'!$I$27+'Assumption Setting'!$J$27)</f>
        <v>24889.8071625344</v>
      </c>
      <c r="AG30" s="72" t="n">
        <f aca="false">AG19*(1+'Assumption Setting'!$I$27+'Assumption Setting'!$J$27)</f>
        <v>24889.8071625344</v>
      </c>
      <c r="AH30" s="72" t="n">
        <f aca="false">AH19*(1+'Assumption Setting'!$I$27+'Assumption Setting'!$J$27)</f>
        <v>24889.8071625344</v>
      </c>
      <c r="AI30" s="72" t="n">
        <f aca="false">AI19*(1+'Assumption Setting'!$I$27+'Assumption Setting'!$J$27)</f>
        <v>24889.8071625344</v>
      </c>
      <c r="AJ30" s="72" t="n">
        <f aca="false">AJ19*(1+'Assumption Setting'!$I$27+'Assumption Setting'!$J$27)</f>
        <v>24889.8071625344</v>
      </c>
      <c r="AK30" s="72" t="n">
        <f aca="false">AK19*(1+'Assumption Setting'!$I$27+'Assumption Setting'!$J$27)</f>
        <v>24889.8071625344</v>
      </c>
      <c r="AL30" s="72" t="n">
        <f aca="false">AL19*(1+'Assumption Setting'!$I$27+'Assumption Setting'!$J$27)</f>
        <v>24889.8071625344</v>
      </c>
      <c r="AM30" s="72" t="n">
        <f aca="false">AM19*(1+'Assumption Setting'!$I$27+'Assumption Setting'!$J$27)</f>
        <v>24889.8071625344</v>
      </c>
      <c r="AN30" s="72" t="n">
        <f aca="false">AN19*(1+'Assumption Setting'!$I$27+'Assumption Setting'!$J$27)</f>
        <v>24889.8071625344</v>
      </c>
      <c r="AO30" s="69" t="n">
        <f aca="false">SUM(AP30:BA30)</f>
        <v>396844.477836213</v>
      </c>
      <c r="AP30" s="72" t="n">
        <f aca="false">AP19*(1+'Assumption Setting'!$I$27+'Assumption Setting'!$J$27)</f>
        <v>33070.3731530178</v>
      </c>
      <c r="AQ30" s="72" t="n">
        <f aca="false">AQ19*(1+'Assumption Setting'!$I$27+'Assumption Setting'!$J$27)</f>
        <v>33070.3731530178</v>
      </c>
      <c r="AR30" s="72" t="n">
        <f aca="false">AR19*(1+'Assumption Setting'!$I$27+'Assumption Setting'!$J$27)</f>
        <v>33070.3731530178</v>
      </c>
      <c r="AS30" s="72" t="n">
        <f aca="false">AS19*(1+'Assumption Setting'!$I$27+'Assumption Setting'!$J$27)</f>
        <v>33070.3731530178</v>
      </c>
      <c r="AT30" s="72" t="n">
        <f aca="false">AT19*(1+'Assumption Setting'!$I$27+'Assumption Setting'!$J$27)</f>
        <v>33070.3731530178</v>
      </c>
      <c r="AU30" s="72" t="n">
        <f aca="false">AU19*(1+'Assumption Setting'!$I$27+'Assumption Setting'!$J$27)</f>
        <v>33070.3731530178</v>
      </c>
      <c r="AV30" s="72" t="n">
        <f aca="false">AV19*(1+'Assumption Setting'!$I$27+'Assumption Setting'!$J$27)</f>
        <v>33070.3731530178</v>
      </c>
      <c r="AW30" s="72" t="n">
        <f aca="false">AW19*(1+'Assumption Setting'!$I$27+'Assumption Setting'!$J$27)</f>
        <v>33070.3731530178</v>
      </c>
      <c r="AX30" s="72" t="n">
        <f aca="false">AX19*(1+'Assumption Setting'!$I$27+'Assumption Setting'!$J$27)</f>
        <v>33070.3731530178</v>
      </c>
      <c r="AY30" s="72" t="n">
        <f aca="false">AY19*(1+'Assumption Setting'!$I$27+'Assumption Setting'!$J$27)</f>
        <v>33070.3731530178</v>
      </c>
      <c r="AZ30" s="72" t="n">
        <f aca="false">AZ19*(1+'Assumption Setting'!$I$27+'Assumption Setting'!$J$27)</f>
        <v>33070.3731530178</v>
      </c>
      <c r="BA30" s="72" t="n">
        <f aca="false">BA19*(1+'Assumption Setting'!$I$27+'Assumption Setting'!$J$27)</f>
        <v>33070.3731530178</v>
      </c>
      <c r="BB30" s="69" t="n">
        <f aca="false">SUM(BC30:BN30)</f>
        <v>455706.577419575</v>
      </c>
      <c r="BC30" s="72" t="n">
        <f aca="false">BC19*(1+'Assumption Setting'!$I$27+'Assumption Setting'!$J$27)</f>
        <v>37975.5481182979</v>
      </c>
      <c r="BD30" s="72" t="n">
        <f aca="false">BD19*(1+'Assumption Setting'!$I$27+'Assumption Setting'!$J$27)</f>
        <v>37975.5481182979</v>
      </c>
      <c r="BE30" s="72" t="n">
        <f aca="false">BE19*(1+'Assumption Setting'!$I$27+'Assumption Setting'!$J$27)</f>
        <v>37975.5481182979</v>
      </c>
      <c r="BF30" s="72" t="n">
        <f aca="false">BF19*(1+'Assumption Setting'!$I$27+'Assumption Setting'!$J$27)</f>
        <v>37975.5481182979</v>
      </c>
      <c r="BG30" s="72" t="n">
        <f aca="false">BG19*(1+'Assumption Setting'!$I$27+'Assumption Setting'!$J$27)</f>
        <v>37975.5481182979</v>
      </c>
      <c r="BH30" s="72" t="n">
        <f aca="false">BH19*(1+'Assumption Setting'!$I$27+'Assumption Setting'!$J$27)</f>
        <v>37975.5481182979</v>
      </c>
      <c r="BI30" s="72" t="n">
        <f aca="false">BI19*(1+'Assumption Setting'!$I$27+'Assumption Setting'!$J$27)</f>
        <v>37975.5481182979</v>
      </c>
      <c r="BJ30" s="72" t="n">
        <f aca="false">BJ19*(1+'Assumption Setting'!$I$27+'Assumption Setting'!$J$27)</f>
        <v>37975.5481182979</v>
      </c>
      <c r="BK30" s="72" t="n">
        <f aca="false">BK19*(1+'Assumption Setting'!$I$27+'Assumption Setting'!$J$27)</f>
        <v>37975.5481182979</v>
      </c>
      <c r="BL30" s="72" t="n">
        <f aca="false">BL19*(1+'Assumption Setting'!$I$27+'Assumption Setting'!$J$27)</f>
        <v>37975.5481182979</v>
      </c>
      <c r="BM30" s="72" t="n">
        <f aca="false">BM19*(1+'Assumption Setting'!$I$27+'Assumption Setting'!$J$27)</f>
        <v>37975.5481182979</v>
      </c>
      <c r="BN30" s="72" t="n">
        <f aca="false">BN19*(1+'Assumption Setting'!$I$27+'Assumption Setting'!$J$27)</f>
        <v>37975.5481182979</v>
      </c>
    </row>
    <row r="31" customFormat="false" ht="15" hidden="false" customHeight="false" outlineLevel="0" collapsed="false">
      <c r="A31" s="4" t="s">
        <v>358</v>
      </c>
      <c r="B31" s="69" t="n">
        <f aca="false">SUM(C31:N31)</f>
        <v>18171.4285714286</v>
      </c>
      <c r="C31" s="72" t="n">
        <f aca="false">C20*(1+'Assumption Setting'!$I$28+'Assumption Setting'!$J$28)</f>
        <v>1514.28571428571</v>
      </c>
      <c r="D31" s="72" t="n">
        <f aca="false">D20*(1+'Assumption Setting'!$I$28+'Assumption Setting'!$J$28)</f>
        <v>1514.28571428571</v>
      </c>
      <c r="E31" s="72" t="n">
        <f aca="false">E20*(1+'Assumption Setting'!$I$28+'Assumption Setting'!$J$28)</f>
        <v>1514.28571428571</v>
      </c>
      <c r="F31" s="72" t="n">
        <f aca="false">F20*(1+'Assumption Setting'!$I$28+'Assumption Setting'!$J$28)</f>
        <v>1514.28571428571</v>
      </c>
      <c r="G31" s="72" t="n">
        <f aca="false">G20*(1+'Assumption Setting'!$I$28+'Assumption Setting'!$J$28)</f>
        <v>1514.28571428571</v>
      </c>
      <c r="H31" s="72" t="n">
        <f aca="false">H20*(1+'Assumption Setting'!$I$28+'Assumption Setting'!$J$28)</f>
        <v>1514.28571428571</v>
      </c>
      <c r="I31" s="72" t="n">
        <f aca="false">I20*(1+'Assumption Setting'!$I$28+'Assumption Setting'!$J$28)</f>
        <v>1514.28571428571</v>
      </c>
      <c r="J31" s="72" t="n">
        <f aca="false">J20*(1+'Assumption Setting'!$I$28+'Assumption Setting'!$J$28)</f>
        <v>1514.28571428571</v>
      </c>
      <c r="K31" s="72" t="n">
        <f aca="false">K20*(1+'Assumption Setting'!$I$28+'Assumption Setting'!$J$28)</f>
        <v>1514.28571428571</v>
      </c>
      <c r="L31" s="72" t="n">
        <f aca="false">L20*(1+'Assumption Setting'!$I$28+'Assumption Setting'!$J$28)</f>
        <v>1514.28571428571</v>
      </c>
      <c r="M31" s="72" t="n">
        <f aca="false">M20*(1+'Assumption Setting'!$I$28+'Assumption Setting'!$J$28)</f>
        <v>1514.28571428571</v>
      </c>
      <c r="N31" s="72" t="n">
        <f aca="false">N20*(1+'Assumption Setting'!$I$28+'Assumption Setting'!$J$28)</f>
        <v>1514.28571428571</v>
      </c>
      <c r="O31" s="69" t="n">
        <f aca="false">SUM(P31:AA31)</f>
        <v>37168.8311688312</v>
      </c>
      <c r="P31" s="72" t="n">
        <f aca="false">P20*(1+'Assumption Setting'!$I$28+'Assumption Setting'!$J$28)</f>
        <v>3097.4025974026</v>
      </c>
      <c r="Q31" s="72" t="n">
        <f aca="false">Q20*(1+'Assumption Setting'!$I$28+'Assumption Setting'!$J$28)</f>
        <v>3097.4025974026</v>
      </c>
      <c r="R31" s="72" t="n">
        <f aca="false">R20*(1+'Assumption Setting'!$I$28+'Assumption Setting'!$J$28)</f>
        <v>3097.4025974026</v>
      </c>
      <c r="S31" s="72" t="n">
        <f aca="false">S20*(1+'Assumption Setting'!$I$28+'Assumption Setting'!$J$28)</f>
        <v>3097.4025974026</v>
      </c>
      <c r="T31" s="72" t="n">
        <f aca="false">T20*(1+'Assumption Setting'!$I$28+'Assumption Setting'!$J$28)</f>
        <v>3097.4025974026</v>
      </c>
      <c r="U31" s="72" t="n">
        <f aca="false">U20*(1+'Assumption Setting'!$I$28+'Assumption Setting'!$J$28)</f>
        <v>3097.4025974026</v>
      </c>
      <c r="V31" s="72" t="n">
        <f aca="false">V20*(1+'Assumption Setting'!$I$28+'Assumption Setting'!$J$28)</f>
        <v>3097.4025974026</v>
      </c>
      <c r="W31" s="72" t="n">
        <f aca="false">W20*(1+'Assumption Setting'!$I$28+'Assumption Setting'!$J$28)</f>
        <v>3097.4025974026</v>
      </c>
      <c r="X31" s="72" t="n">
        <f aca="false">X20*(1+'Assumption Setting'!$I$28+'Assumption Setting'!$J$28)</f>
        <v>3097.4025974026</v>
      </c>
      <c r="Y31" s="72" t="n">
        <f aca="false">Y20*(1+'Assumption Setting'!$I$28+'Assumption Setting'!$J$28)</f>
        <v>3097.4025974026</v>
      </c>
      <c r="Z31" s="72" t="n">
        <f aca="false">Z20*(1+'Assumption Setting'!$I$28+'Assumption Setting'!$J$28)</f>
        <v>3097.4025974026</v>
      </c>
      <c r="AA31" s="72" t="n">
        <f aca="false">AA20*(1+'Assumption Setting'!$I$28+'Assumption Setting'!$J$28)</f>
        <v>3097.4025974026</v>
      </c>
      <c r="AB31" s="69" t="n">
        <f aca="false">SUM(AC31:AN31)</f>
        <v>60070.8382526564</v>
      </c>
      <c r="AC31" s="72" t="n">
        <f aca="false">AC20*(1+'Assumption Setting'!$I$28+'Assumption Setting'!$J$28)</f>
        <v>5005.90318772137</v>
      </c>
      <c r="AD31" s="72" t="n">
        <f aca="false">AD20*(1+'Assumption Setting'!$I$28+'Assumption Setting'!$J$28)</f>
        <v>5005.90318772137</v>
      </c>
      <c r="AE31" s="72" t="n">
        <f aca="false">AE20*(1+'Assumption Setting'!$I$28+'Assumption Setting'!$J$28)</f>
        <v>5005.90318772137</v>
      </c>
      <c r="AF31" s="72" t="n">
        <f aca="false">AF20*(1+'Assumption Setting'!$I$28+'Assumption Setting'!$J$28)</f>
        <v>5005.90318772137</v>
      </c>
      <c r="AG31" s="72" t="n">
        <f aca="false">AG20*(1+'Assumption Setting'!$I$28+'Assumption Setting'!$J$28)</f>
        <v>5005.90318772137</v>
      </c>
      <c r="AH31" s="72" t="n">
        <f aca="false">AH20*(1+'Assumption Setting'!$I$28+'Assumption Setting'!$J$28)</f>
        <v>5005.90318772137</v>
      </c>
      <c r="AI31" s="72" t="n">
        <f aca="false">AI20*(1+'Assumption Setting'!$I$28+'Assumption Setting'!$J$28)</f>
        <v>5005.90318772137</v>
      </c>
      <c r="AJ31" s="72" t="n">
        <f aca="false">AJ20*(1+'Assumption Setting'!$I$28+'Assumption Setting'!$J$28)</f>
        <v>5005.90318772137</v>
      </c>
      <c r="AK31" s="72" t="n">
        <f aca="false">AK20*(1+'Assumption Setting'!$I$28+'Assumption Setting'!$J$28)</f>
        <v>5005.90318772137</v>
      </c>
      <c r="AL31" s="72" t="n">
        <f aca="false">AL20*(1+'Assumption Setting'!$I$28+'Assumption Setting'!$J$28)</f>
        <v>5005.90318772137</v>
      </c>
      <c r="AM31" s="72" t="n">
        <f aca="false">AM20*(1+'Assumption Setting'!$I$28+'Assumption Setting'!$J$28)</f>
        <v>5005.90318772137</v>
      </c>
      <c r="AN31" s="72" t="n">
        <f aca="false">AN20*(1+'Assumption Setting'!$I$28+'Assumption Setting'!$J$28)</f>
        <v>5005.90318772137</v>
      </c>
      <c r="AO31" s="69" t="n">
        <f aca="false">SUM(AP31:BA31)</f>
        <v>75088.5478158205</v>
      </c>
      <c r="AP31" s="72" t="n">
        <f aca="false">AP20*(1+'Assumption Setting'!$I$28+'Assumption Setting'!$J$28)</f>
        <v>6257.37898465171</v>
      </c>
      <c r="AQ31" s="72" t="n">
        <f aca="false">AQ20*(1+'Assumption Setting'!$I$28+'Assumption Setting'!$J$28)</f>
        <v>6257.37898465171</v>
      </c>
      <c r="AR31" s="72" t="n">
        <f aca="false">AR20*(1+'Assumption Setting'!$I$28+'Assumption Setting'!$J$28)</f>
        <v>6257.37898465171</v>
      </c>
      <c r="AS31" s="72" t="n">
        <f aca="false">AS20*(1+'Assumption Setting'!$I$28+'Assumption Setting'!$J$28)</f>
        <v>6257.37898465171</v>
      </c>
      <c r="AT31" s="72" t="n">
        <f aca="false">AT20*(1+'Assumption Setting'!$I$28+'Assumption Setting'!$J$28)</f>
        <v>6257.37898465171</v>
      </c>
      <c r="AU31" s="72" t="n">
        <f aca="false">AU20*(1+'Assumption Setting'!$I$28+'Assumption Setting'!$J$28)</f>
        <v>6257.37898465171</v>
      </c>
      <c r="AV31" s="72" t="n">
        <f aca="false">AV20*(1+'Assumption Setting'!$I$28+'Assumption Setting'!$J$28)</f>
        <v>6257.37898465171</v>
      </c>
      <c r="AW31" s="72" t="n">
        <f aca="false">AW20*(1+'Assumption Setting'!$I$28+'Assumption Setting'!$J$28)</f>
        <v>6257.37898465171</v>
      </c>
      <c r="AX31" s="72" t="n">
        <f aca="false">AX20*(1+'Assumption Setting'!$I$28+'Assumption Setting'!$J$28)</f>
        <v>6257.37898465171</v>
      </c>
      <c r="AY31" s="72" t="n">
        <f aca="false">AY20*(1+'Assumption Setting'!$I$28+'Assumption Setting'!$J$28)</f>
        <v>6257.37898465171</v>
      </c>
      <c r="AZ31" s="72" t="n">
        <f aca="false">AZ20*(1+'Assumption Setting'!$I$28+'Assumption Setting'!$J$28)</f>
        <v>6257.37898465171</v>
      </c>
      <c r="BA31" s="72" t="n">
        <f aca="false">BA20*(1+'Assumption Setting'!$I$28+'Assumption Setting'!$J$28)</f>
        <v>6257.37898465171</v>
      </c>
      <c r="BB31" s="69" t="n">
        <f aca="false">SUM(BC31:BN31)</f>
        <v>86879.311522437</v>
      </c>
      <c r="BC31" s="72" t="n">
        <f aca="false">BC20*(1+'Assumption Setting'!$I$28+'Assumption Setting'!$J$28)</f>
        <v>7239.94262686975</v>
      </c>
      <c r="BD31" s="72" t="n">
        <f aca="false">BD20*(1+'Assumption Setting'!$I$28+'Assumption Setting'!$J$28)</f>
        <v>7239.94262686975</v>
      </c>
      <c r="BE31" s="72" t="n">
        <f aca="false">BE20*(1+'Assumption Setting'!$I$28+'Assumption Setting'!$J$28)</f>
        <v>7239.94262686975</v>
      </c>
      <c r="BF31" s="72" t="n">
        <f aca="false">BF20*(1+'Assumption Setting'!$I$28+'Assumption Setting'!$J$28)</f>
        <v>7239.94262686975</v>
      </c>
      <c r="BG31" s="72" t="n">
        <f aca="false">BG20*(1+'Assumption Setting'!$I$28+'Assumption Setting'!$J$28)</f>
        <v>7239.94262686975</v>
      </c>
      <c r="BH31" s="72" t="n">
        <f aca="false">BH20*(1+'Assumption Setting'!$I$28+'Assumption Setting'!$J$28)</f>
        <v>7239.94262686975</v>
      </c>
      <c r="BI31" s="72" t="n">
        <f aca="false">BI20*(1+'Assumption Setting'!$I$28+'Assumption Setting'!$J$28)</f>
        <v>7239.94262686975</v>
      </c>
      <c r="BJ31" s="72" t="n">
        <f aca="false">BJ20*(1+'Assumption Setting'!$I$28+'Assumption Setting'!$J$28)</f>
        <v>7239.94262686975</v>
      </c>
      <c r="BK31" s="72" t="n">
        <f aca="false">BK20*(1+'Assumption Setting'!$I$28+'Assumption Setting'!$J$28)</f>
        <v>7239.94262686975</v>
      </c>
      <c r="BL31" s="72" t="n">
        <f aca="false">BL20*(1+'Assumption Setting'!$I$28+'Assumption Setting'!$J$28)</f>
        <v>7239.94262686975</v>
      </c>
      <c r="BM31" s="72" t="n">
        <f aca="false">BM20*(1+'Assumption Setting'!$I$28+'Assumption Setting'!$J$28)</f>
        <v>7239.94262686975</v>
      </c>
      <c r="BN31" s="72" t="n">
        <f aca="false">BN20*(1+'Assumption Setting'!$I$28+'Assumption Setting'!$J$28)</f>
        <v>7239.94262686975</v>
      </c>
    </row>
    <row r="32" customFormat="false" ht="15" hidden="false" customHeight="false" outlineLevel="0" collapsed="false">
      <c r="A32" s="4" t="s">
        <v>359</v>
      </c>
      <c r="B32" s="69" t="n">
        <f aca="false">SUM(C32:N32)</f>
        <v>44982</v>
      </c>
      <c r="C32" s="72" t="n">
        <f aca="false">C21*(1+'Assumption Setting'!$I$29+'Assumption Setting'!$J$29)</f>
        <v>3748.5</v>
      </c>
      <c r="D32" s="72" t="n">
        <f aca="false">D21*(1+'Assumption Setting'!$I$29+'Assumption Setting'!$J$29)</f>
        <v>3748.5</v>
      </c>
      <c r="E32" s="72" t="n">
        <f aca="false">E21*(1+'Assumption Setting'!$I$29+'Assumption Setting'!$J$29)</f>
        <v>3748.5</v>
      </c>
      <c r="F32" s="72" t="n">
        <f aca="false">F21*(1+'Assumption Setting'!$I$29+'Assumption Setting'!$J$29)</f>
        <v>3748.5</v>
      </c>
      <c r="G32" s="72" t="n">
        <f aca="false">G21*(1+'Assumption Setting'!$I$29+'Assumption Setting'!$J$29)</f>
        <v>3748.5</v>
      </c>
      <c r="H32" s="72" t="n">
        <f aca="false">H21*(1+'Assumption Setting'!$I$29+'Assumption Setting'!$J$29)</f>
        <v>3748.5</v>
      </c>
      <c r="I32" s="72" t="n">
        <f aca="false">I21*(1+'Assumption Setting'!$I$29+'Assumption Setting'!$J$29)</f>
        <v>3748.5</v>
      </c>
      <c r="J32" s="72" t="n">
        <f aca="false">J21*(1+'Assumption Setting'!$I$29+'Assumption Setting'!$J$29)</f>
        <v>3748.5</v>
      </c>
      <c r="K32" s="72" t="n">
        <f aca="false">K21*(1+'Assumption Setting'!$I$29+'Assumption Setting'!$J$29)</f>
        <v>3748.5</v>
      </c>
      <c r="L32" s="72" t="n">
        <f aca="false">L21*(1+'Assumption Setting'!$I$29+'Assumption Setting'!$J$29)</f>
        <v>3748.5</v>
      </c>
      <c r="M32" s="72" t="n">
        <f aca="false">M21*(1+'Assumption Setting'!$I$29+'Assumption Setting'!$J$29)</f>
        <v>3748.5</v>
      </c>
      <c r="N32" s="72" t="n">
        <f aca="false">N21*(1+'Assumption Setting'!$I$29+'Assumption Setting'!$J$29)</f>
        <v>3748.5</v>
      </c>
      <c r="O32" s="69" t="n">
        <f aca="false">SUM(P32:AA32)</f>
        <v>73636.3636363636</v>
      </c>
      <c r="P32" s="72" t="n">
        <f aca="false">P21*(1+'Assumption Setting'!$I$29+'Assumption Setting'!$J$29)</f>
        <v>6136.36363636364</v>
      </c>
      <c r="Q32" s="72" t="n">
        <f aca="false">Q21*(1+'Assumption Setting'!$I$29+'Assumption Setting'!$J$29)</f>
        <v>6136.36363636364</v>
      </c>
      <c r="R32" s="72" t="n">
        <f aca="false">R21*(1+'Assumption Setting'!$I$29+'Assumption Setting'!$J$29)</f>
        <v>6136.36363636364</v>
      </c>
      <c r="S32" s="72" t="n">
        <f aca="false">S21*(1+'Assumption Setting'!$I$29+'Assumption Setting'!$J$29)</f>
        <v>6136.36363636364</v>
      </c>
      <c r="T32" s="72" t="n">
        <f aca="false">T21*(1+'Assumption Setting'!$I$29+'Assumption Setting'!$J$29)</f>
        <v>6136.36363636364</v>
      </c>
      <c r="U32" s="72" t="n">
        <f aca="false">U21*(1+'Assumption Setting'!$I$29+'Assumption Setting'!$J$29)</f>
        <v>6136.36363636364</v>
      </c>
      <c r="V32" s="72" t="n">
        <f aca="false">V21*(1+'Assumption Setting'!$I$29+'Assumption Setting'!$J$29)</f>
        <v>6136.36363636364</v>
      </c>
      <c r="W32" s="72" t="n">
        <f aca="false">W21*(1+'Assumption Setting'!$I$29+'Assumption Setting'!$J$29)</f>
        <v>6136.36363636364</v>
      </c>
      <c r="X32" s="72" t="n">
        <f aca="false">X21*(1+'Assumption Setting'!$I$29+'Assumption Setting'!$J$29)</f>
        <v>6136.36363636364</v>
      </c>
      <c r="Y32" s="72" t="n">
        <f aca="false">Y21*(1+'Assumption Setting'!$I$29+'Assumption Setting'!$J$29)</f>
        <v>6136.36363636364</v>
      </c>
      <c r="Z32" s="72" t="n">
        <f aca="false">Z21*(1+'Assumption Setting'!$I$29+'Assumption Setting'!$J$29)</f>
        <v>6136.36363636364</v>
      </c>
      <c r="AA32" s="72" t="n">
        <f aca="false">AA21*(1+'Assumption Setting'!$I$29+'Assumption Setting'!$J$29)</f>
        <v>6136.36363636364</v>
      </c>
      <c r="AB32" s="69" t="n">
        <f aca="false">SUM(AC32:AN32)</f>
        <v>107107.438016529</v>
      </c>
      <c r="AC32" s="72" t="n">
        <f aca="false">AC21*(1+'Assumption Setting'!$I$29+'Assumption Setting'!$J$29)</f>
        <v>8925.61983471074</v>
      </c>
      <c r="AD32" s="72" t="n">
        <f aca="false">AD21*(1+'Assumption Setting'!$I$29+'Assumption Setting'!$J$29)</f>
        <v>8925.61983471074</v>
      </c>
      <c r="AE32" s="72" t="n">
        <f aca="false">AE21*(1+'Assumption Setting'!$I$29+'Assumption Setting'!$J$29)</f>
        <v>8925.61983471074</v>
      </c>
      <c r="AF32" s="72" t="n">
        <f aca="false">AF21*(1+'Assumption Setting'!$I$29+'Assumption Setting'!$J$29)</f>
        <v>8925.61983471074</v>
      </c>
      <c r="AG32" s="72" t="n">
        <f aca="false">AG21*(1+'Assumption Setting'!$I$29+'Assumption Setting'!$J$29)</f>
        <v>8925.61983471074</v>
      </c>
      <c r="AH32" s="72" t="n">
        <f aca="false">AH21*(1+'Assumption Setting'!$I$29+'Assumption Setting'!$J$29)</f>
        <v>8925.61983471074</v>
      </c>
      <c r="AI32" s="72" t="n">
        <f aca="false">AI21*(1+'Assumption Setting'!$I$29+'Assumption Setting'!$J$29)</f>
        <v>8925.61983471074</v>
      </c>
      <c r="AJ32" s="72" t="n">
        <f aca="false">AJ21*(1+'Assumption Setting'!$I$29+'Assumption Setting'!$J$29)</f>
        <v>8925.61983471074</v>
      </c>
      <c r="AK32" s="72" t="n">
        <f aca="false">AK21*(1+'Assumption Setting'!$I$29+'Assumption Setting'!$J$29)</f>
        <v>8925.61983471074</v>
      </c>
      <c r="AL32" s="72" t="n">
        <f aca="false">AL21*(1+'Assumption Setting'!$I$29+'Assumption Setting'!$J$29)</f>
        <v>8925.61983471074</v>
      </c>
      <c r="AM32" s="72" t="n">
        <f aca="false">AM21*(1+'Assumption Setting'!$I$29+'Assumption Setting'!$J$29)</f>
        <v>8925.61983471074</v>
      </c>
      <c r="AN32" s="72" t="n">
        <f aca="false">AN21*(1+'Assumption Setting'!$I$29+'Assumption Setting'!$J$29)</f>
        <v>8925.61983471074</v>
      </c>
      <c r="AO32" s="69" t="n">
        <f aca="false">SUM(AP32:BA32)</f>
        <v>129827.197595793</v>
      </c>
      <c r="AP32" s="72" t="n">
        <f aca="false">AP21*(1+'Assumption Setting'!$I$29+'Assumption Setting'!$J$29)</f>
        <v>10818.9331329827</v>
      </c>
      <c r="AQ32" s="72" t="n">
        <f aca="false">AQ21*(1+'Assumption Setting'!$I$29+'Assumption Setting'!$J$29)</f>
        <v>10818.9331329827</v>
      </c>
      <c r="AR32" s="72" t="n">
        <f aca="false">AR21*(1+'Assumption Setting'!$I$29+'Assumption Setting'!$J$29)</f>
        <v>10818.9331329827</v>
      </c>
      <c r="AS32" s="72" t="n">
        <f aca="false">AS21*(1+'Assumption Setting'!$I$29+'Assumption Setting'!$J$29)</f>
        <v>10818.9331329827</v>
      </c>
      <c r="AT32" s="72" t="n">
        <f aca="false">AT21*(1+'Assumption Setting'!$I$29+'Assumption Setting'!$J$29)</f>
        <v>10818.9331329827</v>
      </c>
      <c r="AU32" s="72" t="n">
        <f aca="false">AU21*(1+'Assumption Setting'!$I$29+'Assumption Setting'!$J$29)</f>
        <v>10818.9331329827</v>
      </c>
      <c r="AV32" s="72" t="n">
        <f aca="false">AV21*(1+'Assumption Setting'!$I$29+'Assumption Setting'!$J$29)</f>
        <v>10818.9331329827</v>
      </c>
      <c r="AW32" s="72" t="n">
        <f aca="false">AW21*(1+'Assumption Setting'!$I$29+'Assumption Setting'!$J$29)</f>
        <v>10818.9331329827</v>
      </c>
      <c r="AX32" s="72" t="n">
        <f aca="false">AX21*(1+'Assumption Setting'!$I$29+'Assumption Setting'!$J$29)</f>
        <v>10818.9331329827</v>
      </c>
      <c r="AY32" s="72" t="n">
        <f aca="false">AY21*(1+'Assumption Setting'!$I$29+'Assumption Setting'!$J$29)</f>
        <v>10818.9331329827</v>
      </c>
      <c r="AZ32" s="72" t="n">
        <f aca="false">AZ21*(1+'Assumption Setting'!$I$29+'Assumption Setting'!$J$29)</f>
        <v>10818.9331329827</v>
      </c>
      <c r="BA32" s="72" t="n">
        <f aca="false">BA21*(1+'Assumption Setting'!$I$29+'Assumption Setting'!$J$29)</f>
        <v>10818.9331329827</v>
      </c>
      <c r="BB32" s="69" t="n">
        <f aca="false">SUM(BC32:BN32)</f>
        <v>147530.906358855</v>
      </c>
      <c r="BC32" s="72" t="n">
        <f aca="false">BC21*(1+'Assumption Setting'!$I$29+'Assumption Setting'!$J$29)</f>
        <v>12294.2421965713</v>
      </c>
      <c r="BD32" s="72" t="n">
        <f aca="false">BD21*(1+'Assumption Setting'!$I$29+'Assumption Setting'!$J$29)</f>
        <v>12294.2421965713</v>
      </c>
      <c r="BE32" s="72" t="n">
        <f aca="false">BE21*(1+'Assumption Setting'!$I$29+'Assumption Setting'!$J$29)</f>
        <v>12294.2421965713</v>
      </c>
      <c r="BF32" s="72" t="n">
        <f aca="false">BF21*(1+'Assumption Setting'!$I$29+'Assumption Setting'!$J$29)</f>
        <v>12294.2421965713</v>
      </c>
      <c r="BG32" s="72" t="n">
        <f aca="false">BG21*(1+'Assumption Setting'!$I$29+'Assumption Setting'!$J$29)</f>
        <v>12294.2421965713</v>
      </c>
      <c r="BH32" s="72" t="n">
        <f aca="false">BH21*(1+'Assumption Setting'!$I$29+'Assumption Setting'!$J$29)</f>
        <v>12294.2421965713</v>
      </c>
      <c r="BI32" s="72" t="n">
        <f aca="false">BI21*(1+'Assumption Setting'!$I$29+'Assumption Setting'!$J$29)</f>
        <v>12294.2421965713</v>
      </c>
      <c r="BJ32" s="72" t="n">
        <f aca="false">BJ21*(1+'Assumption Setting'!$I$29+'Assumption Setting'!$J$29)</f>
        <v>12294.2421965713</v>
      </c>
      <c r="BK32" s="72" t="n">
        <f aca="false">BK21*(1+'Assumption Setting'!$I$29+'Assumption Setting'!$J$29)</f>
        <v>12294.2421965713</v>
      </c>
      <c r="BL32" s="72" t="n">
        <f aca="false">BL21*(1+'Assumption Setting'!$I$29+'Assumption Setting'!$J$29)</f>
        <v>12294.2421965713</v>
      </c>
      <c r="BM32" s="72" t="n">
        <f aca="false">BM21*(1+'Assumption Setting'!$I$29+'Assumption Setting'!$J$29)</f>
        <v>12294.2421965713</v>
      </c>
      <c r="BN32" s="72" t="n">
        <f aca="false">BN21*(1+'Assumption Setting'!$I$29+'Assumption Setting'!$J$29)</f>
        <v>12294.2421965713</v>
      </c>
    </row>
    <row r="33" customFormat="false" ht="15" hidden="false" customHeight="false" outlineLevel="0" collapsed="false">
      <c r="A33" s="4" t="s">
        <v>360</v>
      </c>
      <c r="B33" s="69" t="n">
        <f aca="false">SUM(C33:N33)</f>
        <v>11564.8</v>
      </c>
      <c r="C33" s="72" t="n">
        <f aca="false">C22*(1+'Assumption Setting'!$I$30+'Assumption Setting'!$J$30)</f>
        <v>963.733333333333</v>
      </c>
      <c r="D33" s="72" t="n">
        <f aca="false">D22*(1+'Assumption Setting'!$I$30+'Assumption Setting'!$J$30)</f>
        <v>963.733333333333</v>
      </c>
      <c r="E33" s="72" t="n">
        <f aca="false">E22*(1+'Assumption Setting'!$I$30+'Assumption Setting'!$J$30)</f>
        <v>963.733333333333</v>
      </c>
      <c r="F33" s="72" t="n">
        <f aca="false">F22*(1+'Assumption Setting'!$I$30+'Assumption Setting'!$J$30)</f>
        <v>963.733333333333</v>
      </c>
      <c r="G33" s="72" t="n">
        <f aca="false">G22*(1+'Assumption Setting'!$I$30+'Assumption Setting'!$J$30)</f>
        <v>963.733333333333</v>
      </c>
      <c r="H33" s="72" t="n">
        <f aca="false">H22*(1+'Assumption Setting'!$I$30+'Assumption Setting'!$J$30)</f>
        <v>963.733333333333</v>
      </c>
      <c r="I33" s="72" t="n">
        <f aca="false">I22*(1+'Assumption Setting'!$I$30+'Assumption Setting'!$J$30)</f>
        <v>963.733333333333</v>
      </c>
      <c r="J33" s="72" t="n">
        <f aca="false">J22*(1+'Assumption Setting'!$I$30+'Assumption Setting'!$J$30)</f>
        <v>963.733333333333</v>
      </c>
      <c r="K33" s="72" t="n">
        <f aca="false">K22*(1+'Assumption Setting'!$I$30+'Assumption Setting'!$J$30)</f>
        <v>963.733333333333</v>
      </c>
      <c r="L33" s="72" t="n">
        <f aca="false">L22*(1+'Assumption Setting'!$I$30+'Assumption Setting'!$J$30)</f>
        <v>963.733333333333</v>
      </c>
      <c r="M33" s="72" t="n">
        <f aca="false">M22*(1+'Assumption Setting'!$I$30+'Assumption Setting'!$J$30)</f>
        <v>963.733333333333</v>
      </c>
      <c r="N33" s="72" t="n">
        <f aca="false">N22*(1+'Assumption Setting'!$I$30+'Assumption Setting'!$J$30)</f>
        <v>963.733333333333</v>
      </c>
      <c r="O33" s="69" t="n">
        <f aca="false">SUM(P33:AA33)</f>
        <v>22690.9090909091</v>
      </c>
      <c r="P33" s="72" t="n">
        <f aca="false">P22*(1+'Assumption Setting'!$I$30+'Assumption Setting'!$J$30)</f>
        <v>1890.90909090909</v>
      </c>
      <c r="Q33" s="72" t="n">
        <f aca="false">Q22*(1+'Assumption Setting'!$I$30+'Assumption Setting'!$J$30)</f>
        <v>1890.90909090909</v>
      </c>
      <c r="R33" s="72" t="n">
        <f aca="false">R22*(1+'Assumption Setting'!$I$30+'Assumption Setting'!$J$30)</f>
        <v>1890.90909090909</v>
      </c>
      <c r="S33" s="72" t="n">
        <f aca="false">S22*(1+'Assumption Setting'!$I$30+'Assumption Setting'!$J$30)</f>
        <v>1890.90909090909</v>
      </c>
      <c r="T33" s="72" t="n">
        <f aca="false">T22*(1+'Assumption Setting'!$I$30+'Assumption Setting'!$J$30)</f>
        <v>1890.90909090909</v>
      </c>
      <c r="U33" s="72" t="n">
        <f aca="false">U22*(1+'Assumption Setting'!$I$30+'Assumption Setting'!$J$30)</f>
        <v>1890.90909090909</v>
      </c>
      <c r="V33" s="72" t="n">
        <f aca="false">V22*(1+'Assumption Setting'!$I$30+'Assumption Setting'!$J$30)</f>
        <v>1890.90909090909</v>
      </c>
      <c r="W33" s="72" t="n">
        <f aca="false">W22*(1+'Assumption Setting'!$I$30+'Assumption Setting'!$J$30)</f>
        <v>1890.90909090909</v>
      </c>
      <c r="X33" s="72" t="n">
        <f aca="false">X22*(1+'Assumption Setting'!$I$30+'Assumption Setting'!$J$30)</f>
        <v>1890.90909090909</v>
      </c>
      <c r="Y33" s="72" t="n">
        <f aca="false">Y22*(1+'Assumption Setting'!$I$30+'Assumption Setting'!$J$30)</f>
        <v>1890.90909090909</v>
      </c>
      <c r="Z33" s="72" t="n">
        <f aca="false">Z22*(1+'Assumption Setting'!$I$30+'Assumption Setting'!$J$30)</f>
        <v>1890.90909090909</v>
      </c>
      <c r="AA33" s="72" t="n">
        <f aca="false">AA22*(1+'Assumption Setting'!$I$30+'Assumption Setting'!$J$30)</f>
        <v>1890.90909090909</v>
      </c>
      <c r="AB33" s="69" t="n">
        <f aca="false">SUM(AC33:AN33)</f>
        <v>34380.1652892562</v>
      </c>
      <c r="AC33" s="72" t="n">
        <f aca="false">AC22*(1+'Assumption Setting'!$I$30+'Assumption Setting'!$J$30)</f>
        <v>2865.01377410468</v>
      </c>
      <c r="AD33" s="72" t="n">
        <f aca="false">AD22*(1+'Assumption Setting'!$I$30+'Assumption Setting'!$J$30)</f>
        <v>2865.01377410468</v>
      </c>
      <c r="AE33" s="72" t="n">
        <f aca="false">AE22*(1+'Assumption Setting'!$I$30+'Assumption Setting'!$J$30)</f>
        <v>2865.01377410468</v>
      </c>
      <c r="AF33" s="72" t="n">
        <f aca="false">AF22*(1+'Assumption Setting'!$I$30+'Assumption Setting'!$J$30)</f>
        <v>2865.01377410468</v>
      </c>
      <c r="AG33" s="72" t="n">
        <f aca="false">AG22*(1+'Assumption Setting'!$I$30+'Assumption Setting'!$J$30)</f>
        <v>2865.01377410468</v>
      </c>
      <c r="AH33" s="72" t="n">
        <f aca="false">AH22*(1+'Assumption Setting'!$I$30+'Assumption Setting'!$J$30)</f>
        <v>2865.01377410468</v>
      </c>
      <c r="AI33" s="72" t="n">
        <f aca="false">AI22*(1+'Assumption Setting'!$I$30+'Assumption Setting'!$J$30)</f>
        <v>2865.01377410468</v>
      </c>
      <c r="AJ33" s="72" t="n">
        <f aca="false">AJ22*(1+'Assumption Setting'!$I$30+'Assumption Setting'!$J$30)</f>
        <v>2865.01377410468</v>
      </c>
      <c r="AK33" s="72" t="n">
        <f aca="false">AK22*(1+'Assumption Setting'!$I$30+'Assumption Setting'!$J$30)</f>
        <v>2865.01377410468</v>
      </c>
      <c r="AL33" s="72" t="n">
        <f aca="false">AL22*(1+'Assumption Setting'!$I$30+'Assumption Setting'!$J$30)</f>
        <v>2865.01377410468</v>
      </c>
      <c r="AM33" s="72" t="n">
        <f aca="false">AM22*(1+'Assumption Setting'!$I$30+'Assumption Setting'!$J$30)</f>
        <v>2865.01377410468</v>
      </c>
      <c r="AN33" s="72" t="n">
        <f aca="false">AN22*(1+'Assumption Setting'!$I$30+'Assumption Setting'!$J$30)</f>
        <v>2865.01377410468</v>
      </c>
      <c r="AO33" s="69" t="n">
        <f aca="false">SUM(AP33:BA33)</f>
        <v>43756.5740045079</v>
      </c>
      <c r="AP33" s="72" t="n">
        <f aca="false">AP22*(1+'Assumption Setting'!$I$30+'Assumption Setting'!$J$30)</f>
        <v>3646.38116704232</v>
      </c>
      <c r="AQ33" s="72" t="n">
        <f aca="false">AQ22*(1+'Assumption Setting'!$I$30+'Assumption Setting'!$J$30)</f>
        <v>3646.38116704232</v>
      </c>
      <c r="AR33" s="72" t="n">
        <f aca="false">AR22*(1+'Assumption Setting'!$I$30+'Assumption Setting'!$J$30)</f>
        <v>3646.38116704232</v>
      </c>
      <c r="AS33" s="72" t="n">
        <f aca="false">AS22*(1+'Assumption Setting'!$I$30+'Assumption Setting'!$J$30)</f>
        <v>3646.38116704232</v>
      </c>
      <c r="AT33" s="72" t="n">
        <f aca="false">AT22*(1+'Assumption Setting'!$I$30+'Assumption Setting'!$J$30)</f>
        <v>3646.38116704232</v>
      </c>
      <c r="AU33" s="72" t="n">
        <f aca="false">AU22*(1+'Assumption Setting'!$I$30+'Assumption Setting'!$J$30)</f>
        <v>3646.38116704232</v>
      </c>
      <c r="AV33" s="72" t="n">
        <f aca="false">AV22*(1+'Assumption Setting'!$I$30+'Assumption Setting'!$J$30)</f>
        <v>3646.38116704232</v>
      </c>
      <c r="AW33" s="72" t="n">
        <f aca="false">AW22*(1+'Assumption Setting'!$I$30+'Assumption Setting'!$J$30)</f>
        <v>3646.38116704232</v>
      </c>
      <c r="AX33" s="72" t="n">
        <f aca="false">AX22*(1+'Assumption Setting'!$I$30+'Assumption Setting'!$J$30)</f>
        <v>3646.38116704232</v>
      </c>
      <c r="AY33" s="72" t="n">
        <f aca="false">AY22*(1+'Assumption Setting'!$I$30+'Assumption Setting'!$J$30)</f>
        <v>3646.38116704232</v>
      </c>
      <c r="AZ33" s="72" t="n">
        <f aca="false">AZ22*(1+'Assumption Setting'!$I$30+'Assumption Setting'!$J$30)</f>
        <v>3646.38116704232</v>
      </c>
      <c r="BA33" s="72" t="n">
        <f aca="false">BA22*(1+'Assumption Setting'!$I$30+'Assumption Setting'!$J$30)</f>
        <v>3646.38116704232</v>
      </c>
      <c r="BB33" s="69" t="n">
        <f aca="false">SUM(BC33:BN33)</f>
        <v>51144.0475377365</v>
      </c>
      <c r="BC33" s="72" t="n">
        <f aca="false">BC22*(1+'Assumption Setting'!$I$30+'Assumption Setting'!$J$30)</f>
        <v>4262.00396147804</v>
      </c>
      <c r="BD33" s="72" t="n">
        <f aca="false">BD22*(1+'Assumption Setting'!$I$30+'Assumption Setting'!$J$30)</f>
        <v>4262.00396147804</v>
      </c>
      <c r="BE33" s="72" t="n">
        <f aca="false">BE22*(1+'Assumption Setting'!$I$30+'Assumption Setting'!$J$30)</f>
        <v>4262.00396147804</v>
      </c>
      <c r="BF33" s="72" t="n">
        <f aca="false">BF22*(1+'Assumption Setting'!$I$30+'Assumption Setting'!$J$30)</f>
        <v>4262.00396147804</v>
      </c>
      <c r="BG33" s="72" t="n">
        <f aca="false">BG22*(1+'Assumption Setting'!$I$30+'Assumption Setting'!$J$30)</f>
        <v>4262.00396147804</v>
      </c>
      <c r="BH33" s="72" t="n">
        <f aca="false">BH22*(1+'Assumption Setting'!$I$30+'Assumption Setting'!$J$30)</f>
        <v>4262.00396147804</v>
      </c>
      <c r="BI33" s="72" t="n">
        <f aca="false">BI22*(1+'Assumption Setting'!$I$30+'Assumption Setting'!$J$30)</f>
        <v>4262.00396147804</v>
      </c>
      <c r="BJ33" s="72" t="n">
        <f aca="false">BJ22*(1+'Assumption Setting'!$I$30+'Assumption Setting'!$J$30)</f>
        <v>4262.00396147804</v>
      </c>
      <c r="BK33" s="72" t="n">
        <f aca="false">BK22*(1+'Assumption Setting'!$I$30+'Assumption Setting'!$J$30)</f>
        <v>4262.00396147804</v>
      </c>
      <c r="BL33" s="72" t="n">
        <f aca="false">BL22*(1+'Assumption Setting'!$I$30+'Assumption Setting'!$J$30)</f>
        <v>4262.00396147804</v>
      </c>
      <c r="BM33" s="72" t="n">
        <f aca="false">BM22*(1+'Assumption Setting'!$I$30+'Assumption Setting'!$J$30)</f>
        <v>4262.00396147804</v>
      </c>
      <c r="BN33" s="72" t="n">
        <f aca="false">BN22*(1+'Assumption Setting'!$I$30+'Assumption Setting'!$J$30)</f>
        <v>4262.00396147804</v>
      </c>
    </row>
    <row r="34" customFormat="false" ht="15" hidden="false" customHeight="false" outlineLevel="0" collapsed="false">
      <c r="A34" s="4" t="s">
        <v>361</v>
      </c>
      <c r="B34" s="69" t="n">
        <f aca="false">SUM(C34:N34)</f>
        <v>34800</v>
      </c>
      <c r="C34" s="72" t="n">
        <f aca="false">C23*(1+'Assumption Setting'!$I$31+'Assumption Setting'!$J$31)</f>
        <v>2900</v>
      </c>
      <c r="D34" s="72" t="n">
        <f aca="false">D23*(1+'Assumption Setting'!$I$31+'Assumption Setting'!$J$31)</f>
        <v>2900</v>
      </c>
      <c r="E34" s="72" t="n">
        <f aca="false">E23*(1+'Assumption Setting'!$I$31+'Assumption Setting'!$J$31)</f>
        <v>2900</v>
      </c>
      <c r="F34" s="72" t="n">
        <f aca="false">F23*(1+'Assumption Setting'!$I$31+'Assumption Setting'!$J$31)</f>
        <v>2900</v>
      </c>
      <c r="G34" s="72" t="n">
        <f aca="false">G23*(1+'Assumption Setting'!$I$31+'Assumption Setting'!$J$31)</f>
        <v>2900</v>
      </c>
      <c r="H34" s="72" t="n">
        <f aca="false">H23*(1+'Assumption Setting'!$I$31+'Assumption Setting'!$J$31)</f>
        <v>2900</v>
      </c>
      <c r="I34" s="72" t="n">
        <f aca="false">I23*(1+'Assumption Setting'!$I$31+'Assumption Setting'!$J$31)</f>
        <v>2900</v>
      </c>
      <c r="J34" s="72" t="n">
        <f aca="false">J23*(1+'Assumption Setting'!$I$31+'Assumption Setting'!$J$31)</f>
        <v>2900</v>
      </c>
      <c r="K34" s="72" t="n">
        <f aca="false">K23*(1+'Assumption Setting'!$I$31+'Assumption Setting'!$J$31)</f>
        <v>2900</v>
      </c>
      <c r="L34" s="72" t="n">
        <f aca="false">L23*(1+'Assumption Setting'!$I$31+'Assumption Setting'!$J$31)</f>
        <v>2900</v>
      </c>
      <c r="M34" s="72" t="n">
        <f aca="false">M23*(1+'Assumption Setting'!$I$31+'Assumption Setting'!$J$31)</f>
        <v>2900</v>
      </c>
      <c r="N34" s="72" t="n">
        <f aca="false">N23*(1+'Assumption Setting'!$I$31+'Assumption Setting'!$J$31)</f>
        <v>2900</v>
      </c>
      <c r="O34" s="69" t="n">
        <f aca="false">SUM(P34:AA34)</f>
        <v>68545.4545454546</v>
      </c>
      <c r="P34" s="72" t="n">
        <f aca="false">P23*(1+'Assumption Setting'!$I$31+'Assumption Setting'!$J$31)</f>
        <v>5712.12121212121</v>
      </c>
      <c r="Q34" s="72" t="n">
        <f aca="false">Q23*(1+'Assumption Setting'!$I$31+'Assumption Setting'!$J$31)</f>
        <v>5712.12121212121</v>
      </c>
      <c r="R34" s="72" t="n">
        <f aca="false">R23*(1+'Assumption Setting'!$I$31+'Assumption Setting'!$J$31)</f>
        <v>5712.12121212121</v>
      </c>
      <c r="S34" s="72" t="n">
        <f aca="false">S23*(1+'Assumption Setting'!$I$31+'Assumption Setting'!$J$31)</f>
        <v>5712.12121212121</v>
      </c>
      <c r="T34" s="72" t="n">
        <f aca="false">T23*(1+'Assumption Setting'!$I$31+'Assumption Setting'!$J$31)</f>
        <v>5712.12121212121</v>
      </c>
      <c r="U34" s="72" t="n">
        <f aca="false">U23*(1+'Assumption Setting'!$I$31+'Assumption Setting'!$J$31)</f>
        <v>5712.12121212121</v>
      </c>
      <c r="V34" s="72" t="n">
        <f aca="false">V23*(1+'Assumption Setting'!$I$31+'Assumption Setting'!$J$31)</f>
        <v>5712.12121212121</v>
      </c>
      <c r="W34" s="72" t="n">
        <f aca="false">W23*(1+'Assumption Setting'!$I$31+'Assumption Setting'!$J$31)</f>
        <v>5712.12121212121</v>
      </c>
      <c r="X34" s="72" t="n">
        <f aca="false">X23*(1+'Assumption Setting'!$I$31+'Assumption Setting'!$J$31)</f>
        <v>5712.12121212121</v>
      </c>
      <c r="Y34" s="72" t="n">
        <f aca="false">Y23*(1+'Assumption Setting'!$I$31+'Assumption Setting'!$J$31)</f>
        <v>5712.12121212121</v>
      </c>
      <c r="Z34" s="72" t="n">
        <f aca="false">Z23*(1+'Assumption Setting'!$I$31+'Assumption Setting'!$J$31)</f>
        <v>5712.12121212121</v>
      </c>
      <c r="AA34" s="72" t="n">
        <f aca="false">AA23*(1+'Assumption Setting'!$I$31+'Assumption Setting'!$J$31)</f>
        <v>5712.12121212121</v>
      </c>
      <c r="AB34" s="69" t="n">
        <f aca="false">SUM(AC34:AN34)</f>
        <v>105454.545454545</v>
      </c>
      <c r="AC34" s="72" t="n">
        <f aca="false">AC23*(1+'Assumption Setting'!$I$31+'Assumption Setting'!$J$31)</f>
        <v>8787.87878787879</v>
      </c>
      <c r="AD34" s="72" t="n">
        <f aca="false">AD23*(1+'Assumption Setting'!$I$31+'Assumption Setting'!$J$31)</f>
        <v>8787.87878787879</v>
      </c>
      <c r="AE34" s="72" t="n">
        <f aca="false">AE23*(1+'Assumption Setting'!$I$31+'Assumption Setting'!$J$31)</f>
        <v>8787.87878787879</v>
      </c>
      <c r="AF34" s="72" t="n">
        <f aca="false">AF23*(1+'Assumption Setting'!$I$31+'Assumption Setting'!$J$31)</f>
        <v>8787.87878787879</v>
      </c>
      <c r="AG34" s="72" t="n">
        <f aca="false">AG23*(1+'Assumption Setting'!$I$31+'Assumption Setting'!$J$31)</f>
        <v>8787.87878787879</v>
      </c>
      <c r="AH34" s="72" t="n">
        <f aca="false">AH23*(1+'Assumption Setting'!$I$31+'Assumption Setting'!$J$31)</f>
        <v>8787.87878787879</v>
      </c>
      <c r="AI34" s="72" t="n">
        <f aca="false">AI23*(1+'Assumption Setting'!$I$31+'Assumption Setting'!$J$31)</f>
        <v>8787.87878787879</v>
      </c>
      <c r="AJ34" s="72" t="n">
        <f aca="false">AJ23*(1+'Assumption Setting'!$I$31+'Assumption Setting'!$J$31)</f>
        <v>8787.87878787879</v>
      </c>
      <c r="AK34" s="72" t="n">
        <f aca="false">AK23*(1+'Assumption Setting'!$I$31+'Assumption Setting'!$J$31)</f>
        <v>8787.87878787879</v>
      </c>
      <c r="AL34" s="72" t="n">
        <f aca="false">AL23*(1+'Assumption Setting'!$I$31+'Assumption Setting'!$J$31)</f>
        <v>8787.87878787879</v>
      </c>
      <c r="AM34" s="72" t="n">
        <f aca="false">AM23*(1+'Assumption Setting'!$I$31+'Assumption Setting'!$J$31)</f>
        <v>8787.87878787879</v>
      </c>
      <c r="AN34" s="72" t="n">
        <f aca="false">AN23*(1+'Assumption Setting'!$I$31+'Assumption Setting'!$J$31)</f>
        <v>8787.87878787879</v>
      </c>
      <c r="AO34" s="69" t="n">
        <f aca="false">SUM(AP34:BA34)</f>
        <v>130728.775356875</v>
      </c>
      <c r="AP34" s="72" t="n">
        <f aca="false">AP23*(1+'Assumption Setting'!$I$31+'Assumption Setting'!$J$31)</f>
        <v>10894.0646130729</v>
      </c>
      <c r="AQ34" s="72" t="n">
        <f aca="false">AQ23*(1+'Assumption Setting'!$I$31+'Assumption Setting'!$J$31)</f>
        <v>10894.0646130729</v>
      </c>
      <c r="AR34" s="72" t="n">
        <f aca="false">AR23*(1+'Assumption Setting'!$I$31+'Assumption Setting'!$J$31)</f>
        <v>10894.0646130729</v>
      </c>
      <c r="AS34" s="72" t="n">
        <f aca="false">AS23*(1+'Assumption Setting'!$I$31+'Assumption Setting'!$J$31)</f>
        <v>10894.0646130729</v>
      </c>
      <c r="AT34" s="72" t="n">
        <f aca="false">AT23*(1+'Assumption Setting'!$I$31+'Assumption Setting'!$J$31)</f>
        <v>10894.0646130729</v>
      </c>
      <c r="AU34" s="72" t="n">
        <f aca="false">AU23*(1+'Assumption Setting'!$I$31+'Assumption Setting'!$J$31)</f>
        <v>10894.0646130729</v>
      </c>
      <c r="AV34" s="72" t="n">
        <f aca="false">AV23*(1+'Assumption Setting'!$I$31+'Assumption Setting'!$J$31)</f>
        <v>10894.0646130729</v>
      </c>
      <c r="AW34" s="72" t="n">
        <f aca="false">AW23*(1+'Assumption Setting'!$I$31+'Assumption Setting'!$J$31)</f>
        <v>10894.0646130729</v>
      </c>
      <c r="AX34" s="72" t="n">
        <f aca="false">AX23*(1+'Assumption Setting'!$I$31+'Assumption Setting'!$J$31)</f>
        <v>10894.0646130729</v>
      </c>
      <c r="AY34" s="72" t="n">
        <f aca="false">AY23*(1+'Assumption Setting'!$I$31+'Assumption Setting'!$J$31)</f>
        <v>10894.0646130729</v>
      </c>
      <c r="AZ34" s="72" t="n">
        <f aca="false">AZ23*(1+'Assumption Setting'!$I$31+'Assumption Setting'!$J$31)</f>
        <v>10894.0646130729</v>
      </c>
      <c r="BA34" s="72" t="n">
        <f aca="false">BA23*(1+'Assumption Setting'!$I$31+'Assumption Setting'!$J$31)</f>
        <v>10894.0646130729</v>
      </c>
      <c r="BB34" s="69" t="n">
        <f aca="false">SUM(BC34:BN34)</f>
        <v>150536.165562462</v>
      </c>
      <c r="BC34" s="72" t="n">
        <f aca="false">BC23*(1+'Assumption Setting'!$I$31+'Assumption Setting'!$J$31)</f>
        <v>12544.6804635385</v>
      </c>
      <c r="BD34" s="72" t="n">
        <f aca="false">BD23*(1+'Assumption Setting'!$I$31+'Assumption Setting'!$J$31)</f>
        <v>12544.6804635385</v>
      </c>
      <c r="BE34" s="72" t="n">
        <f aca="false">BE23*(1+'Assumption Setting'!$I$31+'Assumption Setting'!$J$31)</f>
        <v>12544.6804635385</v>
      </c>
      <c r="BF34" s="72" t="n">
        <f aca="false">BF23*(1+'Assumption Setting'!$I$31+'Assumption Setting'!$J$31)</f>
        <v>12544.6804635385</v>
      </c>
      <c r="BG34" s="72" t="n">
        <f aca="false">BG23*(1+'Assumption Setting'!$I$31+'Assumption Setting'!$J$31)</f>
        <v>12544.6804635385</v>
      </c>
      <c r="BH34" s="72" t="n">
        <f aca="false">BH23*(1+'Assumption Setting'!$I$31+'Assumption Setting'!$J$31)</f>
        <v>12544.6804635385</v>
      </c>
      <c r="BI34" s="72" t="n">
        <f aca="false">BI23*(1+'Assumption Setting'!$I$31+'Assumption Setting'!$J$31)</f>
        <v>12544.6804635385</v>
      </c>
      <c r="BJ34" s="72" t="n">
        <f aca="false">BJ23*(1+'Assumption Setting'!$I$31+'Assumption Setting'!$J$31)</f>
        <v>12544.6804635385</v>
      </c>
      <c r="BK34" s="72" t="n">
        <f aca="false">BK23*(1+'Assumption Setting'!$I$31+'Assumption Setting'!$J$31)</f>
        <v>12544.6804635385</v>
      </c>
      <c r="BL34" s="72" t="n">
        <f aca="false">BL23*(1+'Assumption Setting'!$I$31+'Assumption Setting'!$J$31)</f>
        <v>12544.6804635385</v>
      </c>
      <c r="BM34" s="72" t="n">
        <f aca="false">BM23*(1+'Assumption Setting'!$I$31+'Assumption Setting'!$J$31)</f>
        <v>12544.6804635385</v>
      </c>
      <c r="BN34" s="72" t="n">
        <f aca="false">BN23*(1+'Assumption Setting'!$I$31+'Assumption Setting'!$J$31)</f>
        <v>12544.6804635385</v>
      </c>
    </row>
    <row r="35" customFormat="false" ht="15" hidden="false" customHeight="false" outlineLevel="0" collapsed="false">
      <c r="A35" s="13" t="s">
        <v>668</v>
      </c>
      <c r="B35" s="69" t="n">
        <f aca="false">SUM(C35:N35)</f>
        <v>347576.41038961</v>
      </c>
      <c r="C35" s="80" t="n">
        <f aca="false">SUM(C28:C34)</f>
        <v>28964.7008658009</v>
      </c>
      <c r="D35" s="80" t="n">
        <f aca="false">SUM(D28:D34)</f>
        <v>28964.7008658009</v>
      </c>
      <c r="E35" s="80" t="n">
        <f aca="false">SUM(E28:E34)</f>
        <v>28964.7008658009</v>
      </c>
      <c r="F35" s="80" t="n">
        <f aca="false">SUM(F28:F34)</f>
        <v>28964.7008658009</v>
      </c>
      <c r="G35" s="80" t="n">
        <f aca="false">SUM(G28:G34)</f>
        <v>28964.7008658009</v>
      </c>
      <c r="H35" s="80" t="n">
        <f aca="false">SUM(H28:H34)</f>
        <v>28964.7008658009</v>
      </c>
      <c r="I35" s="80" t="n">
        <f aca="false">SUM(I28:I34)</f>
        <v>28964.7008658009</v>
      </c>
      <c r="J35" s="80" t="n">
        <f aca="false">SUM(J28:J34)</f>
        <v>28964.7008658009</v>
      </c>
      <c r="K35" s="80" t="n">
        <f aca="false">SUM(K28:K34)</f>
        <v>28964.7008658009</v>
      </c>
      <c r="L35" s="80" t="n">
        <f aca="false">SUM(L28:L34)</f>
        <v>28964.7008658009</v>
      </c>
      <c r="M35" s="80" t="n">
        <f aca="false">SUM(M28:M34)</f>
        <v>28964.7008658009</v>
      </c>
      <c r="N35" s="80" t="n">
        <f aca="false">SUM(N28:N34)</f>
        <v>28964.7008658009</v>
      </c>
      <c r="O35" s="69" t="n">
        <f aca="false">SUM(P35:AA35)</f>
        <v>733248.170011806</v>
      </c>
      <c r="P35" s="80" t="n">
        <f aca="false">SUM(P28:P34)</f>
        <v>61104.0141676505</v>
      </c>
      <c r="Q35" s="80" t="n">
        <f aca="false">SUM(Q28:Q34)</f>
        <v>61104.0141676505</v>
      </c>
      <c r="R35" s="80" t="n">
        <f aca="false">SUM(R28:R34)</f>
        <v>61104.0141676505</v>
      </c>
      <c r="S35" s="80" t="n">
        <f aca="false">SUM(S28:S34)</f>
        <v>61104.0141676505</v>
      </c>
      <c r="T35" s="80" t="n">
        <f aca="false">SUM(T28:T34)</f>
        <v>61104.0141676505</v>
      </c>
      <c r="U35" s="80" t="n">
        <f aca="false">SUM(U28:U34)</f>
        <v>61104.0141676505</v>
      </c>
      <c r="V35" s="80" t="n">
        <f aca="false">SUM(V28:V34)</f>
        <v>61104.0141676505</v>
      </c>
      <c r="W35" s="80" t="n">
        <f aca="false">SUM(W28:W34)</f>
        <v>61104.0141676505</v>
      </c>
      <c r="X35" s="80" t="n">
        <f aca="false">SUM(X28:X34)</f>
        <v>61104.0141676505</v>
      </c>
      <c r="Y35" s="80" t="n">
        <f aca="false">SUM(Y28:Y34)</f>
        <v>61104.0141676505</v>
      </c>
      <c r="Z35" s="80" t="n">
        <f aca="false">SUM(Z28:Z34)</f>
        <v>61104.0141676505</v>
      </c>
      <c r="AA35" s="80" t="n">
        <f aca="false">SUM(AA28:AA34)</f>
        <v>61104.0141676505</v>
      </c>
      <c r="AB35" s="69" t="n">
        <f aca="false">SUM(AC35:AN35)</f>
        <v>1183412.68648707</v>
      </c>
      <c r="AC35" s="80" t="n">
        <f aca="false">SUM(AC28:AC34)</f>
        <v>98617.7238739222</v>
      </c>
      <c r="AD35" s="80" t="n">
        <f aca="false">SUM(AD28:AD34)</f>
        <v>98617.7238739222</v>
      </c>
      <c r="AE35" s="80" t="n">
        <f aca="false">SUM(AE28:AE34)</f>
        <v>98617.7238739222</v>
      </c>
      <c r="AF35" s="80" t="n">
        <f aca="false">SUM(AF28:AF34)</f>
        <v>98617.7238739222</v>
      </c>
      <c r="AG35" s="80" t="n">
        <f aca="false">SUM(AG28:AG34)</f>
        <v>98617.7238739222</v>
      </c>
      <c r="AH35" s="80" t="n">
        <f aca="false">SUM(AH28:AH34)</f>
        <v>98617.7238739222</v>
      </c>
      <c r="AI35" s="80" t="n">
        <f aca="false">SUM(AI28:AI34)</f>
        <v>98617.7238739222</v>
      </c>
      <c r="AJ35" s="80" t="n">
        <f aca="false">SUM(AJ28:AJ34)</f>
        <v>98617.7238739222</v>
      </c>
      <c r="AK35" s="80" t="n">
        <f aca="false">SUM(AK28:AK34)</f>
        <v>98617.7238739222</v>
      </c>
      <c r="AL35" s="80" t="n">
        <f aca="false">SUM(AL28:AL34)</f>
        <v>98617.7238739222</v>
      </c>
      <c r="AM35" s="80" t="n">
        <f aca="false">SUM(AM28:AM34)</f>
        <v>98617.7238739222</v>
      </c>
      <c r="AN35" s="80" t="n">
        <f aca="false">SUM(AN28:AN34)</f>
        <v>98617.7238739222</v>
      </c>
      <c r="AO35" s="69" t="n">
        <f aca="false">SUM(AP35:BA35)</f>
        <v>1533841.36524632</v>
      </c>
      <c r="AP35" s="80" t="n">
        <f aca="false">SUM(AP28:AP34)</f>
        <v>127820.113770527</v>
      </c>
      <c r="AQ35" s="80" t="n">
        <f aca="false">SUM(AQ28:AQ34)</f>
        <v>127820.113770527</v>
      </c>
      <c r="AR35" s="80" t="n">
        <f aca="false">SUM(AR28:AR34)</f>
        <v>127820.113770527</v>
      </c>
      <c r="AS35" s="80" t="n">
        <f aca="false">SUM(AS28:AS34)</f>
        <v>127820.113770527</v>
      </c>
      <c r="AT35" s="80" t="n">
        <f aca="false">SUM(AT28:AT34)</f>
        <v>127820.113770527</v>
      </c>
      <c r="AU35" s="80" t="n">
        <f aca="false">SUM(AU28:AU34)</f>
        <v>127820.113770527</v>
      </c>
      <c r="AV35" s="80" t="n">
        <f aca="false">SUM(AV28:AV34)</f>
        <v>127820.113770527</v>
      </c>
      <c r="AW35" s="80" t="n">
        <f aca="false">SUM(AW28:AW34)</f>
        <v>127820.113770527</v>
      </c>
      <c r="AX35" s="80" t="n">
        <f aca="false">SUM(AX28:AX34)</f>
        <v>127820.113770527</v>
      </c>
      <c r="AY35" s="80" t="n">
        <f aca="false">SUM(AY28:AY34)</f>
        <v>127820.113770527</v>
      </c>
      <c r="AZ35" s="80" t="n">
        <f aca="false">SUM(AZ28:AZ34)</f>
        <v>127820.113770527</v>
      </c>
      <c r="BA35" s="80" t="n">
        <f aca="false">SUM(BA28:BA34)</f>
        <v>127820.113770527</v>
      </c>
      <c r="BB35" s="69" t="n">
        <f aca="false">SUM(BC35:BN35)</f>
        <v>1791787.69458122</v>
      </c>
      <c r="BC35" s="80" t="n">
        <f aca="false">SUM(BC28:BC34)</f>
        <v>149315.641215102</v>
      </c>
      <c r="BD35" s="80" t="n">
        <f aca="false">SUM(BD28:BD34)</f>
        <v>149315.641215102</v>
      </c>
      <c r="BE35" s="80" t="n">
        <f aca="false">SUM(BE28:BE34)</f>
        <v>149315.641215102</v>
      </c>
      <c r="BF35" s="80" t="n">
        <f aca="false">SUM(BF28:BF34)</f>
        <v>149315.641215102</v>
      </c>
      <c r="BG35" s="80" t="n">
        <f aca="false">SUM(BG28:BG34)</f>
        <v>149315.641215102</v>
      </c>
      <c r="BH35" s="80" t="n">
        <f aca="false">SUM(BH28:BH34)</f>
        <v>149315.641215102</v>
      </c>
      <c r="BI35" s="80" t="n">
        <f aca="false">SUM(BI28:BI34)</f>
        <v>149315.641215102</v>
      </c>
      <c r="BJ35" s="80" t="n">
        <f aca="false">SUM(BJ28:BJ34)</f>
        <v>149315.641215102</v>
      </c>
      <c r="BK35" s="80" t="n">
        <f aca="false">SUM(BK28:BK34)</f>
        <v>149315.641215102</v>
      </c>
      <c r="BL35" s="80" t="n">
        <f aca="false">SUM(BL28:BL34)</f>
        <v>149315.641215102</v>
      </c>
      <c r="BM35" s="80" t="n">
        <f aca="false">SUM(BM28:BM34)</f>
        <v>149315.641215102</v>
      </c>
      <c r="BN35" s="80" t="n">
        <f aca="false">SUM(BN28:BN34)</f>
        <v>149315.641215102</v>
      </c>
    </row>
    <row r="37" customFormat="false" ht="15" hidden="false" customHeight="false" outlineLevel="0" collapsed="false">
      <c r="A37" s="9" t="s">
        <v>669</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row>
    <row r="38" customFormat="false" ht="15" hidden="false" customHeight="false" outlineLevel="0" collapsed="false">
      <c r="A38" s="56" t="s">
        <v>632</v>
      </c>
      <c r="B38" s="57" t="s">
        <v>87</v>
      </c>
      <c r="C38" s="58" t="s">
        <v>562</v>
      </c>
      <c r="D38" s="58" t="s">
        <v>563</v>
      </c>
      <c r="E38" s="58" t="s">
        <v>564</v>
      </c>
      <c r="F38" s="58" t="s">
        <v>565</v>
      </c>
      <c r="G38" s="58" t="s">
        <v>566</v>
      </c>
      <c r="H38" s="58" t="s">
        <v>567</v>
      </c>
      <c r="I38" s="58" t="s">
        <v>568</v>
      </c>
      <c r="J38" s="58" t="s">
        <v>569</v>
      </c>
      <c r="K38" s="58" t="s">
        <v>570</v>
      </c>
      <c r="L38" s="58" t="s">
        <v>571</v>
      </c>
      <c r="M38" s="58" t="s">
        <v>572</v>
      </c>
      <c r="N38" s="58" t="s">
        <v>573</v>
      </c>
      <c r="O38" s="57" t="s">
        <v>88</v>
      </c>
      <c r="P38" s="58" t="s">
        <v>574</v>
      </c>
      <c r="Q38" s="58" t="s">
        <v>575</v>
      </c>
      <c r="R38" s="58" t="s">
        <v>576</v>
      </c>
      <c r="S38" s="58" t="s">
        <v>577</v>
      </c>
      <c r="T38" s="58" t="s">
        <v>578</v>
      </c>
      <c r="U38" s="58" t="s">
        <v>579</v>
      </c>
      <c r="V38" s="58" t="s">
        <v>580</v>
      </c>
      <c r="W38" s="58" t="s">
        <v>581</v>
      </c>
      <c r="X38" s="58" t="s">
        <v>582</v>
      </c>
      <c r="Y38" s="58" t="s">
        <v>583</v>
      </c>
      <c r="Z38" s="58" t="s">
        <v>584</v>
      </c>
      <c r="AA38" s="58" t="s">
        <v>585</v>
      </c>
      <c r="AB38" s="57" t="s">
        <v>89</v>
      </c>
      <c r="AC38" s="58" t="s">
        <v>586</v>
      </c>
      <c r="AD38" s="58" t="s">
        <v>587</v>
      </c>
      <c r="AE38" s="58" t="s">
        <v>588</v>
      </c>
      <c r="AF38" s="58" t="s">
        <v>589</v>
      </c>
      <c r="AG38" s="58" t="s">
        <v>590</v>
      </c>
      <c r="AH38" s="58" t="s">
        <v>591</v>
      </c>
      <c r="AI38" s="58" t="s">
        <v>592</v>
      </c>
      <c r="AJ38" s="58" t="s">
        <v>593</v>
      </c>
      <c r="AK38" s="58" t="s">
        <v>594</v>
      </c>
      <c r="AL38" s="58" t="s">
        <v>595</v>
      </c>
      <c r="AM38" s="58" t="s">
        <v>596</v>
      </c>
      <c r="AN38" s="58" t="s">
        <v>597</v>
      </c>
      <c r="AO38" s="57" t="s">
        <v>90</v>
      </c>
      <c r="AP38" s="58" t="s">
        <v>598</v>
      </c>
      <c r="AQ38" s="58" t="s">
        <v>599</v>
      </c>
      <c r="AR38" s="58" t="s">
        <v>600</v>
      </c>
      <c r="AS38" s="58" t="s">
        <v>601</v>
      </c>
      <c r="AT38" s="58" t="s">
        <v>602</v>
      </c>
      <c r="AU38" s="58" t="s">
        <v>603</v>
      </c>
      <c r="AV38" s="58" t="s">
        <v>604</v>
      </c>
      <c r="AW38" s="58" t="s">
        <v>605</v>
      </c>
      <c r="AX38" s="58" t="s">
        <v>606</v>
      </c>
      <c r="AY38" s="58" t="s">
        <v>607</v>
      </c>
      <c r="AZ38" s="58" t="s">
        <v>608</v>
      </c>
      <c r="BA38" s="58" t="s">
        <v>609</v>
      </c>
      <c r="BB38" s="57" t="s">
        <v>91</v>
      </c>
      <c r="BC38" s="58" t="s">
        <v>610</v>
      </c>
      <c r="BD38" s="58" t="s">
        <v>611</v>
      </c>
      <c r="BE38" s="58" t="s">
        <v>612</v>
      </c>
      <c r="BF38" s="58" t="s">
        <v>613</v>
      </c>
      <c r="BG38" s="58" t="s">
        <v>614</v>
      </c>
      <c r="BH38" s="58" t="s">
        <v>615</v>
      </c>
      <c r="BI38" s="58" t="s">
        <v>616</v>
      </c>
      <c r="BJ38" s="58" t="s">
        <v>617</v>
      </c>
      <c r="BK38" s="58" t="s">
        <v>618</v>
      </c>
      <c r="BL38" s="58" t="s">
        <v>619</v>
      </c>
      <c r="BM38" s="58" t="s">
        <v>620</v>
      </c>
      <c r="BN38" s="58" t="s">
        <v>621</v>
      </c>
    </row>
    <row r="39" customFormat="false" ht="15" hidden="false" customHeight="false" outlineLevel="0" collapsed="false">
      <c r="A39" s="4" t="s">
        <v>355</v>
      </c>
      <c r="B39" s="69" t="n">
        <f aca="false">SUM(C39:N39)</f>
        <v>3219.84</v>
      </c>
      <c r="C39" s="72" t="n">
        <f aca="false">C28*'Assumption Setting'!$K$25</f>
        <v>268.32</v>
      </c>
      <c r="D39" s="72" t="n">
        <f aca="false">D28*'Assumption Setting'!$K$25</f>
        <v>268.32</v>
      </c>
      <c r="E39" s="72" t="n">
        <f aca="false">E28*'Assumption Setting'!$K$25</f>
        <v>268.32</v>
      </c>
      <c r="F39" s="72" t="n">
        <f aca="false">F28*'Assumption Setting'!$K$25</f>
        <v>268.32</v>
      </c>
      <c r="G39" s="72" t="n">
        <f aca="false">G28*'Assumption Setting'!$K$25</f>
        <v>268.32</v>
      </c>
      <c r="H39" s="72" t="n">
        <f aca="false">H28*'Assumption Setting'!$K$25</f>
        <v>268.32</v>
      </c>
      <c r="I39" s="72" t="n">
        <f aca="false">I28*'Assumption Setting'!$K$25</f>
        <v>268.32</v>
      </c>
      <c r="J39" s="72" t="n">
        <f aca="false">J28*'Assumption Setting'!$K$25</f>
        <v>268.32</v>
      </c>
      <c r="K39" s="72" t="n">
        <f aca="false">K28*'Assumption Setting'!$K$25</f>
        <v>268.32</v>
      </c>
      <c r="L39" s="72" t="n">
        <f aca="false">L28*'Assumption Setting'!$K$25</f>
        <v>268.32</v>
      </c>
      <c r="M39" s="72" t="n">
        <f aca="false">M28*'Assumption Setting'!$K$25</f>
        <v>268.32</v>
      </c>
      <c r="N39" s="72" t="n">
        <f aca="false">N28*'Assumption Setting'!$K$25</f>
        <v>268.32</v>
      </c>
      <c r="O39" s="69" t="n">
        <f aca="false">SUM(P39:AA39)</f>
        <v>7317.81818181818</v>
      </c>
      <c r="P39" s="72" t="n">
        <f aca="false">P28*'Assumption Setting'!$K$25</f>
        <v>609.818181818182</v>
      </c>
      <c r="Q39" s="72" t="n">
        <f aca="false">Q28*'Assumption Setting'!$K$25</f>
        <v>609.818181818182</v>
      </c>
      <c r="R39" s="72" t="n">
        <f aca="false">R28*'Assumption Setting'!$K$25</f>
        <v>609.818181818182</v>
      </c>
      <c r="S39" s="72" t="n">
        <f aca="false">S28*'Assumption Setting'!$K$25</f>
        <v>609.818181818182</v>
      </c>
      <c r="T39" s="72" t="n">
        <f aca="false">T28*'Assumption Setting'!$K$25</f>
        <v>609.818181818182</v>
      </c>
      <c r="U39" s="72" t="n">
        <f aca="false">U28*'Assumption Setting'!$K$25</f>
        <v>609.818181818182</v>
      </c>
      <c r="V39" s="72" t="n">
        <f aca="false">V28*'Assumption Setting'!$K$25</f>
        <v>609.818181818182</v>
      </c>
      <c r="W39" s="72" t="n">
        <f aca="false">W28*'Assumption Setting'!$K$25</f>
        <v>609.818181818182</v>
      </c>
      <c r="X39" s="72" t="n">
        <f aca="false">X28*'Assumption Setting'!$K$25</f>
        <v>609.818181818182</v>
      </c>
      <c r="Y39" s="72" t="n">
        <f aca="false">Y28*'Assumption Setting'!$K$25</f>
        <v>609.818181818182</v>
      </c>
      <c r="Z39" s="72" t="n">
        <f aca="false">Z28*'Assumption Setting'!$K$25</f>
        <v>609.818181818182</v>
      </c>
      <c r="AA39" s="72" t="n">
        <f aca="false">AA28*'Assumption Setting'!$K$25</f>
        <v>609.818181818182</v>
      </c>
      <c r="AB39" s="69" t="n">
        <f aca="false">SUM(AC39:AN39)</f>
        <v>11974.6115702479</v>
      </c>
      <c r="AC39" s="72" t="n">
        <f aca="false">AC28*'Assumption Setting'!$K$25</f>
        <v>997.884297520661</v>
      </c>
      <c r="AD39" s="72" t="n">
        <f aca="false">AD28*'Assumption Setting'!$K$25</f>
        <v>997.884297520661</v>
      </c>
      <c r="AE39" s="72" t="n">
        <f aca="false">AE28*'Assumption Setting'!$K$25</f>
        <v>997.884297520661</v>
      </c>
      <c r="AF39" s="72" t="n">
        <f aca="false">AF28*'Assumption Setting'!$K$25</f>
        <v>997.884297520661</v>
      </c>
      <c r="AG39" s="72" t="n">
        <f aca="false">AG28*'Assumption Setting'!$K$25</f>
        <v>997.884297520661</v>
      </c>
      <c r="AH39" s="72" t="n">
        <f aca="false">AH28*'Assumption Setting'!$K$25</f>
        <v>997.884297520661</v>
      </c>
      <c r="AI39" s="72" t="n">
        <f aca="false">AI28*'Assumption Setting'!$K$25</f>
        <v>997.884297520661</v>
      </c>
      <c r="AJ39" s="72" t="n">
        <f aca="false">AJ28*'Assumption Setting'!$K$25</f>
        <v>997.884297520661</v>
      </c>
      <c r="AK39" s="72" t="n">
        <f aca="false">AK28*'Assumption Setting'!$K$25</f>
        <v>997.884297520661</v>
      </c>
      <c r="AL39" s="72" t="n">
        <f aca="false">AL28*'Assumption Setting'!$K$25</f>
        <v>997.884297520661</v>
      </c>
      <c r="AM39" s="72" t="n">
        <f aca="false">AM28*'Assumption Setting'!$K$25</f>
        <v>997.884297520661</v>
      </c>
      <c r="AN39" s="72" t="n">
        <f aca="false">AN28*'Assumption Setting'!$K$25</f>
        <v>997.884297520661</v>
      </c>
      <c r="AO39" s="69" t="n">
        <f aca="false">SUM(AP39:BA39)</f>
        <v>15724.2374154771</v>
      </c>
      <c r="AP39" s="72" t="n">
        <f aca="false">AP28*'Assumption Setting'!$K$25</f>
        <v>1310.35311795642</v>
      </c>
      <c r="AQ39" s="72" t="n">
        <f aca="false">AQ28*'Assumption Setting'!$K$25</f>
        <v>1310.35311795642</v>
      </c>
      <c r="AR39" s="72" t="n">
        <f aca="false">AR28*'Assumption Setting'!$K$25</f>
        <v>1310.35311795642</v>
      </c>
      <c r="AS39" s="72" t="n">
        <f aca="false">AS28*'Assumption Setting'!$K$25</f>
        <v>1310.35311795642</v>
      </c>
      <c r="AT39" s="72" t="n">
        <f aca="false">AT28*'Assumption Setting'!$K$25</f>
        <v>1310.35311795642</v>
      </c>
      <c r="AU39" s="72" t="n">
        <f aca="false">AU28*'Assumption Setting'!$K$25</f>
        <v>1310.35311795642</v>
      </c>
      <c r="AV39" s="72" t="n">
        <f aca="false">AV28*'Assumption Setting'!$K$25</f>
        <v>1310.35311795642</v>
      </c>
      <c r="AW39" s="72" t="n">
        <f aca="false">AW28*'Assumption Setting'!$K$25</f>
        <v>1310.35311795642</v>
      </c>
      <c r="AX39" s="72" t="n">
        <f aca="false">AX28*'Assumption Setting'!$K$25</f>
        <v>1310.35311795642</v>
      </c>
      <c r="AY39" s="72" t="n">
        <f aca="false">AY28*'Assumption Setting'!$K$25</f>
        <v>1310.35311795642</v>
      </c>
      <c r="AZ39" s="72" t="n">
        <f aca="false">AZ28*'Assumption Setting'!$K$25</f>
        <v>1310.35311795642</v>
      </c>
      <c r="BA39" s="72" t="n">
        <f aca="false">BA28*'Assumption Setting'!$K$25</f>
        <v>1310.35311795642</v>
      </c>
      <c r="BB39" s="69" t="n">
        <f aca="false">SUM(BC39:BN39)</f>
        <v>18693.1493750427</v>
      </c>
      <c r="BC39" s="72" t="n">
        <f aca="false">BC28*'Assumption Setting'!$K$25</f>
        <v>1557.76244792022</v>
      </c>
      <c r="BD39" s="72" t="n">
        <f aca="false">BD28*'Assumption Setting'!$K$25</f>
        <v>1557.76244792022</v>
      </c>
      <c r="BE39" s="72" t="n">
        <f aca="false">BE28*'Assumption Setting'!$K$25</f>
        <v>1557.76244792022</v>
      </c>
      <c r="BF39" s="72" t="n">
        <f aca="false">BF28*'Assumption Setting'!$K$25</f>
        <v>1557.76244792022</v>
      </c>
      <c r="BG39" s="72" t="n">
        <f aca="false">BG28*'Assumption Setting'!$K$25</f>
        <v>1557.76244792022</v>
      </c>
      <c r="BH39" s="72" t="n">
        <f aca="false">BH28*'Assumption Setting'!$K$25</f>
        <v>1557.76244792022</v>
      </c>
      <c r="BI39" s="72" t="n">
        <f aca="false">BI28*'Assumption Setting'!$K$25</f>
        <v>1557.76244792022</v>
      </c>
      <c r="BJ39" s="72" t="n">
        <f aca="false">BJ28*'Assumption Setting'!$K$25</f>
        <v>1557.76244792022</v>
      </c>
      <c r="BK39" s="72" t="n">
        <f aca="false">BK28*'Assumption Setting'!$K$25</f>
        <v>1557.76244792022</v>
      </c>
      <c r="BL39" s="72" t="n">
        <f aca="false">BL28*'Assumption Setting'!$K$25</f>
        <v>1557.76244792022</v>
      </c>
      <c r="BM39" s="72" t="n">
        <f aca="false">BM28*'Assumption Setting'!$K$25</f>
        <v>1557.76244792022</v>
      </c>
      <c r="BN39" s="72" t="n">
        <f aca="false">BN28*'Assumption Setting'!$K$25</f>
        <v>1557.76244792022</v>
      </c>
    </row>
    <row r="40" customFormat="false" ht="15" hidden="false" customHeight="false" outlineLevel="0" collapsed="false">
      <c r="A40" s="4" t="s">
        <v>356</v>
      </c>
      <c r="B40" s="69" t="n">
        <f aca="false">SUM(C40:N40)</f>
        <v>1540.90909090909</v>
      </c>
      <c r="C40" s="72" t="n">
        <f aca="false">C29*'Assumption Setting'!$K$26</f>
        <v>128.409090909091</v>
      </c>
      <c r="D40" s="72" t="n">
        <f aca="false">D29*'Assumption Setting'!$K$26</f>
        <v>128.409090909091</v>
      </c>
      <c r="E40" s="72" t="n">
        <f aca="false">E29*'Assumption Setting'!$K$26</f>
        <v>128.409090909091</v>
      </c>
      <c r="F40" s="72" t="n">
        <f aca="false">F29*'Assumption Setting'!$K$26</f>
        <v>128.409090909091</v>
      </c>
      <c r="G40" s="72" t="n">
        <f aca="false">G29*'Assumption Setting'!$K$26</f>
        <v>128.409090909091</v>
      </c>
      <c r="H40" s="72" t="n">
        <f aca="false">H29*'Assumption Setting'!$K$26</f>
        <v>128.409090909091</v>
      </c>
      <c r="I40" s="72" t="n">
        <f aca="false">I29*'Assumption Setting'!$K$26</f>
        <v>128.409090909091</v>
      </c>
      <c r="J40" s="72" t="n">
        <f aca="false">J29*'Assumption Setting'!$K$26</f>
        <v>128.409090909091</v>
      </c>
      <c r="K40" s="72" t="n">
        <f aca="false">K29*'Assumption Setting'!$K$26</f>
        <v>128.409090909091</v>
      </c>
      <c r="L40" s="72" t="n">
        <f aca="false">L29*'Assumption Setting'!$K$26</f>
        <v>128.409090909091</v>
      </c>
      <c r="M40" s="72" t="n">
        <f aca="false">M29*'Assumption Setting'!$K$26</f>
        <v>128.409090909091</v>
      </c>
      <c r="N40" s="72" t="n">
        <f aca="false">N29*'Assumption Setting'!$K$26</f>
        <v>128.409090909091</v>
      </c>
      <c r="O40" s="69" t="n">
        <f aca="false">SUM(P40:AA40)</f>
        <v>3642.14876033058</v>
      </c>
      <c r="P40" s="72" t="n">
        <f aca="false">P29*'Assumption Setting'!$K$26</f>
        <v>303.512396694215</v>
      </c>
      <c r="Q40" s="72" t="n">
        <f aca="false">Q29*'Assumption Setting'!$K$26</f>
        <v>303.512396694215</v>
      </c>
      <c r="R40" s="72" t="n">
        <f aca="false">R29*'Assumption Setting'!$K$26</f>
        <v>303.512396694215</v>
      </c>
      <c r="S40" s="72" t="n">
        <f aca="false">S29*'Assumption Setting'!$K$26</f>
        <v>303.512396694215</v>
      </c>
      <c r="T40" s="72" t="n">
        <f aca="false">T29*'Assumption Setting'!$K$26</f>
        <v>303.512396694215</v>
      </c>
      <c r="U40" s="72" t="n">
        <f aca="false">U29*'Assumption Setting'!$K$26</f>
        <v>303.512396694215</v>
      </c>
      <c r="V40" s="72" t="n">
        <f aca="false">V29*'Assumption Setting'!$K$26</f>
        <v>303.512396694215</v>
      </c>
      <c r="W40" s="72" t="n">
        <f aca="false">W29*'Assumption Setting'!$K$26</f>
        <v>303.512396694215</v>
      </c>
      <c r="X40" s="72" t="n">
        <f aca="false">X29*'Assumption Setting'!$K$26</f>
        <v>303.512396694215</v>
      </c>
      <c r="Y40" s="72" t="n">
        <f aca="false">Y29*'Assumption Setting'!$K$26</f>
        <v>303.512396694215</v>
      </c>
      <c r="Z40" s="72" t="n">
        <f aca="false">Z29*'Assumption Setting'!$K$26</f>
        <v>303.512396694215</v>
      </c>
      <c r="AA40" s="72" t="n">
        <f aca="false">AA29*'Assumption Setting'!$K$26</f>
        <v>303.512396694215</v>
      </c>
      <c r="AB40" s="69" t="n">
        <f aca="false">SUM(AC40:AN40)</f>
        <v>5858.0015026296</v>
      </c>
      <c r="AC40" s="72" t="n">
        <f aca="false">AC29*'Assumption Setting'!$K$26</f>
        <v>488.1667918858</v>
      </c>
      <c r="AD40" s="72" t="n">
        <f aca="false">AD29*'Assumption Setting'!$K$26</f>
        <v>488.1667918858</v>
      </c>
      <c r="AE40" s="72" t="n">
        <f aca="false">AE29*'Assumption Setting'!$K$26</f>
        <v>488.1667918858</v>
      </c>
      <c r="AF40" s="72" t="n">
        <f aca="false">AF29*'Assumption Setting'!$K$26</f>
        <v>488.1667918858</v>
      </c>
      <c r="AG40" s="72" t="n">
        <f aca="false">AG29*'Assumption Setting'!$K$26</f>
        <v>488.1667918858</v>
      </c>
      <c r="AH40" s="72" t="n">
        <f aca="false">AH29*'Assumption Setting'!$K$26</f>
        <v>488.1667918858</v>
      </c>
      <c r="AI40" s="72" t="n">
        <f aca="false">AI29*'Assumption Setting'!$K$26</f>
        <v>488.1667918858</v>
      </c>
      <c r="AJ40" s="72" t="n">
        <f aca="false">AJ29*'Assumption Setting'!$K$26</f>
        <v>488.1667918858</v>
      </c>
      <c r="AK40" s="72" t="n">
        <f aca="false">AK29*'Assumption Setting'!$K$26</f>
        <v>488.1667918858</v>
      </c>
      <c r="AL40" s="72" t="n">
        <f aca="false">AL29*'Assumption Setting'!$K$26</f>
        <v>488.1667918858</v>
      </c>
      <c r="AM40" s="72" t="n">
        <f aca="false">AM29*'Assumption Setting'!$K$26</f>
        <v>488.1667918858</v>
      </c>
      <c r="AN40" s="72" t="n">
        <f aca="false">AN29*'Assumption Setting'!$K$26</f>
        <v>488.1667918858</v>
      </c>
      <c r="AO40" s="69" t="n">
        <f aca="false">SUM(AP40:BA40)</f>
        <v>7640.87152516905</v>
      </c>
      <c r="AP40" s="72" t="n">
        <f aca="false">AP29*'Assumption Setting'!$K$26</f>
        <v>636.739293764087</v>
      </c>
      <c r="AQ40" s="72" t="n">
        <f aca="false">AQ29*'Assumption Setting'!$K$26</f>
        <v>636.739293764087</v>
      </c>
      <c r="AR40" s="72" t="n">
        <f aca="false">AR29*'Assumption Setting'!$K$26</f>
        <v>636.739293764087</v>
      </c>
      <c r="AS40" s="72" t="n">
        <f aca="false">AS29*'Assumption Setting'!$K$26</f>
        <v>636.739293764087</v>
      </c>
      <c r="AT40" s="72" t="n">
        <f aca="false">AT29*'Assumption Setting'!$K$26</f>
        <v>636.739293764087</v>
      </c>
      <c r="AU40" s="72" t="n">
        <f aca="false">AU29*'Assumption Setting'!$K$26</f>
        <v>636.739293764087</v>
      </c>
      <c r="AV40" s="72" t="n">
        <f aca="false">AV29*'Assumption Setting'!$K$26</f>
        <v>636.739293764087</v>
      </c>
      <c r="AW40" s="72" t="n">
        <f aca="false">AW29*'Assumption Setting'!$K$26</f>
        <v>636.739293764087</v>
      </c>
      <c r="AX40" s="72" t="n">
        <f aca="false">AX29*'Assumption Setting'!$K$26</f>
        <v>636.739293764087</v>
      </c>
      <c r="AY40" s="72" t="n">
        <f aca="false">AY29*'Assumption Setting'!$K$26</f>
        <v>636.739293764087</v>
      </c>
      <c r="AZ40" s="72" t="n">
        <f aca="false">AZ29*'Assumption Setting'!$K$26</f>
        <v>636.739293764087</v>
      </c>
      <c r="BA40" s="72" t="n">
        <f aca="false">BA29*'Assumption Setting'!$K$26</f>
        <v>636.739293764087</v>
      </c>
      <c r="BB40" s="69" t="n">
        <f aca="false">SUM(BC40:BN40)</f>
        <v>9051.1701262333</v>
      </c>
      <c r="BC40" s="72" t="n">
        <f aca="false">BC29*'Assumption Setting'!$K$26</f>
        <v>754.264177186108</v>
      </c>
      <c r="BD40" s="72" t="n">
        <f aca="false">BD29*'Assumption Setting'!$K$26</f>
        <v>754.264177186108</v>
      </c>
      <c r="BE40" s="72" t="n">
        <f aca="false">BE29*'Assumption Setting'!$K$26</f>
        <v>754.264177186108</v>
      </c>
      <c r="BF40" s="72" t="n">
        <f aca="false">BF29*'Assumption Setting'!$K$26</f>
        <v>754.264177186108</v>
      </c>
      <c r="BG40" s="72" t="n">
        <f aca="false">BG29*'Assumption Setting'!$K$26</f>
        <v>754.264177186108</v>
      </c>
      <c r="BH40" s="72" t="n">
        <f aca="false">BH29*'Assumption Setting'!$K$26</f>
        <v>754.264177186108</v>
      </c>
      <c r="BI40" s="72" t="n">
        <f aca="false">BI29*'Assumption Setting'!$K$26</f>
        <v>754.264177186108</v>
      </c>
      <c r="BJ40" s="72" t="n">
        <f aca="false">BJ29*'Assumption Setting'!$K$26</f>
        <v>754.264177186108</v>
      </c>
      <c r="BK40" s="72" t="n">
        <f aca="false">BK29*'Assumption Setting'!$K$26</f>
        <v>754.264177186108</v>
      </c>
      <c r="BL40" s="72" t="n">
        <f aca="false">BL29*'Assumption Setting'!$K$26</f>
        <v>754.264177186108</v>
      </c>
      <c r="BM40" s="72" t="n">
        <f aca="false">BM29*'Assumption Setting'!$K$26</f>
        <v>754.264177186108</v>
      </c>
      <c r="BN40" s="72" t="n">
        <f aca="false">BN29*'Assumption Setting'!$K$26</f>
        <v>754.264177186108</v>
      </c>
    </row>
    <row r="41" customFormat="false" ht="15" hidden="false" customHeight="false" outlineLevel="0" collapsed="false">
      <c r="A41" s="4" t="s">
        <v>357</v>
      </c>
      <c r="B41" s="69" t="n">
        <f aca="false">SUM(C41:N41)</f>
        <v>1167.6</v>
      </c>
      <c r="C41" s="72" t="n">
        <f aca="false">C30*'Assumption Setting'!$K$27</f>
        <v>97.3</v>
      </c>
      <c r="D41" s="72" t="n">
        <f aca="false">D30*'Assumption Setting'!$K$27</f>
        <v>97.3</v>
      </c>
      <c r="E41" s="72" t="n">
        <f aca="false">E30*'Assumption Setting'!$K$27</f>
        <v>97.3</v>
      </c>
      <c r="F41" s="72" t="n">
        <f aca="false">F30*'Assumption Setting'!$K$27</f>
        <v>97.3</v>
      </c>
      <c r="G41" s="72" t="n">
        <f aca="false">G30*'Assumption Setting'!$K$27</f>
        <v>97.3</v>
      </c>
      <c r="H41" s="72" t="n">
        <f aca="false">H30*'Assumption Setting'!$K$27</f>
        <v>97.3</v>
      </c>
      <c r="I41" s="72" t="n">
        <f aca="false">I30*'Assumption Setting'!$K$27</f>
        <v>97.3</v>
      </c>
      <c r="J41" s="72" t="n">
        <f aca="false">J30*'Assumption Setting'!$K$27</f>
        <v>97.3</v>
      </c>
      <c r="K41" s="72" t="n">
        <f aca="false">K30*'Assumption Setting'!$K$27</f>
        <v>97.3</v>
      </c>
      <c r="L41" s="72" t="n">
        <f aca="false">L30*'Assumption Setting'!$K$27</f>
        <v>97.3</v>
      </c>
      <c r="M41" s="72" t="n">
        <f aca="false">M30*'Assumption Setting'!$K$27</f>
        <v>97.3</v>
      </c>
      <c r="N41" s="72" t="n">
        <f aca="false">N30*'Assumption Setting'!$K$27</f>
        <v>97.3</v>
      </c>
      <c r="O41" s="69" t="n">
        <f aca="false">SUM(P41:AA41)</f>
        <v>2476.72727272727</v>
      </c>
      <c r="P41" s="72" t="n">
        <f aca="false">P30*'Assumption Setting'!$K$27</f>
        <v>206.393939393939</v>
      </c>
      <c r="Q41" s="72" t="n">
        <f aca="false">Q30*'Assumption Setting'!$K$27</f>
        <v>206.393939393939</v>
      </c>
      <c r="R41" s="72" t="n">
        <f aca="false">R30*'Assumption Setting'!$K$27</f>
        <v>206.393939393939</v>
      </c>
      <c r="S41" s="72" t="n">
        <f aca="false">S30*'Assumption Setting'!$K$27</f>
        <v>206.393939393939</v>
      </c>
      <c r="T41" s="72" t="n">
        <f aca="false">T30*'Assumption Setting'!$K$27</f>
        <v>206.393939393939</v>
      </c>
      <c r="U41" s="72" t="n">
        <f aca="false">U30*'Assumption Setting'!$K$27</f>
        <v>206.393939393939</v>
      </c>
      <c r="V41" s="72" t="n">
        <f aca="false">V30*'Assumption Setting'!$K$27</f>
        <v>206.393939393939</v>
      </c>
      <c r="W41" s="72" t="n">
        <f aca="false">W30*'Assumption Setting'!$K$27</f>
        <v>206.393939393939</v>
      </c>
      <c r="X41" s="72" t="n">
        <f aca="false">X30*'Assumption Setting'!$K$27</f>
        <v>206.393939393939</v>
      </c>
      <c r="Y41" s="72" t="n">
        <f aca="false">Y30*'Assumption Setting'!$K$27</f>
        <v>206.393939393939</v>
      </c>
      <c r="Z41" s="72" t="n">
        <f aca="false">Z30*'Assumption Setting'!$K$27</f>
        <v>206.393939393939</v>
      </c>
      <c r="AA41" s="72" t="n">
        <f aca="false">AA30*'Assumption Setting'!$K$27</f>
        <v>206.393939393939</v>
      </c>
      <c r="AB41" s="69" t="n">
        <f aca="false">SUM(AC41:AN41)</f>
        <v>4181.48760330579</v>
      </c>
      <c r="AC41" s="72" t="n">
        <f aca="false">AC30*'Assumption Setting'!$K$27</f>
        <v>348.457300275482</v>
      </c>
      <c r="AD41" s="72" t="n">
        <f aca="false">AD30*'Assumption Setting'!$K$27</f>
        <v>348.457300275482</v>
      </c>
      <c r="AE41" s="72" t="n">
        <f aca="false">AE30*'Assumption Setting'!$K$27</f>
        <v>348.457300275482</v>
      </c>
      <c r="AF41" s="72" t="n">
        <f aca="false">AF30*'Assumption Setting'!$K$27</f>
        <v>348.457300275482</v>
      </c>
      <c r="AG41" s="72" t="n">
        <f aca="false">AG30*'Assumption Setting'!$K$27</f>
        <v>348.457300275482</v>
      </c>
      <c r="AH41" s="72" t="n">
        <f aca="false">AH30*'Assumption Setting'!$K$27</f>
        <v>348.457300275482</v>
      </c>
      <c r="AI41" s="72" t="n">
        <f aca="false">AI30*'Assumption Setting'!$K$27</f>
        <v>348.457300275482</v>
      </c>
      <c r="AJ41" s="72" t="n">
        <f aca="false">AJ30*'Assumption Setting'!$K$27</f>
        <v>348.457300275482</v>
      </c>
      <c r="AK41" s="72" t="n">
        <f aca="false">AK30*'Assumption Setting'!$K$27</f>
        <v>348.457300275482</v>
      </c>
      <c r="AL41" s="72" t="n">
        <f aca="false">AL30*'Assumption Setting'!$K$27</f>
        <v>348.457300275482</v>
      </c>
      <c r="AM41" s="72" t="n">
        <f aca="false">AM30*'Assumption Setting'!$K$27</f>
        <v>348.457300275482</v>
      </c>
      <c r="AN41" s="72" t="n">
        <f aca="false">AN30*'Assumption Setting'!$K$27</f>
        <v>348.457300275482</v>
      </c>
      <c r="AO41" s="69" t="n">
        <f aca="false">SUM(AP41:BA41)</f>
        <v>5555.82268970699</v>
      </c>
      <c r="AP41" s="72" t="n">
        <f aca="false">AP30*'Assumption Setting'!$K$27</f>
        <v>462.985224142249</v>
      </c>
      <c r="AQ41" s="72" t="n">
        <f aca="false">AQ30*'Assumption Setting'!$K$27</f>
        <v>462.985224142249</v>
      </c>
      <c r="AR41" s="72" t="n">
        <f aca="false">AR30*'Assumption Setting'!$K$27</f>
        <v>462.985224142249</v>
      </c>
      <c r="AS41" s="72" t="n">
        <f aca="false">AS30*'Assumption Setting'!$K$27</f>
        <v>462.985224142249</v>
      </c>
      <c r="AT41" s="72" t="n">
        <f aca="false">AT30*'Assumption Setting'!$K$27</f>
        <v>462.985224142249</v>
      </c>
      <c r="AU41" s="72" t="n">
        <f aca="false">AU30*'Assumption Setting'!$K$27</f>
        <v>462.985224142249</v>
      </c>
      <c r="AV41" s="72" t="n">
        <f aca="false">AV30*'Assumption Setting'!$K$27</f>
        <v>462.985224142249</v>
      </c>
      <c r="AW41" s="72" t="n">
        <f aca="false">AW30*'Assumption Setting'!$K$27</f>
        <v>462.985224142249</v>
      </c>
      <c r="AX41" s="72" t="n">
        <f aca="false">AX30*'Assumption Setting'!$K$27</f>
        <v>462.985224142249</v>
      </c>
      <c r="AY41" s="72" t="n">
        <f aca="false">AY30*'Assumption Setting'!$K$27</f>
        <v>462.985224142249</v>
      </c>
      <c r="AZ41" s="72" t="n">
        <f aca="false">AZ30*'Assumption Setting'!$K$27</f>
        <v>462.985224142249</v>
      </c>
      <c r="BA41" s="72" t="n">
        <f aca="false">BA30*'Assumption Setting'!$K$27</f>
        <v>462.985224142249</v>
      </c>
      <c r="BB41" s="69" t="n">
        <f aca="false">SUM(BC41:BN41)</f>
        <v>6379.89208387405</v>
      </c>
      <c r="BC41" s="72" t="n">
        <f aca="false">BC30*'Assumption Setting'!$K$27</f>
        <v>531.657673656171</v>
      </c>
      <c r="BD41" s="72" t="n">
        <f aca="false">BD30*'Assumption Setting'!$K$27</f>
        <v>531.657673656171</v>
      </c>
      <c r="BE41" s="72" t="n">
        <f aca="false">BE30*'Assumption Setting'!$K$27</f>
        <v>531.657673656171</v>
      </c>
      <c r="BF41" s="72" t="n">
        <f aca="false">BF30*'Assumption Setting'!$K$27</f>
        <v>531.657673656171</v>
      </c>
      <c r="BG41" s="72" t="n">
        <f aca="false">BG30*'Assumption Setting'!$K$27</f>
        <v>531.657673656171</v>
      </c>
      <c r="BH41" s="72" t="n">
        <f aca="false">BH30*'Assumption Setting'!$K$27</f>
        <v>531.657673656171</v>
      </c>
      <c r="BI41" s="72" t="n">
        <f aca="false">BI30*'Assumption Setting'!$K$27</f>
        <v>531.657673656171</v>
      </c>
      <c r="BJ41" s="72" t="n">
        <f aca="false">BJ30*'Assumption Setting'!$K$27</f>
        <v>531.657673656171</v>
      </c>
      <c r="BK41" s="72" t="n">
        <f aca="false">BK30*'Assumption Setting'!$K$27</f>
        <v>531.657673656171</v>
      </c>
      <c r="BL41" s="72" t="n">
        <f aca="false">BL30*'Assumption Setting'!$K$27</f>
        <v>531.657673656171</v>
      </c>
      <c r="BM41" s="72" t="n">
        <f aca="false">BM30*'Assumption Setting'!$K$27</f>
        <v>531.657673656171</v>
      </c>
      <c r="BN41" s="72" t="n">
        <f aca="false">BN30*'Assumption Setting'!$K$27</f>
        <v>531.657673656171</v>
      </c>
    </row>
    <row r="42" customFormat="false" ht="15" hidden="false" customHeight="false" outlineLevel="0" collapsed="false">
      <c r="A42" s="4" t="s">
        <v>358</v>
      </c>
      <c r="B42" s="69" t="n">
        <f aca="false">SUM(C42:N42)</f>
        <v>1272</v>
      </c>
      <c r="C42" s="72" t="n">
        <f aca="false">C31*'Assumption Setting'!$K$28</f>
        <v>106</v>
      </c>
      <c r="D42" s="72" t="n">
        <f aca="false">D31*'Assumption Setting'!$K$28</f>
        <v>106</v>
      </c>
      <c r="E42" s="72" t="n">
        <f aca="false">E31*'Assumption Setting'!$K$28</f>
        <v>106</v>
      </c>
      <c r="F42" s="72" t="n">
        <f aca="false">F31*'Assumption Setting'!$K$28</f>
        <v>106</v>
      </c>
      <c r="G42" s="72" t="n">
        <f aca="false">G31*'Assumption Setting'!$K$28</f>
        <v>106</v>
      </c>
      <c r="H42" s="72" t="n">
        <f aca="false">H31*'Assumption Setting'!$K$28</f>
        <v>106</v>
      </c>
      <c r="I42" s="72" t="n">
        <f aca="false">I31*'Assumption Setting'!$K$28</f>
        <v>106</v>
      </c>
      <c r="J42" s="72" t="n">
        <f aca="false">J31*'Assumption Setting'!$K$28</f>
        <v>106</v>
      </c>
      <c r="K42" s="72" t="n">
        <f aca="false">K31*'Assumption Setting'!$K$28</f>
        <v>106</v>
      </c>
      <c r="L42" s="72" t="n">
        <f aca="false">L31*'Assumption Setting'!$K$28</f>
        <v>106</v>
      </c>
      <c r="M42" s="72" t="n">
        <f aca="false">M31*'Assumption Setting'!$K$28</f>
        <v>106</v>
      </c>
      <c r="N42" s="72" t="n">
        <f aca="false">N31*'Assumption Setting'!$K$28</f>
        <v>106</v>
      </c>
      <c r="O42" s="69" t="n">
        <f aca="false">SUM(P42:AA42)</f>
        <v>2601.81818181818</v>
      </c>
      <c r="P42" s="72" t="n">
        <f aca="false">P31*'Assumption Setting'!$K$28</f>
        <v>216.818181818182</v>
      </c>
      <c r="Q42" s="72" t="n">
        <f aca="false">Q31*'Assumption Setting'!$K$28</f>
        <v>216.818181818182</v>
      </c>
      <c r="R42" s="72" t="n">
        <f aca="false">R31*'Assumption Setting'!$K$28</f>
        <v>216.818181818182</v>
      </c>
      <c r="S42" s="72" t="n">
        <f aca="false">S31*'Assumption Setting'!$K$28</f>
        <v>216.818181818182</v>
      </c>
      <c r="T42" s="72" t="n">
        <f aca="false">T31*'Assumption Setting'!$K$28</f>
        <v>216.818181818182</v>
      </c>
      <c r="U42" s="72" t="n">
        <f aca="false">U31*'Assumption Setting'!$K$28</f>
        <v>216.818181818182</v>
      </c>
      <c r="V42" s="72" t="n">
        <f aca="false">V31*'Assumption Setting'!$K$28</f>
        <v>216.818181818182</v>
      </c>
      <c r="W42" s="72" t="n">
        <f aca="false">W31*'Assumption Setting'!$K$28</f>
        <v>216.818181818182</v>
      </c>
      <c r="X42" s="72" t="n">
        <f aca="false">X31*'Assumption Setting'!$K$28</f>
        <v>216.818181818182</v>
      </c>
      <c r="Y42" s="72" t="n">
        <f aca="false">Y31*'Assumption Setting'!$K$28</f>
        <v>216.818181818182</v>
      </c>
      <c r="Z42" s="72" t="n">
        <f aca="false">Z31*'Assumption Setting'!$K$28</f>
        <v>216.818181818182</v>
      </c>
      <c r="AA42" s="72" t="n">
        <f aca="false">AA31*'Assumption Setting'!$K$28</f>
        <v>216.818181818182</v>
      </c>
      <c r="AB42" s="69" t="n">
        <f aca="false">SUM(AC42:AN42)</f>
        <v>4204.95867768595</v>
      </c>
      <c r="AC42" s="72" t="n">
        <f aca="false">AC31*'Assumption Setting'!$K$28</f>
        <v>350.413223140496</v>
      </c>
      <c r="AD42" s="72" t="n">
        <f aca="false">AD31*'Assumption Setting'!$K$28</f>
        <v>350.413223140496</v>
      </c>
      <c r="AE42" s="72" t="n">
        <f aca="false">AE31*'Assumption Setting'!$K$28</f>
        <v>350.413223140496</v>
      </c>
      <c r="AF42" s="72" t="n">
        <f aca="false">AF31*'Assumption Setting'!$K$28</f>
        <v>350.413223140496</v>
      </c>
      <c r="AG42" s="72" t="n">
        <f aca="false">AG31*'Assumption Setting'!$K$28</f>
        <v>350.413223140496</v>
      </c>
      <c r="AH42" s="72" t="n">
        <f aca="false">AH31*'Assumption Setting'!$K$28</f>
        <v>350.413223140496</v>
      </c>
      <c r="AI42" s="72" t="n">
        <f aca="false">AI31*'Assumption Setting'!$K$28</f>
        <v>350.413223140496</v>
      </c>
      <c r="AJ42" s="72" t="n">
        <f aca="false">AJ31*'Assumption Setting'!$K$28</f>
        <v>350.413223140496</v>
      </c>
      <c r="AK42" s="72" t="n">
        <f aca="false">AK31*'Assumption Setting'!$K$28</f>
        <v>350.413223140496</v>
      </c>
      <c r="AL42" s="72" t="n">
        <f aca="false">AL31*'Assumption Setting'!$K$28</f>
        <v>350.413223140496</v>
      </c>
      <c r="AM42" s="72" t="n">
        <f aca="false">AM31*'Assumption Setting'!$K$28</f>
        <v>350.413223140496</v>
      </c>
      <c r="AN42" s="72" t="n">
        <f aca="false">AN31*'Assumption Setting'!$K$28</f>
        <v>350.413223140496</v>
      </c>
      <c r="AO42" s="69" t="n">
        <f aca="false">SUM(AP42:BA42)</f>
        <v>5256.19834710744</v>
      </c>
      <c r="AP42" s="72" t="n">
        <f aca="false">AP31*'Assumption Setting'!$K$28</f>
        <v>438.01652892562</v>
      </c>
      <c r="AQ42" s="72" t="n">
        <f aca="false">AQ31*'Assumption Setting'!$K$28</f>
        <v>438.01652892562</v>
      </c>
      <c r="AR42" s="72" t="n">
        <f aca="false">AR31*'Assumption Setting'!$K$28</f>
        <v>438.01652892562</v>
      </c>
      <c r="AS42" s="72" t="n">
        <f aca="false">AS31*'Assumption Setting'!$K$28</f>
        <v>438.01652892562</v>
      </c>
      <c r="AT42" s="72" t="n">
        <f aca="false">AT31*'Assumption Setting'!$K$28</f>
        <v>438.01652892562</v>
      </c>
      <c r="AU42" s="72" t="n">
        <f aca="false">AU31*'Assumption Setting'!$K$28</f>
        <v>438.01652892562</v>
      </c>
      <c r="AV42" s="72" t="n">
        <f aca="false">AV31*'Assumption Setting'!$K$28</f>
        <v>438.01652892562</v>
      </c>
      <c r="AW42" s="72" t="n">
        <f aca="false">AW31*'Assumption Setting'!$K$28</f>
        <v>438.01652892562</v>
      </c>
      <c r="AX42" s="72" t="n">
        <f aca="false">AX31*'Assumption Setting'!$K$28</f>
        <v>438.01652892562</v>
      </c>
      <c r="AY42" s="72" t="n">
        <f aca="false">AY31*'Assumption Setting'!$K$28</f>
        <v>438.01652892562</v>
      </c>
      <c r="AZ42" s="72" t="n">
        <f aca="false">AZ31*'Assumption Setting'!$K$28</f>
        <v>438.01652892562</v>
      </c>
      <c r="BA42" s="72" t="n">
        <f aca="false">BA31*'Assumption Setting'!$K$28</f>
        <v>438.01652892562</v>
      </c>
      <c r="BB42" s="69" t="n">
        <f aca="false">SUM(BC42:BN42)</f>
        <v>6081.55180657059</v>
      </c>
      <c r="BC42" s="72" t="n">
        <f aca="false">BC31*'Assumption Setting'!$K$28</f>
        <v>506.795983880882</v>
      </c>
      <c r="BD42" s="72" t="n">
        <f aca="false">BD31*'Assumption Setting'!$K$28</f>
        <v>506.795983880882</v>
      </c>
      <c r="BE42" s="72" t="n">
        <f aca="false">BE31*'Assumption Setting'!$K$28</f>
        <v>506.795983880882</v>
      </c>
      <c r="BF42" s="72" t="n">
        <f aca="false">BF31*'Assumption Setting'!$K$28</f>
        <v>506.795983880882</v>
      </c>
      <c r="BG42" s="72" t="n">
        <f aca="false">BG31*'Assumption Setting'!$K$28</f>
        <v>506.795983880882</v>
      </c>
      <c r="BH42" s="72" t="n">
        <f aca="false">BH31*'Assumption Setting'!$K$28</f>
        <v>506.795983880882</v>
      </c>
      <c r="BI42" s="72" t="n">
        <f aca="false">BI31*'Assumption Setting'!$K$28</f>
        <v>506.795983880882</v>
      </c>
      <c r="BJ42" s="72" t="n">
        <f aca="false">BJ31*'Assumption Setting'!$K$28</f>
        <v>506.795983880882</v>
      </c>
      <c r="BK42" s="72" t="n">
        <f aca="false">BK31*'Assumption Setting'!$K$28</f>
        <v>506.795983880882</v>
      </c>
      <c r="BL42" s="72" t="n">
        <f aca="false">BL31*'Assumption Setting'!$K$28</f>
        <v>506.795983880882</v>
      </c>
      <c r="BM42" s="72" t="n">
        <f aca="false">BM31*'Assumption Setting'!$K$28</f>
        <v>506.795983880882</v>
      </c>
      <c r="BN42" s="72" t="n">
        <f aca="false">BN31*'Assumption Setting'!$K$28</f>
        <v>506.795983880882</v>
      </c>
    </row>
    <row r="43" customFormat="false" ht="15" hidden="false" customHeight="false" outlineLevel="0" collapsed="false">
      <c r="A43" s="4" t="s">
        <v>359</v>
      </c>
      <c r="B43" s="69" t="n">
        <f aca="false">SUM(C43:N43)</f>
        <v>1349.46</v>
      </c>
      <c r="C43" s="72" t="n">
        <f aca="false">C32*'Assumption Setting'!$K$29</f>
        <v>112.455</v>
      </c>
      <c r="D43" s="72" t="n">
        <f aca="false">D32*'Assumption Setting'!$K$29</f>
        <v>112.455</v>
      </c>
      <c r="E43" s="72" t="n">
        <f aca="false">E32*'Assumption Setting'!$K$29</f>
        <v>112.455</v>
      </c>
      <c r="F43" s="72" t="n">
        <f aca="false">F32*'Assumption Setting'!$K$29</f>
        <v>112.455</v>
      </c>
      <c r="G43" s="72" t="n">
        <f aca="false">G32*'Assumption Setting'!$K$29</f>
        <v>112.455</v>
      </c>
      <c r="H43" s="72" t="n">
        <f aca="false">H32*'Assumption Setting'!$K$29</f>
        <v>112.455</v>
      </c>
      <c r="I43" s="72" t="n">
        <f aca="false">I32*'Assumption Setting'!$K$29</f>
        <v>112.455</v>
      </c>
      <c r="J43" s="72" t="n">
        <f aca="false">J32*'Assumption Setting'!$K$29</f>
        <v>112.455</v>
      </c>
      <c r="K43" s="72" t="n">
        <f aca="false">K32*'Assumption Setting'!$K$29</f>
        <v>112.455</v>
      </c>
      <c r="L43" s="72" t="n">
        <f aca="false">L32*'Assumption Setting'!$K$29</f>
        <v>112.455</v>
      </c>
      <c r="M43" s="72" t="n">
        <f aca="false">M32*'Assumption Setting'!$K$29</f>
        <v>112.455</v>
      </c>
      <c r="N43" s="72" t="n">
        <f aca="false">N32*'Assumption Setting'!$K$29</f>
        <v>112.455</v>
      </c>
      <c r="O43" s="69" t="n">
        <f aca="false">SUM(P43:AA43)</f>
        <v>2209.09090909091</v>
      </c>
      <c r="P43" s="72" t="n">
        <f aca="false">P32*'Assumption Setting'!$K$29</f>
        <v>184.090909090909</v>
      </c>
      <c r="Q43" s="72" t="n">
        <f aca="false">Q32*'Assumption Setting'!$K$29</f>
        <v>184.090909090909</v>
      </c>
      <c r="R43" s="72" t="n">
        <f aca="false">R32*'Assumption Setting'!$K$29</f>
        <v>184.090909090909</v>
      </c>
      <c r="S43" s="72" t="n">
        <f aca="false">S32*'Assumption Setting'!$K$29</f>
        <v>184.090909090909</v>
      </c>
      <c r="T43" s="72" t="n">
        <f aca="false">T32*'Assumption Setting'!$K$29</f>
        <v>184.090909090909</v>
      </c>
      <c r="U43" s="72" t="n">
        <f aca="false">U32*'Assumption Setting'!$K$29</f>
        <v>184.090909090909</v>
      </c>
      <c r="V43" s="72" t="n">
        <f aca="false">V32*'Assumption Setting'!$K$29</f>
        <v>184.090909090909</v>
      </c>
      <c r="W43" s="72" t="n">
        <f aca="false">W32*'Assumption Setting'!$K$29</f>
        <v>184.090909090909</v>
      </c>
      <c r="X43" s="72" t="n">
        <f aca="false">X32*'Assumption Setting'!$K$29</f>
        <v>184.090909090909</v>
      </c>
      <c r="Y43" s="72" t="n">
        <f aca="false">Y32*'Assumption Setting'!$K$29</f>
        <v>184.090909090909</v>
      </c>
      <c r="Z43" s="72" t="n">
        <f aca="false">Z32*'Assumption Setting'!$K$29</f>
        <v>184.090909090909</v>
      </c>
      <c r="AA43" s="72" t="n">
        <f aca="false">AA32*'Assumption Setting'!$K$29</f>
        <v>184.090909090909</v>
      </c>
      <c r="AB43" s="69" t="n">
        <f aca="false">SUM(AC43:AN43)</f>
        <v>3213.22314049587</v>
      </c>
      <c r="AC43" s="72" t="n">
        <f aca="false">AC32*'Assumption Setting'!$K$29</f>
        <v>267.768595041322</v>
      </c>
      <c r="AD43" s="72" t="n">
        <f aca="false">AD32*'Assumption Setting'!$K$29</f>
        <v>267.768595041322</v>
      </c>
      <c r="AE43" s="72" t="n">
        <f aca="false">AE32*'Assumption Setting'!$K$29</f>
        <v>267.768595041322</v>
      </c>
      <c r="AF43" s="72" t="n">
        <f aca="false">AF32*'Assumption Setting'!$K$29</f>
        <v>267.768595041322</v>
      </c>
      <c r="AG43" s="72" t="n">
        <f aca="false">AG32*'Assumption Setting'!$K$29</f>
        <v>267.768595041322</v>
      </c>
      <c r="AH43" s="72" t="n">
        <f aca="false">AH32*'Assumption Setting'!$K$29</f>
        <v>267.768595041322</v>
      </c>
      <c r="AI43" s="72" t="n">
        <f aca="false">AI32*'Assumption Setting'!$K$29</f>
        <v>267.768595041322</v>
      </c>
      <c r="AJ43" s="72" t="n">
        <f aca="false">AJ32*'Assumption Setting'!$K$29</f>
        <v>267.768595041322</v>
      </c>
      <c r="AK43" s="72" t="n">
        <f aca="false">AK32*'Assumption Setting'!$K$29</f>
        <v>267.768595041322</v>
      </c>
      <c r="AL43" s="72" t="n">
        <f aca="false">AL32*'Assumption Setting'!$K$29</f>
        <v>267.768595041322</v>
      </c>
      <c r="AM43" s="72" t="n">
        <f aca="false">AM32*'Assumption Setting'!$K$29</f>
        <v>267.768595041322</v>
      </c>
      <c r="AN43" s="72" t="n">
        <f aca="false">AN32*'Assumption Setting'!$K$29</f>
        <v>267.768595041322</v>
      </c>
      <c r="AO43" s="69" t="n">
        <f aca="false">SUM(AP43:BA43)</f>
        <v>3894.81592787378</v>
      </c>
      <c r="AP43" s="72" t="n">
        <f aca="false">AP32*'Assumption Setting'!$K$29</f>
        <v>324.567993989482</v>
      </c>
      <c r="AQ43" s="72" t="n">
        <f aca="false">AQ32*'Assumption Setting'!$K$29</f>
        <v>324.567993989482</v>
      </c>
      <c r="AR43" s="72" t="n">
        <f aca="false">AR32*'Assumption Setting'!$K$29</f>
        <v>324.567993989482</v>
      </c>
      <c r="AS43" s="72" t="n">
        <f aca="false">AS32*'Assumption Setting'!$K$29</f>
        <v>324.567993989482</v>
      </c>
      <c r="AT43" s="72" t="n">
        <f aca="false">AT32*'Assumption Setting'!$K$29</f>
        <v>324.567993989482</v>
      </c>
      <c r="AU43" s="72" t="n">
        <f aca="false">AU32*'Assumption Setting'!$K$29</f>
        <v>324.567993989482</v>
      </c>
      <c r="AV43" s="72" t="n">
        <f aca="false">AV32*'Assumption Setting'!$K$29</f>
        <v>324.567993989482</v>
      </c>
      <c r="AW43" s="72" t="n">
        <f aca="false">AW32*'Assumption Setting'!$K$29</f>
        <v>324.567993989482</v>
      </c>
      <c r="AX43" s="72" t="n">
        <f aca="false">AX32*'Assumption Setting'!$K$29</f>
        <v>324.567993989482</v>
      </c>
      <c r="AY43" s="72" t="n">
        <f aca="false">AY32*'Assumption Setting'!$K$29</f>
        <v>324.567993989482</v>
      </c>
      <c r="AZ43" s="72" t="n">
        <f aca="false">AZ32*'Assumption Setting'!$K$29</f>
        <v>324.567993989482</v>
      </c>
      <c r="BA43" s="72" t="n">
        <f aca="false">BA32*'Assumption Setting'!$K$29</f>
        <v>324.567993989482</v>
      </c>
      <c r="BB43" s="69" t="n">
        <f aca="false">SUM(BC43:BN43)</f>
        <v>4425.92719076566</v>
      </c>
      <c r="BC43" s="72" t="n">
        <f aca="false">BC32*'Assumption Setting'!$K$29</f>
        <v>368.827265897138</v>
      </c>
      <c r="BD43" s="72" t="n">
        <f aca="false">BD32*'Assumption Setting'!$K$29</f>
        <v>368.827265897138</v>
      </c>
      <c r="BE43" s="72" t="n">
        <f aca="false">BE32*'Assumption Setting'!$K$29</f>
        <v>368.827265897138</v>
      </c>
      <c r="BF43" s="72" t="n">
        <f aca="false">BF32*'Assumption Setting'!$K$29</f>
        <v>368.827265897138</v>
      </c>
      <c r="BG43" s="72" t="n">
        <f aca="false">BG32*'Assumption Setting'!$K$29</f>
        <v>368.827265897138</v>
      </c>
      <c r="BH43" s="72" t="n">
        <f aca="false">BH32*'Assumption Setting'!$K$29</f>
        <v>368.827265897138</v>
      </c>
      <c r="BI43" s="72" t="n">
        <f aca="false">BI32*'Assumption Setting'!$K$29</f>
        <v>368.827265897138</v>
      </c>
      <c r="BJ43" s="72" t="n">
        <f aca="false">BJ32*'Assumption Setting'!$K$29</f>
        <v>368.827265897138</v>
      </c>
      <c r="BK43" s="72" t="n">
        <f aca="false">BK32*'Assumption Setting'!$K$29</f>
        <v>368.827265897138</v>
      </c>
      <c r="BL43" s="72" t="n">
        <f aca="false">BL32*'Assumption Setting'!$K$29</f>
        <v>368.827265897138</v>
      </c>
      <c r="BM43" s="72" t="n">
        <f aca="false">BM32*'Assumption Setting'!$K$29</f>
        <v>368.827265897138</v>
      </c>
      <c r="BN43" s="72" t="n">
        <f aca="false">BN32*'Assumption Setting'!$K$29</f>
        <v>368.827265897138</v>
      </c>
    </row>
    <row r="44" customFormat="false" ht="15" hidden="false" customHeight="false" outlineLevel="0" collapsed="false">
      <c r="A44" s="4" t="s">
        <v>360</v>
      </c>
      <c r="B44" s="69" t="n">
        <f aca="false">SUM(C44:N44)</f>
        <v>1156.48</v>
      </c>
      <c r="C44" s="72" t="n">
        <f aca="false">C33*'Assumption Setting'!$K$30</f>
        <v>96.3733333333333</v>
      </c>
      <c r="D44" s="72" t="n">
        <f aca="false">D33*'Assumption Setting'!$K$30</f>
        <v>96.3733333333333</v>
      </c>
      <c r="E44" s="72" t="n">
        <f aca="false">E33*'Assumption Setting'!$K$30</f>
        <v>96.3733333333333</v>
      </c>
      <c r="F44" s="72" t="n">
        <f aca="false">F33*'Assumption Setting'!$K$30</f>
        <v>96.3733333333333</v>
      </c>
      <c r="G44" s="72" t="n">
        <f aca="false">G33*'Assumption Setting'!$K$30</f>
        <v>96.3733333333333</v>
      </c>
      <c r="H44" s="72" t="n">
        <f aca="false">H33*'Assumption Setting'!$K$30</f>
        <v>96.3733333333333</v>
      </c>
      <c r="I44" s="72" t="n">
        <f aca="false">I33*'Assumption Setting'!$K$30</f>
        <v>96.3733333333333</v>
      </c>
      <c r="J44" s="72" t="n">
        <f aca="false">J33*'Assumption Setting'!$K$30</f>
        <v>96.3733333333333</v>
      </c>
      <c r="K44" s="72" t="n">
        <f aca="false">K33*'Assumption Setting'!$K$30</f>
        <v>96.3733333333333</v>
      </c>
      <c r="L44" s="72" t="n">
        <f aca="false">L33*'Assumption Setting'!$K$30</f>
        <v>96.3733333333333</v>
      </c>
      <c r="M44" s="72" t="n">
        <f aca="false">M33*'Assumption Setting'!$K$30</f>
        <v>96.3733333333333</v>
      </c>
      <c r="N44" s="72" t="n">
        <f aca="false">N33*'Assumption Setting'!$K$30</f>
        <v>96.3733333333333</v>
      </c>
      <c r="O44" s="69" t="n">
        <f aca="false">SUM(P44:AA44)</f>
        <v>2269.09090909091</v>
      </c>
      <c r="P44" s="72" t="n">
        <f aca="false">P33*'Assumption Setting'!$K$30</f>
        <v>189.090909090909</v>
      </c>
      <c r="Q44" s="72" t="n">
        <f aca="false">Q33*'Assumption Setting'!$K$30</f>
        <v>189.090909090909</v>
      </c>
      <c r="R44" s="72" t="n">
        <f aca="false">R33*'Assumption Setting'!$K$30</f>
        <v>189.090909090909</v>
      </c>
      <c r="S44" s="72" t="n">
        <f aca="false">S33*'Assumption Setting'!$K$30</f>
        <v>189.090909090909</v>
      </c>
      <c r="T44" s="72" t="n">
        <f aca="false">T33*'Assumption Setting'!$K$30</f>
        <v>189.090909090909</v>
      </c>
      <c r="U44" s="72" t="n">
        <f aca="false">U33*'Assumption Setting'!$K$30</f>
        <v>189.090909090909</v>
      </c>
      <c r="V44" s="72" t="n">
        <f aca="false">V33*'Assumption Setting'!$K$30</f>
        <v>189.090909090909</v>
      </c>
      <c r="W44" s="72" t="n">
        <f aca="false">W33*'Assumption Setting'!$K$30</f>
        <v>189.090909090909</v>
      </c>
      <c r="X44" s="72" t="n">
        <f aca="false">X33*'Assumption Setting'!$K$30</f>
        <v>189.090909090909</v>
      </c>
      <c r="Y44" s="72" t="n">
        <f aca="false">Y33*'Assumption Setting'!$K$30</f>
        <v>189.090909090909</v>
      </c>
      <c r="Z44" s="72" t="n">
        <f aca="false">Z33*'Assumption Setting'!$K$30</f>
        <v>189.090909090909</v>
      </c>
      <c r="AA44" s="72" t="n">
        <f aca="false">AA33*'Assumption Setting'!$K$30</f>
        <v>189.090909090909</v>
      </c>
      <c r="AB44" s="69" t="n">
        <f aca="false">SUM(AC44:AN44)</f>
        <v>3438.01652892562</v>
      </c>
      <c r="AC44" s="72" t="n">
        <f aca="false">AC33*'Assumption Setting'!$K$30</f>
        <v>286.501377410468</v>
      </c>
      <c r="AD44" s="72" t="n">
        <f aca="false">AD33*'Assumption Setting'!$K$30</f>
        <v>286.501377410468</v>
      </c>
      <c r="AE44" s="72" t="n">
        <f aca="false">AE33*'Assumption Setting'!$K$30</f>
        <v>286.501377410468</v>
      </c>
      <c r="AF44" s="72" t="n">
        <f aca="false">AF33*'Assumption Setting'!$K$30</f>
        <v>286.501377410468</v>
      </c>
      <c r="AG44" s="72" t="n">
        <f aca="false">AG33*'Assumption Setting'!$K$30</f>
        <v>286.501377410468</v>
      </c>
      <c r="AH44" s="72" t="n">
        <f aca="false">AH33*'Assumption Setting'!$K$30</f>
        <v>286.501377410468</v>
      </c>
      <c r="AI44" s="72" t="n">
        <f aca="false">AI33*'Assumption Setting'!$K$30</f>
        <v>286.501377410468</v>
      </c>
      <c r="AJ44" s="72" t="n">
        <f aca="false">AJ33*'Assumption Setting'!$K$30</f>
        <v>286.501377410468</v>
      </c>
      <c r="AK44" s="72" t="n">
        <f aca="false">AK33*'Assumption Setting'!$K$30</f>
        <v>286.501377410468</v>
      </c>
      <c r="AL44" s="72" t="n">
        <f aca="false">AL33*'Assumption Setting'!$K$30</f>
        <v>286.501377410468</v>
      </c>
      <c r="AM44" s="72" t="n">
        <f aca="false">AM33*'Assumption Setting'!$K$30</f>
        <v>286.501377410468</v>
      </c>
      <c r="AN44" s="72" t="n">
        <f aca="false">AN33*'Assumption Setting'!$K$30</f>
        <v>286.501377410468</v>
      </c>
      <c r="AO44" s="69" t="n">
        <f aca="false">SUM(AP44:BA44)</f>
        <v>4375.65740045079</v>
      </c>
      <c r="AP44" s="72" t="n">
        <f aca="false">AP33*'Assumption Setting'!$K$30</f>
        <v>364.638116704232</v>
      </c>
      <c r="AQ44" s="72" t="n">
        <f aca="false">AQ33*'Assumption Setting'!$K$30</f>
        <v>364.638116704232</v>
      </c>
      <c r="AR44" s="72" t="n">
        <f aca="false">AR33*'Assumption Setting'!$K$30</f>
        <v>364.638116704232</v>
      </c>
      <c r="AS44" s="72" t="n">
        <f aca="false">AS33*'Assumption Setting'!$K$30</f>
        <v>364.638116704232</v>
      </c>
      <c r="AT44" s="72" t="n">
        <f aca="false">AT33*'Assumption Setting'!$K$30</f>
        <v>364.638116704232</v>
      </c>
      <c r="AU44" s="72" t="n">
        <f aca="false">AU33*'Assumption Setting'!$K$30</f>
        <v>364.638116704232</v>
      </c>
      <c r="AV44" s="72" t="n">
        <f aca="false">AV33*'Assumption Setting'!$K$30</f>
        <v>364.638116704232</v>
      </c>
      <c r="AW44" s="72" t="n">
        <f aca="false">AW33*'Assumption Setting'!$K$30</f>
        <v>364.638116704232</v>
      </c>
      <c r="AX44" s="72" t="n">
        <f aca="false">AX33*'Assumption Setting'!$K$30</f>
        <v>364.638116704232</v>
      </c>
      <c r="AY44" s="72" t="n">
        <f aca="false">AY33*'Assumption Setting'!$K$30</f>
        <v>364.638116704232</v>
      </c>
      <c r="AZ44" s="72" t="n">
        <f aca="false">AZ33*'Assumption Setting'!$K$30</f>
        <v>364.638116704232</v>
      </c>
      <c r="BA44" s="72" t="n">
        <f aca="false">BA33*'Assumption Setting'!$K$30</f>
        <v>364.638116704232</v>
      </c>
      <c r="BB44" s="69" t="n">
        <f aca="false">SUM(BC44:BN44)</f>
        <v>5114.40475377365</v>
      </c>
      <c r="BC44" s="72" t="n">
        <f aca="false">BC33*'Assumption Setting'!$K$30</f>
        <v>426.200396147804</v>
      </c>
      <c r="BD44" s="72" t="n">
        <f aca="false">BD33*'Assumption Setting'!$K$30</f>
        <v>426.200396147804</v>
      </c>
      <c r="BE44" s="72" t="n">
        <f aca="false">BE33*'Assumption Setting'!$K$30</f>
        <v>426.200396147804</v>
      </c>
      <c r="BF44" s="72" t="n">
        <f aca="false">BF33*'Assumption Setting'!$K$30</f>
        <v>426.200396147804</v>
      </c>
      <c r="BG44" s="72" t="n">
        <f aca="false">BG33*'Assumption Setting'!$K$30</f>
        <v>426.200396147804</v>
      </c>
      <c r="BH44" s="72" t="n">
        <f aca="false">BH33*'Assumption Setting'!$K$30</f>
        <v>426.200396147804</v>
      </c>
      <c r="BI44" s="72" t="n">
        <f aca="false">BI33*'Assumption Setting'!$K$30</f>
        <v>426.200396147804</v>
      </c>
      <c r="BJ44" s="72" t="n">
        <f aca="false">BJ33*'Assumption Setting'!$K$30</f>
        <v>426.200396147804</v>
      </c>
      <c r="BK44" s="72" t="n">
        <f aca="false">BK33*'Assumption Setting'!$K$30</f>
        <v>426.200396147804</v>
      </c>
      <c r="BL44" s="72" t="n">
        <f aca="false">BL33*'Assumption Setting'!$K$30</f>
        <v>426.200396147804</v>
      </c>
      <c r="BM44" s="72" t="n">
        <f aca="false">BM33*'Assumption Setting'!$K$30</f>
        <v>426.200396147804</v>
      </c>
      <c r="BN44" s="72" t="n">
        <f aca="false">BN33*'Assumption Setting'!$K$30</f>
        <v>426.200396147804</v>
      </c>
    </row>
    <row r="45" customFormat="false" ht="15" hidden="false" customHeight="false" outlineLevel="0" collapsed="false">
      <c r="A45" s="4" t="s">
        <v>361</v>
      </c>
      <c r="B45" s="69" t="n">
        <f aca="false">SUM(C45:N45)</f>
        <v>1218</v>
      </c>
      <c r="C45" s="72" t="n">
        <f aca="false">C34*'Assumption Setting'!$K$31</f>
        <v>101.5</v>
      </c>
      <c r="D45" s="72" t="n">
        <f aca="false">D34*'Assumption Setting'!$K$31</f>
        <v>101.5</v>
      </c>
      <c r="E45" s="72" t="n">
        <f aca="false">E34*'Assumption Setting'!$K$31</f>
        <v>101.5</v>
      </c>
      <c r="F45" s="72" t="n">
        <f aca="false">F34*'Assumption Setting'!$K$31</f>
        <v>101.5</v>
      </c>
      <c r="G45" s="72" t="n">
        <f aca="false">G34*'Assumption Setting'!$K$31</f>
        <v>101.5</v>
      </c>
      <c r="H45" s="72" t="n">
        <f aca="false">H34*'Assumption Setting'!$K$31</f>
        <v>101.5</v>
      </c>
      <c r="I45" s="72" t="n">
        <f aca="false">I34*'Assumption Setting'!$K$31</f>
        <v>101.5</v>
      </c>
      <c r="J45" s="72" t="n">
        <f aca="false">J34*'Assumption Setting'!$K$31</f>
        <v>101.5</v>
      </c>
      <c r="K45" s="72" t="n">
        <f aca="false">K34*'Assumption Setting'!$K$31</f>
        <v>101.5</v>
      </c>
      <c r="L45" s="72" t="n">
        <f aca="false">L34*'Assumption Setting'!$K$31</f>
        <v>101.5</v>
      </c>
      <c r="M45" s="72" t="n">
        <f aca="false">M34*'Assumption Setting'!$K$31</f>
        <v>101.5</v>
      </c>
      <c r="N45" s="72" t="n">
        <f aca="false">N34*'Assumption Setting'!$K$31</f>
        <v>101.5</v>
      </c>
      <c r="O45" s="69" t="n">
        <f aca="false">SUM(P45:AA45)</f>
        <v>2399.09090909091</v>
      </c>
      <c r="P45" s="72" t="n">
        <f aca="false">P34*'Assumption Setting'!$K$31</f>
        <v>199.924242424242</v>
      </c>
      <c r="Q45" s="72" t="n">
        <f aca="false">Q34*'Assumption Setting'!$K$31</f>
        <v>199.924242424242</v>
      </c>
      <c r="R45" s="72" t="n">
        <f aca="false">R34*'Assumption Setting'!$K$31</f>
        <v>199.924242424242</v>
      </c>
      <c r="S45" s="72" t="n">
        <f aca="false">S34*'Assumption Setting'!$K$31</f>
        <v>199.924242424242</v>
      </c>
      <c r="T45" s="72" t="n">
        <f aca="false">T34*'Assumption Setting'!$K$31</f>
        <v>199.924242424242</v>
      </c>
      <c r="U45" s="72" t="n">
        <f aca="false">U34*'Assumption Setting'!$K$31</f>
        <v>199.924242424242</v>
      </c>
      <c r="V45" s="72" t="n">
        <f aca="false">V34*'Assumption Setting'!$K$31</f>
        <v>199.924242424242</v>
      </c>
      <c r="W45" s="72" t="n">
        <f aca="false">W34*'Assumption Setting'!$K$31</f>
        <v>199.924242424242</v>
      </c>
      <c r="X45" s="72" t="n">
        <f aca="false">X34*'Assumption Setting'!$K$31</f>
        <v>199.924242424242</v>
      </c>
      <c r="Y45" s="72" t="n">
        <f aca="false">Y34*'Assumption Setting'!$K$31</f>
        <v>199.924242424242</v>
      </c>
      <c r="Z45" s="72" t="n">
        <f aca="false">Z34*'Assumption Setting'!$K$31</f>
        <v>199.924242424242</v>
      </c>
      <c r="AA45" s="72" t="n">
        <f aca="false">AA34*'Assumption Setting'!$K$31</f>
        <v>199.924242424242</v>
      </c>
      <c r="AB45" s="69" t="n">
        <f aca="false">SUM(AC45:AN45)</f>
        <v>3690.90909090909</v>
      </c>
      <c r="AC45" s="72" t="n">
        <f aca="false">AC34*'Assumption Setting'!$K$31</f>
        <v>307.575757575758</v>
      </c>
      <c r="AD45" s="72" t="n">
        <f aca="false">AD34*'Assumption Setting'!$K$31</f>
        <v>307.575757575758</v>
      </c>
      <c r="AE45" s="72" t="n">
        <f aca="false">AE34*'Assumption Setting'!$K$31</f>
        <v>307.575757575758</v>
      </c>
      <c r="AF45" s="72" t="n">
        <f aca="false">AF34*'Assumption Setting'!$K$31</f>
        <v>307.575757575758</v>
      </c>
      <c r="AG45" s="72" t="n">
        <f aca="false">AG34*'Assumption Setting'!$K$31</f>
        <v>307.575757575758</v>
      </c>
      <c r="AH45" s="72" t="n">
        <f aca="false">AH34*'Assumption Setting'!$K$31</f>
        <v>307.575757575758</v>
      </c>
      <c r="AI45" s="72" t="n">
        <f aca="false">AI34*'Assumption Setting'!$K$31</f>
        <v>307.575757575758</v>
      </c>
      <c r="AJ45" s="72" t="n">
        <f aca="false">AJ34*'Assumption Setting'!$K$31</f>
        <v>307.575757575758</v>
      </c>
      <c r="AK45" s="72" t="n">
        <f aca="false">AK34*'Assumption Setting'!$K$31</f>
        <v>307.575757575758</v>
      </c>
      <c r="AL45" s="72" t="n">
        <f aca="false">AL34*'Assumption Setting'!$K$31</f>
        <v>307.575757575758</v>
      </c>
      <c r="AM45" s="72" t="n">
        <f aca="false">AM34*'Assumption Setting'!$K$31</f>
        <v>307.575757575758</v>
      </c>
      <c r="AN45" s="72" t="n">
        <f aca="false">AN34*'Assumption Setting'!$K$31</f>
        <v>307.575757575758</v>
      </c>
      <c r="AO45" s="69" t="n">
        <f aca="false">SUM(AP45:BA45)</f>
        <v>4575.50713749061</v>
      </c>
      <c r="AP45" s="72" t="n">
        <f aca="false">AP34*'Assumption Setting'!$K$31</f>
        <v>381.292261457551</v>
      </c>
      <c r="AQ45" s="72" t="n">
        <f aca="false">AQ34*'Assumption Setting'!$K$31</f>
        <v>381.292261457551</v>
      </c>
      <c r="AR45" s="72" t="n">
        <f aca="false">AR34*'Assumption Setting'!$K$31</f>
        <v>381.292261457551</v>
      </c>
      <c r="AS45" s="72" t="n">
        <f aca="false">AS34*'Assumption Setting'!$K$31</f>
        <v>381.292261457551</v>
      </c>
      <c r="AT45" s="72" t="n">
        <f aca="false">AT34*'Assumption Setting'!$K$31</f>
        <v>381.292261457551</v>
      </c>
      <c r="AU45" s="72" t="n">
        <f aca="false">AU34*'Assumption Setting'!$K$31</f>
        <v>381.292261457551</v>
      </c>
      <c r="AV45" s="72" t="n">
        <f aca="false">AV34*'Assumption Setting'!$K$31</f>
        <v>381.292261457551</v>
      </c>
      <c r="AW45" s="72" t="n">
        <f aca="false">AW34*'Assumption Setting'!$K$31</f>
        <v>381.292261457551</v>
      </c>
      <c r="AX45" s="72" t="n">
        <f aca="false">AX34*'Assumption Setting'!$K$31</f>
        <v>381.292261457551</v>
      </c>
      <c r="AY45" s="72" t="n">
        <f aca="false">AY34*'Assumption Setting'!$K$31</f>
        <v>381.292261457551</v>
      </c>
      <c r="AZ45" s="72" t="n">
        <f aca="false">AZ34*'Assumption Setting'!$K$31</f>
        <v>381.292261457551</v>
      </c>
      <c r="BA45" s="72" t="n">
        <f aca="false">BA34*'Assumption Setting'!$K$31</f>
        <v>381.292261457551</v>
      </c>
      <c r="BB45" s="69" t="n">
        <f aca="false">SUM(BC45:BN45)</f>
        <v>5268.76579468616</v>
      </c>
      <c r="BC45" s="72" t="n">
        <f aca="false">BC34*'Assumption Setting'!$K$31</f>
        <v>439.063816223846</v>
      </c>
      <c r="BD45" s="72" t="n">
        <f aca="false">BD34*'Assumption Setting'!$K$31</f>
        <v>439.063816223846</v>
      </c>
      <c r="BE45" s="72" t="n">
        <f aca="false">BE34*'Assumption Setting'!$K$31</f>
        <v>439.063816223846</v>
      </c>
      <c r="BF45" s="72" t="n">
        <f aca="false">BF34*'Assumption Setting'!$K$31</f>
        <v>439.063816223846</v>
      </c>
      <c r="BG45" s="72" t="n">
        <f aca="false">BG34*'Assumption Setting'!$K$31</f>
        <v>439.063816223846</v>
      </c>
      <c r="BH45" s="72" t="n">
        <f aca="false">BH34*'Assumption Setting'!$K$31</f>
        <v>439.063816223846</v>
      </c>
      <c r="BI45" s="72" t="n">
        <f aca="false">BI34*'Assumption Setting'!$K$31</f>
        <v>439.063816223846</v>
      </c>
      <c r="BJ45" s="72" t="n">
        <f aca="false">BJ34*'Assumption Setting'!$K$31</f>
        <v>439.063816223846</v>
      </c>
      <c r="BK45" s="72" t="n">
        <f aca="false">BK34*'Assumption Setting'!$K$31</f>
        <v>439.063816223846</v>
      </c>
      <c r="BL45" s="72" t="n">
        <f aca="false">BL34*'Assumption Setting'!$K$31</f>
        <v>439.063816223846</v>
      </c>
      <c r="BM45" s="72" t="n">
        <f aca="false">BM34*'Assumption Setting'!$K$31</f>
        <v>439.063816223846</v>
      </c>
      <c r="BN45" s="72" t="n">
        <f aca="false">BN34*'Assumption Setting'!$K$31</f>
        <v>439.063816223846</v>
      </c>
    </row>
    <row r="46" customFormat="false" ht="15" hidden="false" customHeight="false" outlineLevel="0" collapsed="false">
      <c r="A46" s="13" t="s">
        <v>670</v>
      </c>
      <c r="B46" s="69" t="n">
        <f aca="false">SUM(C46:N46)</f>
        <v>10924.2890909091</v>
      </c>
      <c r="C46" s="80" t="n">
        <f aca="false">SUM(C39:C45)</f>
        <v>910.357424242424</v>
      </c>
      <c r="D46" s="80" t="n">
        <f aca="false">SUM(D39:D45)</f>
        <v>910.357424242424</v>
      </c>
      <c r="E46" s="80" t="n">
        <f aca="false">SUM(E39:E45)</f>
        <v>910.357424242424</v>
      </c>
      <c r="F46" s="80" t="n">
        <f aca="false">SUM(F39:F45)</f>
        <v>910.357424242424</v>
      </c>
      <c r="G46" s="80" t="n">
        <f aca="false">SUM(G39:G45)</f>
        <v>910.357424242424</v>
      </c>
      <c r="H46" s="80" t="n">
        <f aca="false">SUM(H39:H45)</f>
        <v>910.357424242424</v>
      </c>
      <c r="I46" s="80" t="n">
        <f aca="false">SUM(I39:I45)</f>
        <v>910.357424242424</v>
      </c>
      <c r="J46" s="80" t="n">
        <f aca="false">SUM(J39:J45)</f>
        <v>910.357424242424</v>
      </c>
      <c r="K46" s="80" t="n">
        <f aca="false">SUM(K39:K45)</f>
        <v>910.357424242424</v>
      </c>
      <c r="L46" s="80" t="n">
        <f aca="false">SUM(L39:L45)</f>
        <v>910.357424242424</v>
      </c>
      <c r="M46" s="80" t="n">
        <f aca="false">SUM(M39:M45)</f>
        <v>910.357424242424</v>
      </c>
      <c r="N46" s="80" t="n">
        <f aca="false">SUM(N39:N45)</f>
        <v>910.357424242424</v>
      </c>
      <c r="O46" s="69" t="n">
        <f aca="false">SUM(P46:AA46)</f>
        <v>22915.7851239669</v>
      </c>
      <c r="P46" s="80" t="n">
        <f aca="false">SUM(P39:P45)</f>
        <v>1909.64876033058</v>
      </c>
      <c r="Q46" s="80" t="n">
        <f aca="false">SUM(Q39:Q45)</f>
        <v>1909.64876033058</v>
      </c>
      <c r="R46" s="80" t="n">
        <f aca="false">SUM(R39:R45)</f>
        <v>1909.64876033058</v>
      </c>
      <c r="S46" s="80" t="n">
        <f aca="false">SUM(S39:S45)</f>
        <v>1909.64876033058</v>
      </c>
      <c r="T46" s="80" t="n">
        <f aca="false">SUM(T39:T45)</f>
        <v>1909.64876033058</v>
      </c>
      <c r="U46" s="80" t="n">
        <f aca="false">SUM(U39:U45)</f>
        <v>1909.64876033058</v>
      </c>
      <c r="V46" s="80" t="n">
        <f aca="false">SUM(V39:V45)</f>
        <v>1909.64876033058</v>
      </c>
      <c r="W46" s="80" t="n">
        <f aca="false">SUM(W39:W45)</f>
        <v>1909.64876033058</v>
      </c>
      <c r="X46" s="80" t="n">
        <f aca="false">SUM(X39:X45)</f>
        <v>1909.64876033058</v>
      </c>
      <c r="Y46" s="80" t="n">
        <f aca="false">SUM(Y39:Y45)</f>
        <v>1909.64876033058</v>
      </c>
      <c r="Z46" s="80" t="n">
        <f aca="false">SUM(Z39:Z45)</f>
        <v>1909.64876033058</v>
      </c>
      <c r="AA46" s="80" t="n">
        <f aca="false">SUM(AA39:AA45)</f>
        <v>1909.64876033058</v>
      </c>
      <c r="AB46" s="69" t="n">
        <f aca="false">SUM(AC46:AN46)</f>
        <v>36561.2081141998</v>
      </c>
      <c r="AC46" s="80" t="n">
        <f aca="false">SUM(AC39:AC45)</f>
        <v>3046.76734284999</v>
      </c>
      <c r="AD46" s="80" t="n">
        <f aca="false">SUM(AD39:AD45)</f>
        <v>3046.76734284999</v>
      </c>
      <c r="AE46" s="80" t="n">
        <f aca="false">SUM(AE39:AE45)</f>
        <v>3046.76734284999</v>
      </c>
      <c r="AF46" s="80" t="n">
        <f aca="false">SUM(AF39:AF45)</f>
        <v>3046.76734284999</v>
      </c>
      <c r="AG46" s="80" t="n">
        <f aca="false">SUM(AG39:AG45)</f>
        <v>3046.76734284999</v>
      </c>
      <c r="AH46" s="80" t="n">
        <f aca="false">SUM(AH39:AH45)</f>
        <v>3046.76734284999</v>
      </c>
      <c r="AI46" s="80" t="n">
        <f aca="false">SUM(AI39:AI45)</f>
        <v>3046.76734284999</v>
      </c>
      <c r="AJ46" s="80" t="n">
        <f aca="false">SUM(AJ39:AJ45)</f>
        <v>3046.76734284999</v>
      </c>
      <c r="AK46" s="80" t="n">
        <f aca="false">SUM(AK39:AK45)</f>
        <v>3046.76734284999</v>
      </c>
      <c r="AL46" s="80" t="n">
        <f aca="false">SUM(AL39:AL45)</f>
        <v>3046.76734284999</v>
      </c>
      <c r="AM46" s="80" t="n">
        <f aca="false">SUM(AM39:AM45)</f>
        <v>3046.76734284999</v>
      </c>
      <c r="AN46" s="80" t="n">
        <f aca="false">SUM(AN39:AN45)</f>
        <v>3046.76734284999</v>
      </c>
      <c r="AO46" s="69" t="n">
        <f aca="false">SUM(AP46:BA46)</f>
        <v>47023.1104432757</v>
      </c>
      <c r="AP46" s="80" t="n">
        <f aca="false">SUM(AP39:AP45)</f>
        <v>3918.59253693964</v>
      </c>
      <c r="AQ46" s="80" t="n">
        <f aca="false">SUM(AQ39:AQ45)</f>
        <v>3918.59253693964</v>
      </c>
      <c r="AR46" s="80" t="n">
        <f aca="false">SUM(AR39:AR45)</f>
        <v>3918.59253693964</v>
      </c>
      <c r="AS46" s="80" t="n">
        <f aca="false">SUM(AS39:AS45)</f>
        <v>3918.59253693964</v>
      </c>
      <c r="AT46" s="80" t="n">
        <f aca="false">SUM(AT39:AT45)</f>
        <v>3918.59253693964</v>
      </c>
      <c r="AU46" s="80" t="n">
        <f aca="false">SUM(AU39:AU45)</f>
        <v>3918.59253693964</v>
      </c>
      <c r="AV46" s="80" t="n">
        <f aca="false">SUM(AV39:AV45)</f>
        <v>3918.59253693964</v>
      </c>
      <c r="AW46" s="80" t="n">
        <f aca="false">SUM(AW39:AW45)</f>
        <v>3918.59253693964</v>
      </c>
      <c r="AX46" s="80" t="n">
        <f aca="false">SUM(AX39:AX45)</f>
        <v>3918.59253693964</v>
      </c>
      <c r="AY46" s="80" t="n">
        <f aca="false">SUM(AY39:AY45)</f>
        <v>3918.59253693964</v>
      </c>
      <c r="AZ46" s="80" t="n">
        <f aca="false">SUM(AZ39:AZ45)</f>
        <v>3918.59253693964</v>
      </c>
      <c r="BA46" s="80" t="n">
        <f aca="false">SUM(BA39:BA45)</f>
        <v>3918.59253693964</v>
      </c>
      <c r="BB46" s="69" t="n">
        <f aca="false">SUM(BC46:BN46)</f>
        <v>55014.8611309461</v>
      </c>
      <c r="BC46" s="80" t="n">
        <f aca="false">SUM(BC39:BC45)</f>
        <v>4584.57176091217</v>
      </c>
      <c r="BD46" s="80" t="n">
        <f aca="false">SUM(BD39:BD45)</f>
        <v>4584.57176091217</v>
      </c>
      <c r="BE46" s="80" t="n">
        <f aca="false">SUM(BE39:BE45)</f>
        <v>4584.57176091217</v>
      </c>
      <c r="BF46" s="80" t="n">
        <f aca="false">SUM(BF39:BF45)</f>
        <v>4584.57176091217</v>
      </c>
      <c r="BG46" s="80" t="n">
        <f aca="false">SUM(BG39:BG45)</f>
        <v>4584.57176091217</v>
      </c>
      <c r="BH46" s="80" t="n">
        <f aca="false">SUM(BH39:BH45)</f>
        <v>4584.57176091217</v>
      </c>
      <c r="BI46" s="80" t="n">
        <f aca="false">SUM(BI39:BI45)</f>
        <v>4584.57176091217</v>
      </c>
      <c r="BJ46" s="80" t="n">
        <f aca="false">SUM(BJ39:BJ45)</f>
        <v>4584.57176091217</v>
      </c>
      <c r="BK46" s="80" t="n">
        <f aca="false">SUM(BK39:BK45)</f>
        <v>4584.57176091217</v>
      </c>
      <c r="BL46" s="80" t="n">
        <f aca="false">SUM(BL39:BL45)</f>
        <v>4584.57176091217</v>
      </c>
      <c r="BM46" s="80" t="n">
        <f aca="false">SUM(BM39:BM45)</f>
        <v>4584.57176091217</v>
      </c>
      <c r="BN46" s="80" t="n">
        <f aca="false">SUM(BN39:BN45)</f>
        <v>4584.57176091217</v>
      </c>
    </row>
    <row r="48" customFormat="false" ht="15" hidden="false" customHeight="false" outlineLevel="0" collapsed="false">
      <c r="A48" s="9" t="s">
        <v>671</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row>
    <row r="49" customFormat="false" ht="15" hidden="false" customHeight="false" outlineLevel="0" collapsed="false">
      <c r="A49" s="56" t="s">
        <v>632</v>
      </c>
      <c r="B49" s="57" t="s">
        <v>87</v>
      </c>
      <c r="C49" s="58" t="s">
        <v>562</v>
      </c>
      <c r="D49" s="58" t="s">
        <v>563</v>
      </c>
      <c r="E49" s="58" t="s">
        <v>564</v>
      </c>
      <c r="F49" s="58" t="s">
        <v>565</v>
      </c>
      <c r="G49" s="58" t="s">
        <v>566</v>
      </c>
      <c r="H49" s="58" t="s">
        <v>567</v>
      </c>
      <c r="I49" s="58" t="s">
        <v>568</v>
      </c>
      <c r="J49" s="58" t="s">
        <v>569</v>
      </c>
      <c r="K49" s="58" t="s">
        <v>570</v>
      </c>
      <c r="L49" s="58" t="s">
        <v>571</v>
      </c>
      <c r="M49" s="58" t="s">
        <v>572</v>
      </c>
      <c r="N49" s="58" t="s">
        <v>573</v>
      </c>
      <c r="O49" s="57" t="s">
        <v>88</v>
      </c>
      <c r="P49" s="58" t="s">
        <v>574</v>
      </c>
      <c r="Q49" s="58" t="s">
        <v>575</v>
      </c>
      <c r="R49" s="58" t="s">
        <v>576</v>
      </c>
      <c r="S49" s="58" t="s">
        <v>577</v>
      </c>
      <c r="T49" s="58" t="s">
        <v>578</v>
      </c>
      <c r="U49" s="58" t="s">
        <v>579</v>
      </c>
      <c r="V49" s="58" t="s">
        <v>580</v>
      </c>
      <c r="W49" s="58" t="s">
        <v>581</v>
      </c>
      <c r="X49" s="58" t="s">
        <v>582</v>
      </c>
      <c r="Y49" s="58" t="s">
        <v>583</v>
      </c>
      <c r="Z49" s="58" t="s">
        <v>584</v>
      </c>
      <c r="AA49" s="58" t="s">
        <v>585</v>
      </c>
      <c r="AB49" s="57" t="s">
        <v>89</v>
      </c>
      <c r="AC49" s="58" t="s">
        <v>586</v>
      </c>
      <c r="AD49" s="58" t="s">
        <v>587</v>
      </c>
      <c r="AE49" s="58" t="s">
        <v>588</v>
      </c>
      <c r="AF49" s="58" t="s">
        <v>589</v>
      </c>
      <c r="AG49" s="58" t="s">
        <v>590</v>
      </c>
      <c r="AH49" s="58" t="s">
        <v>591</v>
      </c>
      <c r="AI49" s="58" t="s">
        <v>592</v>
      </c>
      <c r="AJ49" s="58" t="s">
        <v>593</v>
      </c>
      <c r="AK49" s="58" t="s">
        <v>594</v>
      </c>
      <c r="AL49" s="58" t="s">
        <v>595</v>
      </c>
      <c r="AM49" s="58" t="s">
        <v>596</v>
      </c>
      <c r="AN49" s="58" t="s">
        <v>597</v>
      </c>
      <c r="AO49" s="57" t="s">
        <v>90</v>
      </c>
      <c r="AP49" s="58" t="s">
        <v>598</v>
      </c>
      <c r="AQ49" s="58" t="s">
        <v>599</v>
      </c>
      <c r="AR49" s="58" t="s">
        <v>600</v>
      </c>
      <c r="AS49" s="58" t="s">
        <v>601</v>
      </c>
      <c r="AT49" s="58" t="s">
        <v>602</v>
      </c>
      <c r="AU49" s="58" t="s">
        <v>603</v>
      </c>
      <c r="AV49" s="58" t="s">
        <v>604</v>
      </c>
      <c r="AW49" s="58" t="s">
        <v>605</v>
      </c>
      <c r="AX49" s="58" t="s">
        <v>606</v>
      </c>
      <c r="AY49" s="58" t="s">
        <v>607</v>
      </c>
      <c r="AZ49" s="58" t="s">
        <v>608</v>
      </c>
      <c r="BA49" s="58" t="s">
        <v>609</v>
      </c>
      <c r="BB49" s="57" t="s">
        <v>91</v>
      </c>
      <c r="BC49" s="58" t="s">
        <v>610</v>
      </c>
      <c r="BD49" s="58" t="s">
        <v>611</v>
      </c>
      <c r="BE49" s="58" t="s">
        <v>612</v>
      </c>
      <c r="BF49" s="58" t="s">
        <v>613</v>
      </c>
      <c r="BG49" s="58" t="s">
        <v>614</v>
      </c>
      <c r="BH49" s="58" t="s">
        <v>615</v>
      </c>
      <c r="BI49" s="58" t="s">
        <v>616</v>
      </c>
      <c r="BJ49" s="58" t="s">
        <v>617</v>
      </c>
      <c r="BK49" s="58" t="s">
        <v>618</v>
      </c>
      <c r="BL49" s="58" t="s">
        <v>619</v>
      </c>
      <c r="BM49" s="58" t="s">
        <v>620</v>
      </c>
      <c r="BN49" s="58" t="s">
        <v>621</v>
      </c>
    </row>
    <row r="50" customFormat="false" ht="15" hidden="false" customHeight="false" outlineLevel="0" collapsed="false">
      <c r="A50" s="4" t="s">
        <v>382</v>
      </c>
      <c r="B50" s="65" t="n">
        <f aca="false">SUM(C50:N50)</f>
        <v>48</v>
      </c>
      <c r="C50" s="66" t="n">
        <f aca="false">'Assumption Setting'!$C$49</f>
        <v>4</v>
      </c>
      <c r="D50" s="66" t="n">
        <f aca="false">'Assumption Setting'!$C$49</f>
        <v>4</v>
      </c>
      <c r="E50" s="66" t="n">
        <f aca="false">'Assumption Setting'!$C$49</f>
        <v>4</v>
      </c>
      <c r="F50" s="66" t="n">
        <f aca="false">'Assumption Setting'!$C$49</f>
        <v>4</v>
      </c>
      <c r="G50" s="66" t="n">
        <f aca="false">'Assumption Setting'!$C$49</f>
        <v>4</v>
      </c>
      <c r="H50" s="66" t="n">
        <f aca="false">'Assumption Setting'!$C$49</f>
        <v>4</v>
      </c>
      <c r="I50" s="66" t="n">
        <f aca="false">'Assumption Setting'!$C$49</f>
        <v>4</v>
      </c>
      <c r="J50" s="66" t="n">
        <f aca="false">'Assumption Setting'!$C$49</f>
        <v>4</v>
      </c>
      <c r="K50" s="66" t="n">
        <f aca="false">'Assumption Setting'!$C$49</f>
        <v>4</v>
      </c>
      <c r="L50" s="66" t="n">
        <f aca="false">'Assumption Setting'!$C$49</f>
        <v>4</v>
      </c>
      <c r="M50" s="66" t="n">
        <f aca="false">'Assumption Setting'!$C$49</f>
        <v>4</v>
      </c>
      <c r="N50" s="66" t="n">
        <f aca="false">'Assumption Setting'!$C$49</f>
        <v>4</v>
      </c>
      <c r="O50" s="65" t="n">
        <f aca="false">SUM(P50:AA50)</f>
        <v>96</v>
      </c>
      <c r="P50" s="66" t="n">
        <f aca="false">'Assumption Setting'!$D$49</f>
        <v>8</v>
      </c>
      <c r="Q50" s="66" t="n">
        <f aca="false">'Assumption Setting'!$D$49</f>
        <v>8</v>
      </c>
      <c r="R50" s="66" t="n">
        <f aca="false">'Assumption Setting'!$D$49</f>
        <v>8</v>
      </c>
      <c r="S50" s="66" t="n">
        <f aca="false">'Assumption Setting'!$D$49</f>
        <v>8</v>
      </c>
      <c r="T50" s="66" t="n">
        <f aca="false">'Assumption Setting'!$D$49</f>
        <v>8</v>
      </c>
      <c r="U50" s="66" t="n">
        <f aca="false">'Assumption Setting'!$D$49</f>
        <v>8</v>
      </c>
      <c r="V50" s="66" t="n">
        <f aca="false">'Assumption Setting'!$D$49</f>
        <v>8</v>
      </c>
      <c r="W50" s="66" t="n">
        <f aca="false">'Assumption Setting'!$D$49</f>
        <v>8</v>
      </c>
      <c r="X50" s="66" t="n">
        <f aca="false">'Assumption Setting'!$D$49</f>
        <v>8</v>
      </c>
      <c r="Y50" s="66" t="n">
        <f aca="false">'Assumption Setting'!$D$49</f>
        <v>8</v>
      </c>
      <c r="Z50" s="66" t="n">
        <f aca="false">'Assumption Setting'!$D$49</f>
        <v>8</v>
      </c>
      <c r="AA50" s="66" t="n">
        <f aca="false">'Assumption Setting'!$D$49</f>
        <v>8</v>
      </c>
      <c r="AB50" s="65" t="n">
        <f aca="false">SUM(AC50:AN50)</f>
        <v>144</v>
      </c>
      <c r="AC50" s="66" t="n">
        <f aca="false">'Assumption Setting'!$E$49</f>
        <v>12</v>
      </c>
      <c r="AD50" s="66" t="n">
        <f aca="false">'Assumption Setting'!$E$49</f>
        <v>12</v>
      </c>
      <c r="AE50" s="66" t="n">
        <f aca="false">'Assumption Setting'!$E$49</f>
        <v>12</v>
      </c>
      <c r="AF50" s="66" t="n">
        <f aca="false">'Assumption Setting'!$E$49</f>
        <v>12</v>
      </c>
      <c r="AG50" s="66" t="n">
        <f aca="false">'Assumption Setting'!$E$49</f>
        <v>12</v>
      </c>
      <c r="AH50" s="66" t="n">
        <f aca="false">'Assumption Setting'!$E$49</f>
        <v>12</v>
      </c>
      <c r="AI50" s="66" t="n">
        <f aca="false">'Assumption Setting'!$E$49</f>
        <v>12</v>
      </c>
      <c r="AJ50" s="66" t="n">
        <f aca="false">'Assumption Setting'!$E$49</f>
        <v>12</v>
      </c>
      <c r="AK50" s="66" t="n">
        <f aca="false">'Assumption Setting'!$E$49</f>
        <v>12</v>
      </c>
      <c r="AL50" s="66" t="n">
        <f aca="false">'Assumption Setting'!$E$49</f>
        <v>12</v>
      </c>
      <c r="AM50" s="66" t="n">
        <f aca="false">'Assumption Setting'!$E$49</f>
        <v>12</v>
      </c>
      <c r="AN50" s="66" t="n">
        <f aca="false">'Assumption Setting'!$E$49</f>
        <v>12</v>
      </c>
      <c r="AO50" s="65" t="n">
        <f aca="false">SUM(AP50:BA50)</f>
        <v>192</v>
      </c>
      <c r="AP50" s="66" t="n">
        <f aca="false">'Assumption Setting'!$F$49</f>
        <v>16</v>
      </c>
      <c r="AQ50" s="66" t="n">
        <f aca="false">'Assumption Setting'!$F$49</f>
        <v>16</v>
      </c>
      <c r="AR50" s="66" t="n">
        <f aca="false">'Assumption Setting'!$F$49</f>
        <v>16</v>
      </c>
      <c r="AS50" s="66" t="n">
        <f aca="false">'Assumption Setting'!$F$49</f>
        <v>16</v>
      </c>
      <c r="AT50" s="66" t="n">
        <f aca="false">'Assumption Setting'!$F$49</f>
        <v>16</v>
      </c>
      <c r="AU50" s="66" t="n">
        <f aca="false">'Assumption Setting'!$F$49</f>
        <v>16</v>
      </c>
      <c r="AV50" s="66" t="n">
        <f aca="false">'Assumption Setting'!$F$49</f>
        <v>16</v>
      </c>
      <c r="AW50" s="66" t="n">
        <f aca="false">'Assumption Setting'!$F$49</f>
        <v>16</v>
      </c>
      <c r="AX50" s="66" t="n">
        <f aca="false">'Assumption Setting'!$F$49</f>
        <v>16</v>
      </c>
      <c r="AY50" s="66" t="n">
        <f aca="false">'Assumption Setting'!$F$49</f>
        <v>16</v>
      </c>
      <c r="AZ50" s="66" t="n">
        <f aca="false">'Assumption Setting'!$F$49</f>
        <v>16</v>
      </c>
      <c r="BA50" s="66" t="n">
        <f aca="false">'Assumption Setting'!$F$49</f>
        <v>16</v>
      </c>
      <c r="BB50" s="65" t="n">
        <f aca="false">SUM(BC50:BN50)</f>
        <v>240</v>
      </c>
      <c r="BC50" s="66" t="n">
        <f aca="false">'Assumption Setting'!$G$49</f>
        <v>20</v>
      </c>
      <c r="BD50" s="66" t="n">
        <f aca="false">'Assumption Setting'!$G$49</f>
        <v>20</v>
      </c>
      <c r="BE50" s="66" t="n">
        <f aca="false">'Assumption Setting'!$G$49</f>
        <v>20</v>
      </c>
      <c r="BF50" s="66" t="n">
        <f aca="false">'Assumption Setting'!$G$49</f>
        <v>20</v>
      </c>
      <c r="BG50" s="66" t="n">
        <f aca="false">'Assumption Setting'!$G$49</f>
        <v>20</v>
      </c>
      <c r="BH50" s="66" t="n">
        <f aca="false">'Assumption Setting'!$G$49</f>
        <v>20</v>
      </c>
      <c r="BI50" s="66" t="n">
        <f aca="false">'Assumption Setting'!$G$49</f>
        <v>20</v>
      </c>
      <c r="BJ50" s="66" t="n">
        <f aca="false">'Assumption Setting'!$G$49</f>
        <v>20</v>
      </c>
      <c r="BK50" s="66" t="n">
        <f aca="false">'Assumption Setting'!$G$49</f>
        <v>20</v>
      </c>
      <c r="BL50" s="66" t="n">
        <f aca="false">'Assumption Setting'!$G$49</f>
        <v>20</v>
      </c>
      <c r="BM50" s="66" t="n">
        <f aca="false">'Assumption Setting'!$G$49</f>
        <v>20</v>
      </c>
      <c r="BN50" s="66" t="n">
        <f aca="false">'Assumption Setting'!$G$49</f>
        <v>20</v>
      </c>
    </row>
    <row r="51" customFormat="false" ht="15" hidden="false" customHeight="false" outlineLevel="0" collapsed="false">
      <c r="A51" s="4" t="s">
        <v>383</v>
      </c>
      <c r="B51" s="65" t="n">
        <f aca="false">SUM(C51:N51)</f>
        <v>12</v>
      </c>
      <c r="C51" s="66" t="n">
        <f aca="false">'Assumption Setting'!$C$50</f>
        <v>1</v>
      </c>
      <c r="D51" s="66" t="n">
        <f aca="false">'Assumption Setting'!$C$50</f>
        <v>1</v>
      </c>
      <c r="E51" s="66" t="n">
        <f aca="false">'Assumption Setting'!$C$50</f>
        <v>1</v>
      </c>
      <c r="F51" s="66" t="n">
        <f aca="false">'Assumption Setting'!$C$50</f>
        <v>1</v>
      </c>
      <c r="G51" s="66" t="n">
        <f aca="false">'Assumption Setting'!$C$50</f>
        <v>1</v>
      </c>
      <c r="H51" s="66" t="n">
        <f aca="false">'Assumption Setting'!$C$50</f>
        <v>1</v>
      </c>
      <c r="I51" s="66" t="n">
        <f aca="false">'Assumption Setting'!$C$50</f>
        <v>1</v>
      </c>
      <c r="J51" s="66" t="n">
        <f aca="false">'Assumption Setting'!$C$50</f>
        <v>1</v>
      </c>
      <c r="K51" s="66" t="n">
        <f aca="false">'Assumption Setting'!$C$50</f>
        <v>1</v>
      </c>
      <c r="L51" s="66" t="n">
        <f aca="false">'Assumption Setting'!$C$50</f>
        <v>1</v>
      </c>
      <c r="M51" s="66" t="n">
        <f aca="false">'Assumption Setting'!$C$50</f>
        <v>1</v>
      </c>
      <c r="N51" s="66" t="n">
        <f aca="false">'Assumption Setting'!$C$50</f>
        <v>1</v>
      </c>
      <c r="O51" s="65" t="n">
        <f aca="false">SUM(P51:AA51)</f>
        <v>24</v>
      </c>
      <c r="P51" s="66" t="n">
        <f aca="false">'Assumption Setting'!$D$50</f>
        <v>2</v>
      </c>
      <c r="Q51" s="66" t="n">
        <f aca="false">'Assumption Setting'!$D$50</f>
        <v>2</v>
      </c>
      <c r="R51" s="66" t="n">
        <f aca="false">'Assumption Setting'!$D$50</f>
        <v>2</v>
      </c>
      <c r="S51" s="66" t="n">
        <f aca="false">'Assumption Setting'!$D$50</f>
        <v>2</v>
      </c>
      <c r="T51" s="66" t="n">
        <f aca="false">'Assumption Setting'!$D$50</f>
        <v>2</v>
      </c>
      <c r="U51" s="66" t="n">
        <f aca="false">'Assumption Setting'!$D$50</f>
        <v>2</v>
      </c>
      <c r="V51" s="66" t="n">
        <f aca="false">'Assumption Setting'!$D$50</f>
        <v>2</v>
      </c>
      <c r="W51" s="66" t="n">
        <f aca="false">'Assumption Setting'!$D$50</f>
        <v>2</v>
      </c>
      <c r="X51" s="66" t="n">
        <f aca="false">'Assumption Setting'!$D$50</f>
        <v>2</v>
      </c>
      <c r="Y51" s="66" t="n">
        <f aca="false">'Assumption Setting'!$D$50</f>
        <v>2</v>
      </c>
      <c r="Z51" s="66" t="n">
        <f aca="false">'Assumption Setting'!$D$50</f>
        <v>2</v>
      </c>
      <c r="AA51" s="66" t="n">
        <f aca="false">'Assumption Setting'!$D$50</f>
        <v>2</v>
      </c>
      <c r="AB51" s="65" t="n">
        <f aca="false">SUM(AC51:AN51)</f>
        <v>36</v>
      </c>
      <c r="AC51" s="66" t="n">
        <f aca="false">'Assumption Setting'!$E$50</f>
        <v>3</v>
      </c>
      <c r="AD51" s="66" t="n">
        <f aca="false">'Assumption Setting'!$E$50</f>
        <v>3</v>
      </c>
      <c r="AE51" s="66" t="n">
        <f aca="false">'Assumption Setting'!$E$50</f>
        <v>3</v>
      </c>
      <c r="AF51" s="66" t="n">
        <f aca="false">'Assumption Setting'!$E$50</f>
        <v>3</v>
      </c>
      <c r="AG51" s="66" t="n">
        <f aca="false">'Assumption Setting'!$E$50</f>
        <v>3</v>
      </c>
      <c r="AH51" s="66" t="n">
        <f aca="false">'Assumption Setting'!$E$50</f>
        <v>3</v>
      </c>
      <c r="AI51" s="66" t="n">
        <f aca="false">'Assumption Setting'!$E$50</f>
        <v>3</v>
      </c>
      <c r="AJ51" s="66" t="n">
        <f aca="false">'Assumption Setting'!$E$50</f>
        <v>3</v>
      </c>
      <c r="AK51" s="66" t="n">
        <f aca="false">'Assumption Setting'!$E$50</f>
        <v>3</v>
      </c>
      <c r="AL51" s="66" t="n">
        <f aca="false">'Assumption Setting'!$E$50</f>
        <v>3</v>
      </c>
      <c r="AM51" s="66" t="n">
        <f aca="false">'Assumption Setting'!$E$50</f>
        <v>3</v>
      </c>
      <c r="AN51" s="66" t="n">
        <f aca="false">'Assumption Setting'!$E$50</f>
        <v>3</v>
      </c>
      <c r="AO51" s="65" t="n">
        <f aca="false">SUM(AP51:BA51)</f>
        <v>48</v>
      </c>
      <c r="AP51" s="66" t="n">
        <f aca="false">'Assumption Setting'!$F$50</f>
        <v>4</v>
      </c>
      <c r="AQ51" s="66" t="n">
        <f aca="false">'Assumption Setting'!$F$50</f>
        <v>4</v>
      </c>
      <c r="AR51" s="66" t="n">
        <f aca="false">'Assumption Setting'!$F$50</f>
        <v>4</v>
      </c>
      <c r="AS51" s="66" t="n">
        <f aca="false">'Assumption Setting'!$F$50</f>
        <v>4</v>
      </c>
      <c r="AT51" s="66" t="n">
        <f aca="false">'Assumption Setting'!$F$50</f>
        <v>4</v>
      </c>
      <c r="AU51" s="66" t="n">
        <f aca="false">'Assumption Setting'!$F$50</f>
        <v>4</v>
      </c>
      <c r="AV51" s="66" t="n">
        <f aca="false">'Assumption Setting'!$F$50</f>
        <v>4</v>
      </c>
      <c r="AW51" s="66" t="n">
        <f aca="false">'Assumption Setting'!$F$50</f>
        <v>4</v>
      </c>
      <c r="AX51" s="66" t="n">
        <f aca="false">'Assumption Setting'!$F$50</f>
        <v>4</v>
      </c>
      <c r="AY51" s="66" t="n">
        <f aca="false">'Assumption Setting'!$F$50</f>
        <v>4</v>
      </c>
      <c r="AZ51" s="66" t="n">
        <f aca="false">'Assumption Setting'!$F$50</f>
        <v>4</v>
      </c>
      <c r="BA51" s="66" t="n">
        <f aca="false">'Assumption Setting'!$F$50</f>
        <v>4</v>
      </c>
      <c r="BB51" s="65" t="n">
        <f aca="false">SUM(BC51:BN51)</f>
        <v>60</v>
      </c>
      <c r="BC51" s="66" t="n">
        <f aca="false">'Assumption Setting'!$G$50</f>
        <v>5</v>
      </c>
      <c r="BD51" s="66" t="n">
        <f aca="false">'Assumption Setting'!$G$50</f>
        <v>5</v>
      </c>
      <c r="BE51" s="66" t="n">
        <f aca="false">'Assumption Setting'!$G$50</f>
        <v>5</v>
      </c>
      <c r="BF51" s="66" t="n">
        <f aca="false">'Assumption Setting'!$G$50</f>
        <v>5</v>
      </c>
      <c r="BG51" s="66" t="n">
        <f aca="false">'Assumption Setting'!$G$50</f>
        <v>5</v>
      </c>
      <c r="BH51" s="66" t="n">
        <f aca="false">'Assumption Setting'!$G$50</f>
        <v>5</v>
      </c>
      <c r="BI51" s="66" t="n">
        <f aca="false">'Assumption Setting'!$G$50</f>
        <v>5</v>
      </c>
      <c r="BJ51" s="66" t="n">
        <f aca="false">'Assumption Setting'!$G$50</f>
        <v>5</v>
      </c>
      <c r="BK51" s="66" t="n">
        <f aca="false">'Assumption Setting'!$G$50</f>
        <v>5</v>
      </c>
      <c r="BL51" s="66" t="n">
        <f aca="false">'Assumption Setting'!$G$50</f>
        <v>5</v>
      </c>
      <c r="BM51" s="66" t="n">
        <f aca="false">'Assumption Setting'!$G$50</f>
        <v>5</v>
      </c>
      <c r="BN51" s="66" t="n">
        <f aca="false">'Assumption Setting'!$G$50</f>
        <v>5</v>
      </c>
    </row>
    <row r="52" customFormat="false" ht="15" hidden="false" customHeight="false" outlineLevel="0" collapsed="false">
      <c r="A52" s="4" t="s">
        <v>384</v>
      </c>
      <c r="B52" s="65" t="n">
        <f aca="false">SUM(C52:N52)</f>
        <v>3</v>
      </c>
      <c r="C52" s="66" t="n">
        <f aca="false">'Assumption Setting'!$C$51</f>
        <v>0.25</v>
      </c>
      <c r="D52" s="66" t="n">
        <f aca="false">'Assumption Setting'!$C$51</f>
        <v>0.25</v>
      </c>
      <c r="E52" s="66" t="n">
        <f aca="false">'Assumption Setting'!$C$51</f>
        <v>0.25</v>
      </c>
      <c r="F52" s="66" t="n">
        <f aca="false">'Assumption Setting'!$C$51</f>
        <v>0.25</v>
      </c>
      <c r="G52" s="66" t="n">
        <f aca="false">'Assumption Setting'!$C$51</f>
        <v>0.25</v>
      </c>
      <c r="H52" s="66" t="n">
        <f aca="false">'Assumption Setting'!$C$51</f>
        <v>0.25</v>
      </c>
      <c r="I52" s="66" t="n">
        <f aca="false">'Assumption Setting'!$C$51</f>
        <v>0.25</v>
      </c>
      <c r="J52" s="66" t="n">
        <f aca="false">'Assumption Setting'!$C$51</f>
        <v>0.25</v>
      </c>
      <c r="K52" s="66" t="n">
        <f aca="false">'Assumption Setting'!$C$51</f>
        <v>0.25</v>
      </c>
      <c r="L52" s="66" t="n">
        <f aca="false">'Assumption Setting'!$C$51</f>
        <v>0.25</v>
      </c>
      <c r="M52" s="66" t="n">
        <f aca="false">'Assumption Setting'!$C$51</f>
        <v>0.25</v>
      </c>
      <c r="N52" s="66" t="n">
        <f aca="false">'Assumption Setting'!$C$51</f>
        <v>0.25</v>
      </c>
      <c r="O52" s="65" t="n">
        <f aca="false">SUM(P52:AA52)</f>
        <v>6</v>
      </c>
      <c r="P52" s="66" t="n">
        <f aca="false">'Assumption Setting'!$D$51</f>
        <v>0.5</v>
      </c>
      <c r="Q52" s="66" t="n">
        <f aca="false">'Assumption Setting'!$D$51</f>
        <v>0.5</v>
      </c>
      <c r="R52" s="66" t="n">
        <f aca="false">'Assumption Setting'!$D$51</f>
        <v>0.5</v>
      </c>
      <c r="S52" s="66" t="n">
        <f aca="false">'Assumption Setting'!$D$51</f>
        <v>0.5</v>
      </c>
      <c r="T52" s="66" t="n">
        <f aca="false">'Assumption Setting'!$D$51</f>
        <v>0.5</v>
      </c>
      <c r="U52" s="66" t="n">
        <f aca="false">'Assumption Setting'!$D$51</f>
        <v>0.5</v>
      </c>
      <c r="V52" s="66" t="n">
        <f aca="false">'Assumption Setting'!$D$51</f>
        <v>0.5</v>
      </c>
      <c r="W52" s="66" t="n">
        <f aca="false">'Assumption Setting'!$D$51</f>
        <v>0.5</v>
      </c>
      <c r="X52" s="66" t="n">
        <f aca="false">'Assumption Setting'!$D$51</f>
        <v>0.5</v>
      </c>
      <c r="Y52" s="66" t="n">
        <f aca="false">'Assumption Setting'!$D$51</f>
        <v>0.5</v>
      </c>
      <c r="Z52" s="66" t="n">
        <f aca="false">'Assumption Setting'!$D$51</f>
        <v>0.5</v>
      </c>
      <c r="AA52" s="66" t="n">
        <f aca="false">'Assumption Setting'!$D$51</f>
        <v>0.5</v>
      </c>
      <c r="AB52" s="65" t="n">
        <f aca="false">SUM(AC52:AN52)</f>
        <v>9</v>
      </c>
      <c r="AC52" s="66" t="n">
        <f aca="false">'Assumption Setting'!$E$51</f>
        <v>0.75</v>
      </c>
      <c r="AD52" s="66" t="n">
        <f aca="false">'Assumption Setting'!$E$51</f>
        <v>0.75</v>
      </c>
      <c r="AE52" s="66" t="n">
        <f aca="false">'Assumption Setting'!$E$51</f>
        <v>0.75</v>
      </c>
      <c r="AF52" s="66" t="n">
        <f aca="false">'Assumption Setting'!$E$51</f>
        <v>0.75</v>
      </c>
      <c r="AG52" s="66" t="n">
        <f aca="false">'Assumption Setting'!$E$51</f>
        <v>0.75</v>
      </c>
      <c r="AH52" s="66" t="n">
        <f aca="false">'Assumption Setting'!$E$51</f>
        <v>0.75</v>
      </c>
      <c r="AI52" s="66" t="n">
        <f aca="false">'Assumption Setting'!$E$51</f>
        <v>0.75</v>
      </c>
      <c r="AJ52" s="66" t="n">
        <f aca="false">'Assumption Setting'!$E$51</f>
        <v>0.75</v>
      </c>
      <c r="AK52" s="66" t="n">
        <f aca="false">'Assumption Setting'!$E$51</f>
        <v>0.75</v>
      </c>
      <c r="AL52" s="66" t="n">
        <f aca="false">'Assumption Setting'!$E$51</f>
        <v>0.75</v>
      </c>
      <c r="AM52" s="66" t="n">
        <f aca="false">'Assumption Setting'!$E$51</f>
        <v>0.75</v>
      </c>
      <c r="AN52" s="66" t="n">
        <f aca="false">'Assumption Setting'!$E$51</f>
        <v>0.75</v>
      </c>
      <c r="AO52" s="65" t="n">
        <f aca="false">SUM(AP52:BA52)</f>
        <v>12</v>
      </c>
      <c r="AP52" s="66" t="n">
        <f aca="false">'Assumption Setting'!$F$51</f>
        <v>1</v>
      </c>
      <c r="AQ52" s="66" t="n">
        <f aca="false">'Assumption Setting'!$F$51</f>
        <v>1</v>
      </c>
      <c r="AR52" s="66" t="n">
        <f aca="false">'Assumption Setting'!$F$51</f>
        <v>1</v>
      </c>
      <c r="AS52" s="66" t="n">
        <f aca="false">'Assumption Setting'!$F$51</f>
        <v>1</v>
      </c>
      <c r="AT52" s="66" t="n">
        <f aca="false">'Assumption Setting'!$F$51</f>
        <v>1</v>
      </c>
      <c r="AU52" s="66" t="n">
        <f aca="false">'Assumption Setting'!$F$51</f>
        <v>1</v>
      </c>
      <c r="AV52" s="66" t="n">
        <f aca="false">'Assumption Setting'!$F$51</f>
        <v>1</v>
      </c>
      <c r="AW52" s="66" t="n">
        <f aca="false">'Assumption Setting'!$F$51</f>
        <v>1</v>
      </c>
      <c r="AX52" s="66" t="n">
        <f aca="false">'Assumption Setting'!$F$51</f>
        <v>1</v>
      </c>
      <c r="AY52" s="66" t="n">
        <f aca="false">'Assumption Setting'!$F$51</f>
        <v>1</v>
      </c>
      <c r="AZ52" s="66" t="n">
        <f aca="false">'Assumption Setting'!$F$51</f>
        <v>1</v>
      </c>
      <c r="BA52" s="66" t="n">
        <f aca="false">'Assumption Setting'!$F$51</f>
        <v>1</v>
      </c>
      <c r="BB52" s="65" t="n">
        <f aca="false">SUM(BC52:BN52)</f>
        <v>15</v>
      </c>
      <c r="BC52" s="66" t="n">
        <f aca="false">'Assumption Setting'!$G$51</f>
        <v>1.25</v>
      </c>
      <c r="BD52" s="66" t="n">
        <f aca="false">'Assumption Setting'!$G$51</f>
        <v>1.25</v>
      </c>
      <c r="BE52" s="66" t="n">
        <f aca="false">'Assumption Setting'!$G$51</f>
        <v>1.25</v>
      </c>
      <c r="BF52" s="66" t="n">
        <f aca="false">'Assumption Setting'!$G$51</f>
        <v>1.25</v>
      </c>
      <c r="BG52" s="66" t="n">
        <f aca="false">'Assumption Setting'!$G$51</f>
        <v>1.25</v>
      </c>
      <c r="BH52" s="66" t="n">
        <f aca="false">'Assumption Setting'!$G$51</f>
        <v>1.25</v>
      </c>
      <c r="BI52" s="66" t="n">
        <f aca="false">'Assumption Setting'!$G$51</f>
        <v>1.25</v>
      </c>
      <c r="BJ52" s="66" t="n">
        <f aca="false">'Assumption Setting'!$G$51</f>
        <v>1.25</v>
      </c>
      <c r="BK52" s="66" t="n">
        <f aca="false">'Assumption Setting'!$G$51</f>
        <v>1.25</v>
      </c>
      <c r="BL52" s="66" t="n">
        <f aca="false">'Assumption Setting'!$G$51</f>
        <v>1.25</v>
      </c>
      <c r="BM52" s="66" t="n">
        <f aca="false">'Assumption Setting'!$G$51</f>
        <v>1.25</v>
      </c>
      <c r="BN52" s="66" t="n">
        <f aca="false">'Assumption Setting'!$G$51</f>
        <v>1.25</v>
      </c>
    </row>
    <row r="53" customFormat="false" ht="15" hidden="false" customHeight="false" outlineLevel="0" collapsed="false">
      <c r="A53" s="4" t="s">
        <v>385</v>
      </c>
      <c r="B53" s="65" t="n">
        <f aca="false">SUM(C53:N53)</f>
        <v>24</v>
      </c>
      <c r="C53" s="66" t="n">
        <f aca="false">'Assumption Setting'!$C$52</f>
        <v>2</v>
      </c>
      <c r="D53" s="66" t="n">
        <f aca="false">'Assumption Setting'!$C$52</f>
        <v>2</v>
      </c>
      <c r="E53" s="66" t="n">
        <f aca="false">'Assumption Setting'!$C$52</f>
        <v>2</v>
      </c>
      <c r="F53" s="66" t="n">
        <f aca="false">'Assumption Setting'!$C$52</f>
        <v>2</v>
      </c>
      <c r="G53" s="66" t="n">
        <f aca="false">'Assumption Setting'!$C$52</f>
        <v>2</v>
      </c>
      <c r="H53" s="66" t="n">
        <f aca="false">'Assumption Setting'!$C$52</f>
        <v>2</v>
      </c>
      <c r="I53" s="66" t="n">
        <f aca="false">'Assumption Setting'!$C$52</f>
        <v>2</v>
      </c>
      <c r="J53" s="66" t="n">
        <f aca="false">'Assumption Setting'!$C$52</f>
        <v>2</v>
      </c>
      <c r="K53" s="66" t="n">
        <f aca="false">'Assumption Setting'!$C$52</f>
        <v>2</v>
      </c>
      <c r="L53" s="66" t="n">
        <f aca="false">'Assumption Setting'!$C$52</f>
        <v>2</v>
      </c>
      <c r="M53" s="66" t="n">
        <f aca="false">'Assumption Setting'!$C$52</f>
        <v>2</v>
      </c>
      <c r="N53" s="66" t="n">
        <f aca="false">'Assumption Setting'!$C$52</f>
        <v>2</v>
      </c>
      <c r="O53" s="65" t="n">
        <f aca="false">SUM(P53:AA53)</f>
        <v>48</v>
      </c>
      <c r="P53" s="66" t="n">
        <f aca="false">'Assumption Setting'!$D$52</f>
        <v>4</v>
      </c>
      <c r="Q53" s="66" t="n">
        <f aca="false">'Assumption Setting'!$D$52</f>
        <v>4</v>
      </c>
      <c r="R53" s="66" t="n">
        <f aca="false">'Assumption Setting'!$D$52</f>
        <v>4</v>
      </c>
      <c r="S53" s="66" t="n">
        <f aca="false">'Assumption Setting'!$D$52</f>
        <v>4</v>
      </c>
      <c r="T53" s="66" t="n">
        <f aca="false">'Assumption Setting'!$D$52</f>
        <v>4</v>
      </c>
      <c r="U53" s="66" t="n">
        <f aca="false">'Assumption Setting'!$D$52</f>
        <v>4</v>
      </c>
      <c r="V53" s="66" t="n">
        <f aca="false">'Assumption Setting'!$D$52</f>
        <v>4</v>
      </c>
      <c r="W53" s="66" t="n">
        <f aca="false">'Assumption Setting'!$D$52</f>
        <v>4</v>
      </c>
      <c r="X53" s="66" t="n">
        <f aca="false">'Assumption Setting'!$D$52</f>
        <v>4</v>
      </c>
      <c r="Y53" s="66" t="n">
        <f aca="false">'Assumption Setting'!$D$52</f>
        <v>4</v>
      </c>
      <c r="Z53" s="66" t="n">
        <f aca="false">'Assumption Setting'!$D$52</f>
        <v>4</v>
      </c>
      <c r="AA53" s="66" t="n">
        <f aca="false">'Assumption Setting'!$D$52</f>
        <v>4</v>
      </c>
      <c r="AB53" s="65" t="n">
        <f aca="false">SUM(AC53:AN53)</f>
        <v>72</v>
      </c>
      <c r="AC53" s="66" t="n">
        <f aca="false">'Assumption Setting'!$E$52</f>
        <v>6</v>
      </c>
      <c r="AD53" s="66" t="n">
        <f aca="false">'Assumption Setting'!$E$52</f>
        <v>6</v>
      </c>
      <c r="AE53" s="66" t="n">
        <f aca="false">'Assumption Setting'!$E$52</f>
        <v>6</v>
      </c>
      <c r="AF53" s="66" t="n">
        <f aca="false">'Assumption Setting'!$E$52</f>
        <v>6</v>
      </c>
      <c r="AG53" s="66" t="n">
        <f aca="false">'Assumption Setting'!$E$52</f>
        <v>6</v>
      </c>
      <c r="AH53" s="66" t="n">
        <f aca="false">'Assumption Setting'!$E$52</f>
        <v>6</v>
      </c>
      <c r="AI53" s="66" t="n">
        <f aca="false">'Assumption Setting'!$E$52</f>
        <v>6</v>
      </c>
      <c r="AJ53" s="66" t="n">
        <f aca="false">'Assumption Setting'!$E$52</f>
        <v>6</v>
      </c>
      <c r="AK53" s="66" t="n">
        <f aca="false">'Assumption Setting'!$E$52</f>
        <v>6</v>
      </c>
      <c r="AL53" s="66" t="n">
        <f aca="false">'Assumption Setting'!$E$52</f>
        <v>6</v>
      </c>
      <c r="AM53" s="66" t="n">
        <f aca="false">'Assumption Setting'!$E$52</f>
        <v>6</v>
      </c>
      <c r="AN53" s="66" t="n">
        <f aca="false">'Assumption Setting'!$E$52</f>
        <v>6</v>
      </c>
      <c r="AO53" s="65" t="n">
        <f aca="false">SUM(AP53:BA53)</f>
        <v>96</v>
      </c>
      <c r="AP53" s="66" t="n">
        <f aca="false">'Assumption Setting'!$F$52</f>
        <v>8</v>
      </c>
      <c r="AQ53" s="66" t="n">
        <f aca="false">'Assumption Setting'!$F$52</f>
        <v>8</v>
      </c>
      <c r="AR53" s="66" t="n">
        <f aca="false">'Assumption Setting'!$F$52</f>
        <v>8</v>
      </c>
      <c r="AS53" s="66" t="n">
        <f aca="false">'Assumption Setting'!$F$52</f>
        <v>8</v>
      </c>
      <c r="AT53" s="66" t="n">
        <f aca="false">'Assumption Setting'!$F$52</f>
        <v>8</v>
      </c>
      <c r="AU53" s="66" t="n">
        <f aca="false">'Assumption Setting'!$F$52</f>
        <v>8</v>
      </c>
      <c r="AV53" s="66" t="n">
        <f aca="false">'Assumption Setting'!$F$52</f>
        <v>8</v>
      </c>
      <c r="AW53" s="66" t="n">
        <f aca="false">'Assumption Setting'!$F$52</f>
        <v>8</v>
      </c>
      <c r="AX53" s="66" t="n">
        <f aca="false">'Assumption Setting'!$F$52</f>
        <v>8</v>
      </c>
      <c r="AY53" s="66" t="n">
        <f aca="false">'Assumption Setting'!$F$52</f>
        <v>8</v>
      </c>
      <c r="AZ53" s="66" t="n">
        <f aca="false">'Assumption Setting'!$F$52</f>
        <v>8</v>
      </c>
      <c r="BA53" s="66" t="n">
        <f aca="false">'Assumption Setting'!$F$52</f>
        <v>8</v>
      </c>
      <c r="BB53" s="65" t="n">
        <f aca="false">SUM(BC53:BN53)</f>
        <v>120</v>
      </c>
      <c r="BC53" s="66" t="n">
        <f aca="false">'Assumption Setting'!$G$52</f>
        <v>10</v>
      </c>
      <c r="BD53" s="66" t="n">
        <f aca="false">'Assumption Setting'!$G$52</f>
        <v>10</v>
      </c>
      <c r="BE53" s="66" t="n">
        <f aca="false">'Assumption Setting'!$G$52</f>
        <v>10</v>
      </c>
      <c r="BF53" s="66" t="n">
        <f aca="false">'Assumption Setting'!$G$52</f>
        <v>10</v>
      </c>
      <c r="BG53" s="66" t="n">
        <f aca="false">'Assumption Setting'!$G$52</f>
        <v>10</v>
      </c>
      <c r="BH53" s="66" t="n">
        <f aca="false">'Assumption Setting'!$G$52</f>
        <v>10</v>
      </c>
      <c r="BI53" s="66" t="n">
        <f aca="false">'Assumption Setting'!$G$52</f>
        <v>10</v>
      </c>
      <c r="BJ53" s="66" t="n">
        <f aca="false">'Assumption Setting'!$G$52</f>
        <v>10</v>
      </c>
      <c r="BK53" s="66" t="n">
        <f aca="false">'Assumption Setting'!$G$52</f>
        <v>10</v>
      </c>
      <c r="BL53" s="66" t="n">
        <f aca="false">'Assumption Setting'!$G$52</f>
        <v>10</v>
      </c>
      <c r="BM53" s="66" t="n">
        <f aca="false">'Assumption Setting'!$G$52</f>
        <v>10</v>
      </c>
      <c r="BN53" s="66" t="n">
        <f aca="false">'Assumption Setting'!$G$52</f>
        <v>10</v>
      </c>
    </row>
    <row r="54" customFormat="false" ht="15" hidden="false" customHeight="false" outlineLevel="0" collapsed="false">
      <c r="A54" s="4" t="s">
        <v>672</v>
      </c>
      <c r="B54" s="65" t="n">
        <f aca="false">SUM(C54:N54)</f>
        <v>0</v>
      </c>
      <c r="C54" s="66" t="n">
        <f aca="false">'Assumption Setting'!$C$53</f>
        <v>0</v>
      </c>
      <c r="D54" s="66" t="n">
        <f aca="false">'Assumption Setting'!$C$53</f>
        <v>0</v>
      </c>
      <c r="E54" s="66" t="n">
        <f aca="false">'Assumption Setting'!$C$53</f>
        <v>0</v>
      </c>
      <c r="F54" s="66" t="n">
        <f aca="false">'Assumption Setting'!$C$53</f>
        <v>0</v>
      </c>
      <c r="G54" s="66" t="n">
        <f aca="false">'Assumption Setting'!$C$53</f>
        <v>0</v>
      </c>
      <c r="H54" s="66" t="n">
        <f aca="false">'Assumption Setting'!$C$53</f>
        <v>0</v>
      </c>
      <c r="I54" s="66" t="n">
        <f aca="false">'Assumption Setting'!$C$53</f>
        <v>0</v>
      </c>
      <c r="J54" s="66" t="n">
        <f aca="false">'Assumption Setting'!$C$53</f>
        <v>0</v>
      </c>
      <c r="K54" s="66" t="n">
        <f aca="false">'Assumption Setting'!$C$53</f>
        <v>0</v>
      </c>
      <c r="L54" s="66" t="n">
        <f aca="false">'Assumption Setting'!$C$53</f>
        <v>0</v>
      </c>
      <c r="M54" s="66" t="n">
        <f aca="false">'Assumption Setting'!$C$53</f>
        <v>0</v>
      </c>
      <c r="N54" s="66" t="n">
        <f aca="false">'Assumption Setting'!$C$53</f>
        <v>0</v>
      </c>
      <c r="O54" s="65" t="n">
        <f aca="false">SUM(P54:AA54)</f>
        <v>6</v>
      </c>
      <c r="P54" s="66" t="n">
        <f aca="false">'Assumption Setting'!$D$53</f>
        <v>0.5</v>
      </c>
      <c r="Q54" s="66" t="n">
        <f aca="false">'Assumption Setting'!$D$53</f>
        <v>0.5</v>
      </c>
      <c r="R54" s="66" t="n">
        <f aca="false">'Assumption Setting'!$D$53</f>
        <v>0.5</v>
      </c>
      <c r="S54" s="66" t="n">
        <f aca="false">'Assumption Setting'!$D$53</f>
        <v>0.5</v>
      </c>
      <c r="T54" s="66" t="n">
        <f aca="false">'Assumption Setting'!$D$53</f>
        <v>0.5</v>
      </c>
      <c r="U54" s="66" t="n">
        <f aca="false">'Assumption Setting'!$D$53</f>
        <v>0.5</v>
      </c>
      <c r="V54" s="66" t="n">
        <f aca="false">'Assumption Setting'!$D$53</f>
        <v>0.5</v>
      </c>
      <c r="W54" s="66" t="n">
        <f aca="false">'Assumption Setting'!$D$53</f>
        <v>0.5</v>
      </c>
      <c r="X54" s="66" t="n">
        <f aca="false">'Assumption Setting'!$D$53</f>
        <v>0.5</v>
      </c>
      <c r="Y54" s="66" t="n">
        <f aca="false">'Assumption Setting'!$D$53</f>
        <v>0.5</v>
      </c>
      <c r="Z54" s="66" t="n">
        <f aca="false">'Assumption Setting'!$D$53</f>
        <v>0.5</v>
      </c>
      <c r="AA54" s="66" t="n">
        <f aca="false">'Assumption Setting'!$D$53</f>
        <v>0.5</v>
      </c>
      <c r="AB54" s="65" t="n">
        <f aca="false">SUM(AC54:AN54)</f>
        <v>12</v>
      </c>
      <c r="AC54" s="66" t="n">
        <f aca="false">'Assumption Setting'!$E$53</f>
        <v>1</v>
      </c>
      <c r="AD54" s="66" t="n">
        <f aca="false">'Assumption Setting'!$E$53</f>
        <v>1</v>
      </c>
      <c r="AE54" s="66" t="n">
        <f aca="false">'Assumption Setting'!$E$53</f>
        <v>1</v>
      </c>
      <c r="AF54" s="66" t="n">
        <f aca="false">'Assumption Setting'!$E$53</f>
        <v>1</v>
      </c>
      <c r="AG54" s="66" t="n">
        <f aca="false">'Assumption Setting'!$E$53</f>
        <v>1</v>
      </c>
      <c r="AH54" s="66" t="n">
        <f aca="false">'Assumption Setting'!$E$53</f>
        <v>1</v>
      </c>
      <c r="AI54" s="66" t="n">
        <f aca="false">'Assumption Setting'!$E$53</f>
        <v>1</v>
      </c>
      <c r="AJ54" s="66" t="n">
        <f aca="false">'Assumption Setting'!$E$53</f>
        <v>1</v>
      </c>
      <c r="AK54" s="66" t="n">
        <f aca="false">'Assumption Setting'!$E$53</f>
        <v>1</v>
      </c>
      <c r="AL54" s="66" t="n">
        <f aca="false">'Assumption Setting'!$E$53</f>
        <v>1</v>
      </c>
      <c r="AM54" s="66" t="n">
        <f aca="false">'Assumption Setting'!$E$53</f>
        <v>1</v>
      </c>
      <c r="AN54" s="66" t="n">
        <f aca="false">'Assumption Setting'!$E$53</f>
        <v>1</v>
      </c>
      <c r="AO54" s="65" t="n">
        <f aca="false">SUM(AP54:BA54)</f>
        <v>18</v>
      </c>
      <c r="AP54" s="66" t="n">
        <f aca="false">'Assumption Setting'!$F$53</f>
        <v>1.5</v>
      </c>
      <c r="AQ54" s="66" t="n">
        <f aca="false">'Assumption Setting'!$F$53</f>
        <v>1.5</v>
      </c>
      <c r="AR54" s="66" t="n">
        <f aca="false">'Assumption Setting'!$F$53</f>
        <v>1.5</v>
      </c>
      <c r="AS54" s="66" t="n">
        <f aca="false">'Assumption Setting'!$F$53</f>
        <v>1.5</v>
      </c>
      <c r="AT54" s="66" t="n">
        <f aca="false">'Assumption Setting'!$F$53</f>
        <v>1.5</v>
      </c>
      <c r="AU54" s="66" t="n">
        <f aca="false">'Assumption Setting'!$F$53</f>
        <v>1.5</v>
      </c>
      <c r="AV54" s="66" t="n">
        <f aca="false">'Assumption Setting'!$F$53</f>
        <v>1.5</v>
      </c>
      <c r="AW54" s="66" t="n">
        <f aca="false">'Assumption Setting'!$F$53</f>
        <v>1.5</v>
      </c>
      <c r="AX54" s="66" t="n">
        <f aca="false">'Assumption Setting'!$F$53</f>
        <v>1.5</v>
      </c>
      <c r="AY54" s="66" t="n">
        <f aca="false">'Assumption Setting'!$F$53</f>
        <v>1.5</v>
      </c>
      <c r="AZ54" s="66" t="n">
        <f aca="false">'Assumption Setting'!$F$53</f>
        <v>1.5</v>
      </c>
      <c r="BA54" s="66" t="n">
        <f aca="false">'Assumption Setting'!$F$53</f>
        <v>1.5</v>
      </c>
      <c r="BB54" s="65" t="n">
        <f aca="false">SUM(BC54:BN54)</f>
        <v>24</v>
      </c>
      <c r="BC54" s="66" t="n">
        <f aca="false">'Assumption Setting'!$G$53</f>
        <v>2</v>
      </c>
      <c r="BD54" s="66" t="n">
        <f aca="false">'Assumption Setting'!$G$53</f>
        <v>2</v>
      </c>
      <c r="BE54" s="66" t="n">
        <f aca="false">'Assumption Setting'!$G$53</f>
        <v>2</v>
      </c>
      <c r="BF54" s="66" t="n">
        <f aca="false">'Assumption Setting'!$G$53</f>
        <v>2</v>
      </c>
      <c r="BG54" s="66" t="n">
        <f aca="false">'Assumption Setting'!$G$53</f>
        <v>2</v>
      </c>
      <c r="BH54" s="66" t="n">
        <f aca="false">'Assumption Setting'!$G$53</f>
        <v>2</v>
      </c>
      <c r="BI54" s="66" t="n">
        <f aca="false">'Assumption Setting'!$G$53</f>
        <v>2</v>
      </c>
      <c r="BJ54" s="66" t="n">
        <f aca="false">'Assumption Setting'!$G$53</f>
        <v>2</v>
      </c>
      <c r="BK54" s="66" t="n">
        <f aca="false">'Assumption Setting'!$G$53</f>
        <v>2</v>
      </c>
      <c r="BL54" s="66" t="n">
        <f aca="false">'Assumption Setting'!$G$53</f>
        <v>2</v>
      </c>
      <c r="BM54" s="66" t="n">
        <f aca="false">'Assumption Setting'!$G$53</f>
        <v>2</v>
      </c>
      <c r="BN54" s="66" t="n">
        <f aca="false">'Assumption Setting'!$G$53</f>
        <v>2</v>
      </c>
    </row>
    <row r="55" customFormat="false" ht="15" hidden="false" customHeight="false" outlineLevel="0" collapsed="false">
      <c r="A55" s="4" t="s">
        <v>387</v>
      </c>
      <c r="B55" s="65" t="n">
        <f aca="false">SUM(C55:N55)</f>
        <v>10800</v>
      </c>
      <c r="C55" s="66" t="n">
        <f aca="false">'Assumption Setting'!$C$54</f>
        <v>900</v>
      </c>
      <c r="D55" s="66" t="n">
        <f aca="false">'Assumption Setting'!$C$54</f>
        <v>900</v>
      </c>
      <c r="E55" s="66" t="n">
        <f aca="false">'Assumption Setting'!$C$54</f>
        <v>900</v>
      </c>
      <c r="F55" s="66" t="n">
        <f aca="false">'Assumption Setting'!$C$54</f>
        <v>900</v>
      </c>
      <c r="G55" s="66" t="n">
        <f aca="false">'Assumption Setting'!$C$54</f>
        <v>900</v>
      </c>
      <c r="H55" s="66" t="n">
        <f aca="false">'Assumption Setting'!$C$54</f>
        <v>900</v>
      </c>
      <c r="I55" s="66" t="n">
        <f aca="false">'Assumption Setting'!$C$54</f>
        <v>900</v>
      </c>
      <c r="J55" s="66" t="n">
        <f aca="false">'Assumption Setting'!$C$54</f>
        <v>900</v>
      </c>
      <c r="K55" s="66" t="n">
        <f aca="false">'Assumption Setting'!$C$54</f>
        <v>900</v>
      </c>
      <c r="L55" s="66" t="n">
        <f aca="false">'Assumption Setting'!$C$54</f>
        <v>900</v>
      </c>
      <c r="M55" s="66" t="n">
        <f aca="false">'Assumption Setting'!$C$54</f>
        <v>900</v>
      </c>
      <c r="N55" s="66" t="n">
        <f aca="false">'Assumption Setting'!$C$54</f>
        <v>900</v>
      </c>
      <c r="O55" s="65" t="n">
        <f aca="false">SUM(P55:AA55)</f>
        <v>18000</v>
      </c>
      <c r="P55" s="66" t="n">
        <f aca="false">'Assumption Setting'!$D$54</f>
        <v>1500</v>
      </c>
      <c r="Q55" s="66" t="n">
        <f aca="false">'Assumption Setting'!$D$54</f>
        <v>1500</v>
      </c>
      <c r="R55" s="66" t="n">
        <f aca="false">'Assumption Setting'!$D$54</f>
        <v>1500</v>
      </c>
      <c r="S55" s="66" t="n">
        <f aca="false">'Assumption Setting'!$D$54</f>
        <v>1500</v>
      </c>
      <c r="T55" s="66" t="n">
        <f aca="false">'Assumption Setting'!$D$54</f>
        <v>1500</v>
      </c>
      <c r="U55" s="66" t="n">
        <f aca="false">'Assumption Setting'!$D$54</f>
        <v>1500</v>
      </c>
      <c r="V55" s="66" t="n">
        <f aca="false">'Assumption Setting'!$D$54</f>
        <v>1500</v>
      </c>
      <c r="W55" s="66" t="n">
        <f aca="false">'Assumption Setting'!$D$54</f>
        <v>1500</v>
      </c>
      <c r="X55" s="66" t="n">
        <f aca="false">'Assumption Setting'!$D$54</f>
        <v>1500</v>
      </c>
      <c r="Y55" s="66" t="n">
        <f aca="false">'Assumption Setting'!$D$54</f>
        <v>1500</v>
      </c>
      <c r="Z55" s="66" t="n">
        <f aca="false">'Assumption Setting'!$D$54</f>
        <v>1500</v>
      </c>
      <c r="AA55" s="66" t="n">
        <f aca="false">'Assumption Setting'!$D$54</f>
        <v>1500</v>
      </c>
      <c r="AB55" s="65" t="n">
        <f aca="false">SUM(AC55:AN55)</f>
        <v>27600</v>
      </c>
      <c r="AC55" s="66" t="n">
        <f aca="false">'Assumption Setting'!$E$54</f>
        <v>2300</v>
      </c>
      <c r="AD55" s="66" t="n">
        <f aca="false">'Assumption Setting'!$E$54</f>
        <v>2300</v>
      </c>
      <c r="AE55" s="66" t="n">
        <f aca="false">'Assumption Setting'!$E$54</f>
        <v>2300</v>
      </c>
      <c r="AF55" s="66" t="n">
        <f aca="false">'Assumption Setting'!$E$54</f>
        <v>2300</v>
      </c>
      <c r="AG55" s="66" t="n">
        <f aca="false">'Assumption Setting'!$E$54</f>
        <v>2300</v>
      </c>
      <c r="AH55" s="66" t="n">
        <f aca="false">'Assumption Setting'!$E$54</f>
        <v>2300</v>
      </c>
      <c r="AI55" s="66" t="n">
        <f aca="false">'Assumption Setting'!$E$54</f>
        <v>2300</v>
      </c>
      <c r="AJ55" s="66" t="n">
        <f aca="false">'Assumption Setting'!$E$54</f>
        <v>2300</v>
      </c>
      <c r="AK55" s="66" t="n">
        <f aca="false">'Assumption Setting'!$E$54</f>
        <v>2300</v>
      </c>
      <c r="AL55" s="66" t="n">
        <f aca="false">'Assumption Setting'!$E$54</f>
        <v>2300</v>
      </c>
      <c r="AM55" s="66" t="n">
        <f aca="false">'Assumption Setting'!$E$54</f>
        <v>2300</v>
      </c>
      <c r="AN55" s="66" t="n">
        <f aca="false">'Assumption Setting'!$E$54</f>
        <v>2300</v>
      </c>
      <c r="AO55" s="65" t="n">
        <f aca="false">SUM(AP55:BA55)</f>
        <v>37200</v>
      </c>
      <c r="AP55" s="66" t="n">
        <f aca="false">'Assumption Setting'!$F$54</f>
        <v>3100</v>
      </c>
      <c r="AQ55" s="66" t="n">
        <f aca="false">'Assumption Setting'!$F$54</f>
        <v>3100</v>
      </c>
      <c r="AR55" s="66" t="n">
        <f aca="false">'Assumption Setting'!$F$54</f>
        <v>3100</v>
      </c>
      <c r="AS55" s="66" t="n">
        <f aca="false">'Assumption Setting'!$F$54</f>
        <v>3100</v>
      </c>
      <c r="AT55" s="66" t="n">
        <f aca="false">'Assumption Setting'!$F$54</f>
        <v>3100</v>
      </c>
      <c r="AU55" s="66" t="n">
        <f aca="false">'Assumption Setting'!$F$54</f>
        <v>3100</v>
      </c>
      <c r="AV55" s="66" t="n">
        <f aca="false">'Assumption Setting'!$F$54</f>
        <v>3100</v>
      </c>
      <c r="AW55" s="66" t="n">
        <f aca="false">'Assumption Setting'!$F$54</f>
        <v>3100</v>
      </c>
      <c r="AX55" s="66" t="n">
        <f aca="false">'Assumption Setting'!$F$54</f>
        <v>3100</v>
      </c>
      <c r="AY55" s="66" t="n">
        <f aca="false">'Assumption Setting'!$F$54</f>
        <v>3100</v>
      </c>
      <c r="AZ55" s="66" t="n">
        <f aca="false">'Assumption Setting'!$F$54</f>
        <v>3100</v>
      </c>
      <c r="BA55" s="66" t="n">
        <f aca="false">'Assumption Setting'!$F$54</f>
        <v>3100</v>
      </c>
      <c r="BB55" s="65" t="n">
        <f aca="false">SUM(BC55:BN55)</f>
        <v>46800</v>
      </c>
      <c r="BC55" s="66" t="n">
        <f aca="false">'Assumption Setting'!$G$54</f>
        <v>3900</v>
      </c>
      <c r="BD55" s="66" t="n">
        <f aca="false">'Assumption Setting'!$G$54</f>
        <v>3900</v>
      </c>
      <c r="BE55" s="66" t="n">
        <f aca="false">'Assumption Setting'!$G$54</f>
        <v>3900</v>
      </c>
      <c r="BF55" s="66" t="n">
        <f aca="false">'Assumption Setting'!$G$54</f>
        <v>3900</v>
      </c>
      <c r="BG55" s="66" t="n">
        <f aca="false">'Assumption Setting'!$G$54</f>
        <v>3900</v>
      </c>
      <c r="BH55" s="66" t="n">
        <f aca="false">'Assumption Setting'!$G$54</f>
        <v>3900</v>
      </c>
      <c r="BI55" s="66" t="n">
        <f aca="false">'Assumption Setting'!$G$54</f>
        <v>3900</v>
      </c>
      <c r="BJ55" s="66" t="n">
        <f aca="false">'Assumption Setting'!$G$54</f>
        <v>3900</v>
      </c>
      <c r="BK55" s="66" t="n">
        <f aca="false">'Assumption Setting'!$G$54</f>
        <v>3900</v>
      </c>
      <c r="BL55" s="66" t="n">
        <f aca="false">'Assumption Setting'!$G$54</f>
        <v>3900</v>
      </c>
      <c r="BM55" s="66" t="n">
        <f aca="false">'Assumption Setting'!$G$54</f>
        <v>3900</v>
      </c>
      <c r="BN55" s="66" t="n">
        <f aca="false">'Assumption Setting'!$G$54</f>
        <v>3900</v>
      </c>
    </row>
    <row r="56" customFormat="false" ht="15" hidden="false" customHeight="false" outlineLevel="0" collapsed="false">
      <c r="A56" s="13" t="s">
        <v>673</v>
      </c>
      <c r="B56" s="59" t="n">
        <f aca="false">SUM(C56:N56)</f>
        <v>14760</v>
      </c>
      <c r="C56" s="61" t="n">
        <f aca="false">C50*'Assumption Setting'!$H$49+C51*'Assumption Setting'!$H$50+C52*'Assumption Setting'!$H$51+C53*'Assumption Setting'!$H$52+C54*'Assumption Setting'!$H$53+C55*'Assumption Setting'!$H$54</f>
        <v>1230</v>
      </c>
      <c r="D56" s="61" t="n">
        <f aca="false">D50*'Assumption Setting'!$H$49+D51*'Assumption Setting'!$H$50+D52*'Assumption Setting'!$H$51+D53*'Assumption Setting'!$H$52+D54*'Assumption Setting'!$H$53+D55*'Assumption Setting'!$H$54</f>
        <v>1230</v>
      </c>
      <c r="E56" s="61" t="n">
        <f aca="false">E50*'Assumption Setting'!$H$49+E51*'Assumption Setting'!$H$50+E52*'Assumption Setting'!$H$51+E53*'Assumption Setting'!$H$52+E54*'Assumption Setting'!$H$53+E55*'Assumption Setting'!$H$54</f>
        <v>1230</v>
      </c>
      <c r="F56" s="61" t="n">
        <f aca="false">F50*'Assumption Setting'!$H$49+F51*'Assumption Setting'!$H$50+F52*'Assumption Setting'!$H$51+F53*'Assumption Setting'!$H$52+F54*'Assumption Setting'!$H$53+F55*'Assumption Setting'!$H$54</f>
        <v>1230</v>
      </c>
      <c r="G56" s="61" t="n">
        <f aca="false">G50*'Assumption Setting'!$H$49+G51*'Assumption Setting'!$H$50+G52*'Assumption Setting'!$H$51+G53*'Assumption Setting'!$H$52+G54*'Assumption Setting'!$H$53+G55*'Assumption Setting'!$H$54</f>
        <v>1230</v>
      </c>
      <c r="H56" s="61" t="n">
        <f aca="false">H50*'Assumption Setting'!$H$49+H51*'Assumption Setting'!$H$50+H52*'Assumption Setting'!$H$51+H53*'Assumption Setting'!$H$52+H54*'Assumption Setting'!$H$53+H55*'Assumption Setting'!$H$54</f>
        <v>1230</v>
      </c>
      <c r="I56" s="61" t="n">
        <f aca="false">I50*'Assumption Setting'!$H$49+I51*'Assumption Setting'!$H$50+I52*'Assumption Setting'!$H$51+I53*'Assumption Setting'!$H$52+I54*'Assumption Setting'!$H$53+I55*'Assumption Setting'!$H$54</f>
        <v>1230</v>
      </c>
      <c r="J56" s="61" t="n">
        <f aca="false">J50*'Assumption Setting'!$H$49+J51*'Assumption Setting'!$H$50+J52*'Assumption Setting'!$H$51+J53*'Assumption Setting'!$H$52+J54*'Assumption Setting'!$H$53+J55*'Assumption Setting'!$H$54</f>
        <v>1230</v>
      </c>
      <c r="K56" s="61" t="n">
        <f aca="false">K50*'Assumption Setting'!$H$49+K51*'Assumption Setting'!$H$50+K52*'Assumption Setting'!$H$51+K53*'Assumption Setting'!$H$52+K54*'Assumption Setting'!$H$53+K55*'Assumption Setting'!$H$54</f>
        <v>1230</v>
      </c>
      <c r="L56" s="61" t="n">
        <f aca="false">L50*'Assumption Setting'!$H$49+L51*'Assumption Setting'!$H$50+L52*'Assumption Setting'!$H$51+L53*'Assumption Setting'!$H$52+L54*'Assumption Setting'!$H$53+L55*'Assumption Setting'!$H$54</f>
        <v>1230</v>
      </c>
      <c r="M56" s="61" t="n">
        <f aca="false">M50*'Assumption Setting'!$H$49+M51*'Assumption Setting'!$H$50+M52*'Assumption Setting'!$H$51+M53*'Assumption Setting'!$H$52+M54*'Assumption Setting'!$H$53+M55*'Assumption Setting'!$H$54</f>
        <v>1230</v>
      </c>
      <c r="N56" s="61" t="n">
        <f aca="false">N50*'Assumption Setting'!$H$49+N51*'Assumption Setting'!$H$50+N52*'Assumption Setting'!$H$51+N53*'Assumption Setting'!$H$52+N54*'Assumption Setting'!$H$53+N55*'Assumption Setting'!$H$54</f>
        <v>1230</v>
      </c>
      <c r="O56" s="59" t="n">
        <f aca="false">SUM(P56:AA56)</f>
        <v>34920</v>
      </c>
      <c r="P56" s="61" t="n">
        <f aca="false">P50*'Assumption Setting'!$H$49+P51*'Assumption Setting'!$H$50+P52*'Assumption Setting'!$H$51+P53*'Assumption Setting'!$H$52+P54*'Assumption Setting'!$H$53+P55*'Assumption Setting'!$H$54</f>
        <v>2910</v>
      </c>
      <c r="Q56" s="61" t="n">
        <f aca="false">Q50*'Assumption Setting'!$H$49+Q51*'Assumption Setting'!$H$50+Q52*'Assumption Setting'!$H$51+Q53*'Assumption Setting'!$H$52+Q54*'Assumption Setting'!$H$53+Q55*'Assumption Setting'!$H$54</f>
        <v>2910</v>
      </c>
      <c r="R56" s="61" t="n">
        <f aca="false">R50*'Assumption Setting'!$H$49+R51*'Assumption Setting'!$H$50+R52*'Assumption Setting'!$H$51+R53*'Assumption Setting'!$H$52+R54*'Assumption Setting'!$H$53+R55*'Assumption Setting'!$H$54</f>
        <v>2910</v>
      </c>
      <c r="S56" s="61" t="n">
        <f aca="false">S50*'Assumption Setting'!$H$49+S51*'Assumption Setting'!$H$50+S52*'Assumption Setting'!$H$51+S53*'Assumption Setting'!$H$52+S54*'Assumption Setting'!$H$53+S55*'Assumption Setting'!$H$54</f>
        <v>2910</v>
      </c>
      <c r="T56" s="61" t="n">
        <f aca="false">T50*'Assumption Setting'!$H$49+T51*'Assumption Setting'!$H$50+T52*'Assumption Setting'!$H$51+T53*'Assumption Setting'!$H$52+T54*'Assumption Setting'!$H$53+T55*'Assumption Setting'!$H$54</f>
        <v>2910</v>
      </c>
      <c r="U56" s="61" t="n">
        <f aca="false">U50*'Assumption Setting'!$H$49+U51*'Assumption Setting'!$H$50+U52*'Assumption Setting'!$H$51+U53*'Assumption Setting'!$H$52+U54*'Assumption Setting'!$H$53+U55*'Assumption Setting'!$H$54</f>
        <v>2910</v>
      </c>
      <c r="V56" s="61" t="n">
        <f aca="false">V50*'Assumption Setting'!$H$49+V51*'Assumption Setting'!$H$50+V52*'Assumption Setting'!$H$51+V53*'Assumption Setting'!$H$52+V54*'Assumption Setting'!$H$53+V55*'Assumption Setting'!$H$54</f>
        <v>2910</v>
      </c>
      <c r="W56" s="61" t="n">
        <f aca="false">W50*'Assumption Setting'!$H$49+W51*'Assumption Setting'!$H$50+W52*'Assumption Setting'!$H$51+W53*'Assumption Setting'!$H$52+W54*'Assumption Setting'!$H$53+W55*'Assumption Setting'!$H$54</f>
        <v>2910</v>
      </c>
      <c r="X56" s="61" t="n">
        <f aca="false">X50*'Assumption Setting'!$H$49+X51*'Assumption Setting'!$H$50+X52*'Assumption Setting'!$H$51+X53*'Assumption Setting'!$H$52+X54*'Assumption Setting'!$H$53+X55*'Assumption Setting'!$H$54</f>
        <v>2910</v>
      </c>
      <c r="Y56" s="61" t="n">
        <f aca="false">Y50*'Assumption Setting'!$H$49+Y51*'Assumption Setting'!$H$50+Y52*'Assumption Setting'!$H$51+Y53*'Assumption Setting'!$H$52+Y54*'Assumption Setting'!$H$53+Y55*'Assumption Setting'!$H$54</f>
        <v>2910</v>
      </c>
      <c r="Z56" s="61" t="n">
        <f aca="false">Z50*'Assumption Setting'!$H$49+Z51*'Assumption Setting'!$H$50+Z52*'Assumption Setting'!$H$51+Z53*'Assumption Setting'!$H$52+Z54*'Assumption Setting'!$H$53+Z55*'Assumption Setting'!$H$54</f>
        <v>2910</v>
      </c>
      <c r="AA56" s="61" t="n">
        <f aca="false">AA50*'Assumption Setting'!$H$49+AA51*'Assumption Setting'!$H$50+AA52*'Assumption Setting'!$H$51+AA53*'Assumption Setting'!$H$52+AA54*'Assumption Setting'!$H$53+AA55*'Assumption Setting'!$H$54</f>
        <v>2910</v>
      </c>
      <c r="AB56" s="59" t="n">
        <f aca="false">SUM(AC56:AN56)</f>
        <v>55080</v>
      </c>
      <c r="AC56" s="61" t="n">
        <f aca="false">AC50*'Assumption Setting'!$H$49+AC51*'Assumption Setting'!$H$50+AC52*'Assumption Setting'!$H$51+AC53*'Assumption Setting'!$H$52+AC54*'Assumption Setting'!$H$53+AC55*'Assumption Setting'!$H$54</f>
        <v>4590</v>
      </c>
      <c r="AD56" s="61" t="n">
        <f aca="false">AD50*'Assumption Setting'!$H$49+AD51*'Assumption Setting'!$H$50+AD52*'Assumption Setting'!$H$51+AD53*'Assumption Setting'!$H$52+AD54*'Assumption Setting'!$H$53+AD55*'Assumption Setting'!$H$54</f>
        <v>4590</v>
      </c>
      <c r="AE56" s="61" t="n">
        <f aca="false">AE50*'Assumption Setting'!$H$49+AE51*'Assumption Setting'!$H$50+AE52*'Assumption Setting'!$H$51+AE53*'Assumption Setting'!$H$52+AE54*'Assumption Setting'!$H$53+AE55*'Assumption Setting'!$H$54</f>
        <v>4590</v>
      </c>
      <c r="AF56" s="61" t="n">
        <f aca="false">AF50*'Assumption Setting'!$H$49+AF51*'Assumption Setting'!$H$50+AF52*'Assumption Setting'!$H$51+AF53*'Assumption Setting'!$H$52+AF54*'Assumption Setting'!$H$53+AF55*'Assumption Setting'!$H$54</f>
        <v>4590</v>
      </c>
      <c r="AG56" s="61" t="n">
        <f aca="false">AG50*'Assumption Setting'!$H$49+AG51*'Assumption Setting'!$H$50+AG52*'Assumption Setting'!$H$51+AG53*'Assumption Setting'!$H$52+AG54*'Assumption Setting'!$H$53+AG55*'Assumption Setting'!$H$54</f>
        <v>4590</v>
      </c>
      <c r="AH56" s="61" t="n">
        <f aca="false">AH50*'Assumption Setting'!$H$49+AH51*'Assumption Setting'!$H$50+AH52*'Assumption Setting'!$H$51+AH53*'Assumption Setting'!$H$52+AH54*'Assumption Setting'!$H$53+AH55*'Assumption Setting'!$H$54</f>
        <v>4590</v>
      </c>
      <c r="AI56" s="61" t="n">
        <f aca="false">AI50*'Assumption Setting'!$H$49+AI51*'Assumption Setting'!$H$50+AI52*'Assumption Setting'!$H$51+AI53*'Assumption Setting'!$H$52+AI54*'Assumption Setting'!$H$53+AI55*'Assumption Setting'!$H$54</f>
        <v>4590</v>
      </c>
      <c r="AJ56" s="61" t="n">
        <f aca="false">AJ50*'Assumption Setting'!$H$49+AJ51*'Assumption Setting'!$H$50+AJ52*'Assumption Setting'!$H$51+AJ53*'Assumption Setting'!$H$52+AJ54*'Assumption Setting'!$H$53+AJ55*'Assumption Setting'!$H$54</f>
        <v>4590</v>
      </c>
      <c r="AK56" s="61" t="n">
        <f aca="false">AK50*'Assumption Setting'!$H$49+AK51*'Assumption Setting'!$H$50+AK52*'Assumption Setting'!$H$51+AK53*'Assumption Setting'!$H$52+AK54*'Assumption Setting'!$H$53+AK55*'Assumption Setting'!$H$54</f>
        <v>4590</v>
      </c>
      <c r="AL56" s="61" t="n">
        <f aca="false">AL50*'Assumption Setting'!$H$49+AL51*'Assumption Setting'!$H$50+AL52*'Assumption Setting'!$H$51+AL53*'Assumption Setting'!$H$52+AL54*'Assumption Setting'!$H$53+AL55*'Assumption Setting'!$H$54</f>
        <v>4590</v>
      </c>
      <c r="AM56" s="61" t="n">
        <f aca="false">AM50*'Assumption Setting'!$H$49+AM51*'Assumption Setting'!$H$50+AM52*'Assumption Setting'!$H$51+AM53*'Assumption Setting'!$H$52+AM54*'Assumption Setting'!$H$53+AM55*'Assumption Setting'!$H$54</f>
        <v>4590</v>
      </c>
      <c r="AN56" s="61" t="n">
        <f aca="false">AN50*'Assumption Setting'!$H$49+AN51*'Assumption Setting'!$H$50+AN52*'Assumption Setting'!$H$51+AN53*'Assumption Setting'!$H$52+AN54*'Assumption Setting'!$H$53+AN55*'Assumption Setting'!$H$54</f>
        <v>4590</v>
      </c>
      <c r="AO56" s="59" t="n">
        <f aca="false">SUM(AP56:BA56)</f>
        <v>75240</v>
      </c>
      <c r="AP56" s="61" t="n">
        <f aca="false">AP50*'Assumption Setting'!$H$49+AP51*'Assumption Setting'!$H$50+AP52*'Assumption Setting'!$H$51+AP53*'Assumption Setting'!$H$52+AP54*'Assumption Setting'!$H$53+AP55*'Assumption Setting'!$H$54</f>
        <v>6270</v>
      </c>
      <c r="AQ56" s="61" t="n">
        <f aca="false">AQ50*'Assumption Setting'!$H$49+AQ51*'Assumption Setting'!$H$50+AQ52*'Assumption Setting'!$H$51+AQ53*'Assumption Setting'!$H$52+AQ54*'Assumption Setting'!$H$53+AQ55*'Assumption Setting'!$H$54</f>
        <v>6270</v>
      </c>
      <c r="AR56" s="61" t="n">
        <f aca="false">AR50*'Assumption Setting'!$H$49+AR51*'Assumption Setting'!$H$50+AR52*'Assumption Setting'!$H$51+AR53*'Assumption Setting'!$H$52+AR54*'Assumption Setting'!$H$53+AR55*'Assumption Setting'!$H$54</f>
        <v>6270</v>
      </c>
      <c r="AS56" s="61" t="n">
        <f aca="false">AS50*'Assumption Setting'!$H$49+AS51*'Assumption Setting'!$H$50+AS52*'Assumption Setting'!$H$51+AS53*'Assumption Setting'!$H$52+AS54*'Assumption Setting'!$H$53+AS55*'Assumption Setting'!$H$54</f>
        <v>6270</v>
      </c>
      <c r="AT56" s="61" t="n">
        <f aca="false">AT50*'Assumption Setting'!$H$49+AT51*'Assumption Setting'!$H$50+AT52*'Assumption Setting'!$H$51+AT53*'Assumption Setting'!$H$52+AT54*'Assumption Setting'!$H$53+AT55*'Assumption Setting'!$H$54</f>
        <v>6270</v>
      </c>
      <c r="AU56" s="61" t="n">
        <f aca="false">AU50*'Assumption Setting'!$H$49+AU51*'Assumption Setting'!$H$50+AU52*'Assumption Setting'!$H$51+AU53*'Assumption Setting'!$H$52+AU54*'Assumption Setting'!$H$53+AU55*'Assumption Setting'!$H$54</f>
        <v>6270</v>
      </c>
      <c r="AV56" s="61" t="n">
        <f aca="false">AV50*'Assumption Setting'!$H$49+AV51*'Assumption Setting'!$H$50+AV52*'Assumption Setting'!$H$51+AV53*'Assumption Setting'!$H$52+AV54*'Assumption Setting'!$H$53+AV55*'Assumption Setting'!$H$54</f>
        <v>6270</v>
      </c>
      <c r="AW56" s="61" t="n">
        <f aca="false">AW50*'Assumption Setting'!$H$49+AW51*'Assumption Setting'!$H$50+AW52*'Assumption Setting'!$H$51+AW53*'Assumption Setting'!$H$52+AW54*'Assumption Setting'!$H$53+AW55*'Assumption Setting'!$H$54</f>
        <v>6270</v>
      </c>
      <c r="AX56" s="61" t="n">
        <f aca="false">AX50*'Assumption Setting'!$H$49+AX51*'Assumption Setting'!$H$50+AX52*'Assumption Setting'!$H$51+AX53*'Assumption Setting'!$H$52+AX54*'Assumption Setting'!$H$53+AX55*'Assumption Setting'!$H$54</f>
        <v>6270</v>
      </c>
      <c r="AY56" s="61" t="n">
        <f aca="false">AY50*'Assumption Setting'!$H$49+AY51*'Assumption Setting'!$H$50+AY52*'Assumption Setting'!$H$51+AY53*'Assumption Setting'!$H$52+AY54*'Assumption Setting'!$H$53+AY55*'Assumption Setting'!$H$54</f>
        <v>6270</v>
      </c>
      <c r="AZ56" s="61" t="n">
        <f aca="false">AZ50*'Assumption Setting'!$H$49+AZ51*'Assumption Setting'!$H$50+AZ52*'Assumption Setting'!$H$51+AZ53*'Assumption Setting'!$H$52+AZ54*'Assumption Setting'!$H$53+AZ55*'Assumption Setting'!$H$54</f>
        <v>6270</v>
      </c>
      <c r="BA56" s="61" t="n">
        <f aca="false">BA50*'Assumption Setting'!$H$49+BA51*'Assumption Setting'!$H$50+BA52*'Assumption Setting'!$H$51+BA53*'Assumption Setting'!$H$52+BA54*'Assumption Setting'!$H$53+BA55*'Assumption Setting'!$H$54</f>
        <v>6270</v>
      </c>
      <c r="BB56" s="59" t="n">
        <f aca="false">SUM(BC56:BN56)</f>
        <v>95400</v>
      </c>
      <c r="BC56" s="61" t="n">
        <f aca="false">BC50*'Assumption Setting'!$H$49+BC51*'Assumption Setting'!$H$50+BC52*'Assumption Setting'!$H$51+BC53*'Assumption Setting'!$H$52+BC54*'Assumption Setting'!$H$53+BC55*'Assumption Setting'!$H$54</f>
        <v>7950</v>
      </c>
      <c r="BD56" s="61" t="n">
        <f aca="false">BD50*'Assumption Setting'!$H$49+BD51*'Assumption Setting'!$H$50+BD52*'Assumption Setting'!$H$51+BD53*'Assumption Setting'!$H$52+BD54*'Assumption Setting'!$H$53+BD55*'Assumption Setting'!$H$54</f>
        <v>7950</v>
      </c>
      <c r="BE56" s="61" t="n">
        <f aca="false">BE50*'Assumption Setting'!$H$49+BE51*'Assumption Setting'!$H$50+BE52*'Assumption Setting'!$H$51+BE53*'Assumption Setting'!$H$52+BE54*'Assumption Setting'!$H$53+BE55*'Assumption Setting'!$H$54</f>
        <v>7950</v>
      </c>
      <c r="BF56" s="61" t="n">
        <f aca="false">BF50*'Assumption Setting'!$H$49+BF51*'Assumption Setting'!$H$50+BF52*'Assumption Setting'!$H$51+BF53*'Assumption Setting'!$H$52+BF54*'Assumption Setting'!$H$53+BF55*'Assumption Setting'!$H$54</f>
        <v>7950</v>
      </c>
      <c r="BG56" s="61" t="n">
        <f aca="false">BG50*'Assumption Setting'!$H$49+BG51*'Assumption Setting'!$H$50+BG52*'Assumption Setting'!$H$51+BG53*'Assumption Setting'!$H$52+BG54*'Assumption Setting'!$H$53+BG55*'Assumption Setting'!$H$54</f>
        <v>7950</v>
      </c>
      <c r="BH56" s="61" t="n">
        <f aca="false">BH50*'Assumption Setting'!$H$49+BH51*'Assumption Setting'!$H$50+BH52*'Assumption Setting'!$H$51+BH53*'Assumption Setting'!$H$52+BH54*'Assumption Setting'!$H$53+BH55*'Assumption Setting'!$H$54</f>
        <v>7950</v>
      </c>
      <c r="BI56" s="61" t="n">
        <f aca="false">BI50*'Assumption Setting'!$H$49+BI51*'Assumption Setting'!$H$50+BI52*'Assumption Setting'!$H$51+BI53*'Assumption Setting'!$H$52+BI54*'Assumption Setting'!$H$53+BI55*'Assumption Setting'!$H$54</f>
        <v>7950</v>
      </c>
      <c r="BJ56" s="61" t="n">
        <f aca="false">BJ50*'Assumption Setting'!$H$49+BJ51*'Assumption Setting'!$H$50+BJ52*'Assumption Setting'!$H$51+BJ53*'Assumption Setting'!$H$52+BJ54*'Assumption Setting'!$H$53+BJ55*'Assumption Setting'!$H$54</f>
        <v>7950</v>
      </c>
      <c r="BK56" s="61" t="n">
        <f aca="false">BK50*'Assumption Setting'!$H$49+BK51*'Assumption Setting'!$H$50+BK52*'Assumption Setting'!$H$51+BK53*'Assumption Setting'!$H$52+BK54*'Assumption Setting'!$H$53+BK55*'Assumption Setting'!$H$54</f>
        <v>7950</v>
      </c>
      <c r="BL56" s="61" t="n">
        <f aca="false">BL50*'Assumption Setting'!$H$49+BL51*'Assumption Setting'!$H$50+BL52*'Assumption Setting'!$H$51+BL53*'Assumption Setting'!$H$52+BL54*'Assumption Setting'!$H$53+BL55*'Assumption Setting'!$H$54</f>
        <v>7950</v>
      </c>
      <c r="BM56" s="61" t="n">
        <f aca="false">BM50*'Assumption Setting'!$H$49+BM51*'Assumption Setting'!$H$50+BM52*'Assumption Setting'!$H$51+BM53*'Assumption Setting'!$H$52+BM54*'Assumption Setting'!$H$53+BM55*'Assumption Setting'!$H$54</f>
        <v>7950</v>
      </c>
      <c r="BN56" s="61" t="n">
        <f aca="false">BN50*'Assumption Setting'!$H$49+BN51*'Assumption Setting'!$H$50+BN52*'Assumption Setting'!$H$51+BN53*'Assumption Setting'!$H$52+BN54*'Assumption Setting'!$H$53+BN55*'Assumption Setting'!$H$54</f>
        <v>7950</v>
      </c>
    </row>
    <row r="57" customFormat="false" ht="15" hidden="false" customHeight="false" outlineLevel="0" collapsed="false">
      <c r="A57" s="4" t="s">
        <v>674</v>
      </c>
      <c r="B57" s="69" t="n">
        <f aca="false">SUM(C57:N57)</f>
        <v>2748</v>
      </c>
      <c r="C57" s="72" t="n">
        <f aca="false">C50*'Assumption Setting'!$I$49+C51*'Assumption Setting'!$I$50+C52*'Assumption Setting'!$I$51+C53*'Assumption Setting'!$I$52+C54*'Assumption Setting'!$I$53+C55*'Assumption Setting'!$I$54</f>
        <v>229</v>
      </c>
      <c r="D57" s="72" t="n">
        <f aca="false">D50*'Assumption Setting'!$I$49+D51*'Assumption Setting'!$I$50+D52*'Assumption Setting'!$I$51+D53*'Assumption Setting'!$I$52+D54*'Assumption Setting'!$I$53+D55*'Assumption Setting'!$I$54</f>
        <v>229</v>
      </c>
      <c r="E57" s="72" t="n">
        <f aca="false">E50*'Assumption Setting'!$I$49+E51*'Assumption Setting'!$I$50+E52*'Assumption Setting'!$I$51+E53*'Assumption Setting'!$I$52+E54*'Assumption Setting'!$I$53+E55*'Assumption Setting'!$I$54</f>
        <v>229</v>
      </c>
      <c r="F57" s="72" t="n">
        <f aca="false">F50*'Assumption Setting'!$I$49+F51*'Assumption Setting'!$I$50+F52*'Assumption Setting'!$I$51+F53*'Assumption Setting'!$I$52+F54*'Assumption Setting'!$I$53+F55*'Assumption Setting'!$I$54</f>
        <v>229</v>
      </c>
      <c r="G57" s="72" t="n">
        <f aca="false">G50*'Assumption Setting'!$I$49+G51*'Assumption Setting'!$I$50+G52*'Assumption Setting'!$I$51+G53*'Assumption Setting'!$I$52+G54*'Assumption Setting'!$I$53+G55*'Assumption Setting'!$I$54</f>
        <v>229</v>
      </c>
      <c r="H57" s="72" t="n">
        <f aca="false">H50*'Assumption Setting'!$I$49+H51*'Assumption Setting'!$I$50+H52*'Assumption Setting'!$I$51+H53*'Assumption Setting'!$I$52+H54*'Assumption Setting'!$I$53+H55*'Assumption Setting'!$I$54</f>
        <v>229</v>
      </c>
      <c r="I57" s="72" t="n">
        <f aca="false">I50*'Assumption Setting'!$I$49+I51*'Assumption Setting'!$I$50+I52*'Assumption Setting'!$I$51+I53*'Assumption Setting'!$I$52+I54*'Assumption Setting'!$I$53+I55*'Assumption Setting'!$I$54</f>
        <v>229</v>
      </c>
      <c r="J57" s="72" t="n">
        <f aca="false">J50*'Assumption Setting'!$I$49+J51*'Assumption Setting'!$I$50+J52*'Assumption Setting'!$I$51+J53*'Assumption Setting'!$I$52+J54*'Assumption Setting'!$I$53+J55*'Assumption Setting'!$I$54</f>
        <v>229</v>
      </c>
      <c r="K57" s="72" t="n">
        <f aca="false">K50*'Assumption Setting'!$I$49+K51*'Assumption Setting'!$I$50+K52*'Assumption Setting'!$I$51+K53*'Assumption Setting'!$I$52+K54*'Assumption Setting'!$I$53+K55*'Assumption Setting'!$I$54</f>
        <v>229</v>
      </c>
      <c r="L57" s="72" t="n">
        <f aca="false">L50*'Assumption Setting'!$I$49+L51*'Assumption Setting'!$I$50+L52*'Assumption Setting'!$I$51+L53*'Assumption Setting'!$I$52+L54*'Assumption Setting'!$I$53+L55*'Assumption Setting'!$I$54</f>
        <v>229</v>
      </c>
      <c r="M57" s="72" t="n">
        <f aca="false">M50*'Assumption Setting'!$I$49+M51*'Assumption Setting'!$I$50+M52*'Assumption Setting'!$I$51+M53*'Assumption Setting'!$I$52+M54*'Assumption Setting'!$I$53+M55*'Assumption Setting'!$I$54</f>
        <v>229</v>
      </c>
      <c r="N57" s="72" t="n">
        <f aca="false">N50*'Assumption Setting'!$I$49+N51*'Assumption Setting'!$I$50+N52*'Assumption Setting'!$I$51+N53*'Assumption Setting'!$I$52+N54*'Assumption Setting'!$I$53+N55*'Assumption Setting'!$I$54</f>
        <v>229</v>
      </c>
      <c r="O57" s="69" t="n">
        <f aca="false">SUM(P57:AA57)</f>
        <v>5880</v>
      </c>
      <c r="P57" s="72" t="n">
        <f aca="false">P50*'Assumption Setting'!$I$49+P51*'Assumption Setting'!$I$50+P52*'Assumption Setting'!$I$51+P53*'Assumption Setting'!$I$52+P54*'Assumption Setting'!$I$53+P55*'Assumption Setting'!$I$54</f>
        <v>490</v>
      </c>
      <c r="Q57" s="72" t="n">
        <f aca="false">Q50*'Assumption Setting'!$I$49+Q51*'Assumption Setting'!$I$50+Q52*'Assumption Setting'!$I$51+Q53*'Assumption Setting'!$I$52+Q54*'Assumption Setting'!$I$53+Q55*'Assumption Setting'!$I$54</f>
        <v>490</v>
      </c>
      <c r="R57" s="72" t="n">
        <f aca="false">R50*'Assumption Setting'!$I$49+R51*'Assumption Setting'!$I$50+R52*'Assumption Setting'!$I$51+R53*'Assumption Setting'!$I$52+R54*'Assumption Setting'!$I$53+R55*'Assumption Setting'!$I$54</f>
        <v>490</v>
      </c>
      <c r="S57" s="72" t="n">
        <f aca="false">S50*'Assumption Setting'!$I$49+S51*'Assumption Setting'!$I$50+S52*'Assumption Setting'!$I$51+S53*'Assumption Setting'!$I$52+S54*'Assumption Setting'!$I$53+S55*'Assumption Setting'!$I$54</f>
        <v>490</v>
      </c>
      <c r="T57" s="72" t="n">
        <f aca="false">T50*'Assumption Setting'!$I$49+T51*'Assumption Setting'!$I$50+T52*'Assumption Setting'!$I$51+T53*'Assumption Setting'!$I$52+T54*'Assumption Setting'!$I$53+T55*'Assumption Setting'!$I$54</f>
        <v>490</v>
      </c>
      <c r="U57" s="72" t="n">
        <f aca="false">U50*'Assumption Setting'!$I$49+U51*'Assumption Setting'!$I$50+U52*'Assumption Setting'!$I$51+U53*'Assumption Setting'!$I$52+U54*'Assumption Setting'!$I$53+U55*'Assumption Setting'!$I$54</f>
        <v>490</v>
      </c>
      <c r="V57" s="72" t="n">
        <f aca="false">V50*'Assumption Setting'!$I$49+V51*'Assumption Setting'!$I$50+V52*'Assumption Setting'!$I$51+V53*'Assumption Setting'!$I$52+V54*'Assumption Setting'!$I$53+V55*'Assumption Setting'!$I$54</f>
        <v>490</v>
      </c>
      <c r="W57" s="72" t="n">
        <f aca="false">W50*'Assumption Setting'!$I$49+W51*'Assumption Setting'!$I$50+W52*'Assumption Setting'!$I$51+W53*'Assumption Setting'!$I$52+W54*'Assumption Setting'!$I$53+W55*'Assumption Setting'!$I$54</f>
        <v>490</v>
      </c>
      <c r="X57" s="72" t="n">
        <f aca="false">X50*'Assumption Setting'!$I$49+X51*'Assumption Setting'!$I$50+X52*'Assumption Setting'!$I$51+X53*'Assumption Setting'!$I$52+X54*'Assumption Setting'!$I$53+X55*'Assumption Setting'!$I$54</f>
        <v>490</v>
      </c>
      <c r="Y57" s="72" t="n">
        <f aca="false">Y50*'Assumption Setting'!$I$49+Y51*'Assumption Setting'!$I$50+Y52*'Assumption Setting'!$I$51+Y53*'Assumption Setting'!$I$52+Y54*'Assumption Setting'!$I$53+Y55*'Assumption Setting'!$I$54</f>
        <v>490</v>
      </c>
      <c r="Z57" s="72" t="n">
        <f aca="false">Z50*'Assumption Setting'!$I$49+Z51*'Assumption Setting'!$I$50+Z52*'Assumption Setting'!$I$51+Z53*'Assumption Setting'!$I$52+Z54*'Assumption Setting'!$I$53+Z55*'Assumption Setting'!$I$54</f>
        <v>490</v>
      </c>
      <c r="AA57" s="72" t="n">
        <f aca="false">AA50*'Assumption Setting'!$I$49+AA51*'Assumption Setting'!$I$50+AA52*'Assumption Setting'!$I$51+AA53*'Assumption Setting'!$I$52+AA54*'Assumption Setting'!$I$53+AA55*'Assumption Setting'!$I$54</f>
        <v>490</v>
      </c>
      <c r="AB57" s="69" t="n">
        <f aca="false">SUM(AC57:AN57)</f>
        <v>9036</v>
      </c>
      <c r="AC57" s="72" t="n">
        <f aca="false">AC50*'Assumption Setting'!$I$49+AC51*'Assumption Setting'!$I$50+AC52*'Assumption Setting'!$I$51+AC53*'Assumption Setting'!$I$52+AC54*'Assumption Setting'!$I$53+AC55*'Assumption Setting'!$I$54</f>
        <v>753</v>
      </c>
      <c r="AD57" s="72" t="n">
        <f aca="false">AD50*'Assumption Setting'!$I$49+AD51*'Assumption Setting'!$I$50+AD52*'Assumption Setting'!$I$51+AD53*'Assumption Setting'!$I$52+AD54*'Assumption Setting'!$I$53+AD55*'Assumption Setting'!$I$54</f>
        <v>753</v>
      </c>
      <c r="AE57" s="72" t="n">
        <f aca="false">AE50*'Assumption Setting'!$I$49+AE51*'Assumption Setting'!$I$50+AE52*'Assumption Setting'!$I$51+AE53*'Assumption Setting'!$I$52+AE54*'Assumption Setting'!$I$53+AE55*'Assumption Setting'!$I$54</f>
        <v>753</v>
      </c>
      <c r="AF57" s="72" t="n">
        <f aca="false">AF50*'Assumption Setting'!$I$49+AF51*'Assumption Setting'!$I$50+AF52*'Assumption Setting'!$I$51+AF53*'Assumption Setting'!$I$52+AF54*'Assumption Setting'!$I$53+AF55*'Assumption Setting'!$I$54</f>
        <v>753</v>
      </c>
      <c r="AG57" s="72" t="n">
        <f aca="false">AG50*'Assumption Setting'!$I$49+AG51*'Assumption Setting'!$I$50+AG52*'Assumption Setting'!$I$51+AG53*'Assumption Setting'!$I$52+AG54*'Assumption Setting'!$I$53+AG55*'Assumption Setting'!$I$54</f>
        <v>753</v>
      </c>
      <c r="AH57" s="72" t="n">
        <f aca="false">AH50*'Assumption Setting'!$I$49+AH51*'Assumption Setting'!$I$50+AH52*'Assumption Setting'!$I$51+AH53*'Assumption Setting'!$I$52+AH54*'Assumption Setting'!$I$53+AH55*'Assumption Setting'!$I$54</f>
        <v>753</v>
      </c>
      <c r="AI57" s="72" t="n">
        <f aca="false">AI50*'Assumption Setting'!$I$49+AI51*'Assumption Setting'!$I$50+AI52*'Assumption Setting'!$I$51+AI53*'Assumption Setting'!$I$52+AI54*'Assumption Setting'!$I$53+AI55*'Assumption Setting'!$I$54</f>
        <v>753</v>
      </c>
      <c r="AJ57" s="72" t="n">
        <f aca="false">AJ50*'Assumption Setting'!$I$49+AJ51*'Assumption Setting'!$I$50+AJ52*'Assumption Setting'!$I$51+AJ53*'Assumption Setting'!$I$52+AJ54*'Assumption Setting'!$I$53+AJ55*'Assumption Setting'!$I$54</f>
        <v>753</v>
      </c>
      <c r="AK57" s="72" t="n">
        <f aca="false">AK50*'Assumption Setting'!$I$49+AK51*'Assumption Setting'!$I$50+AK52*'Assumption Setting'!$I$51+AK53*'Assumption Setting'!$I$52+AK54*'Assumption Setting'!$I$53+AK55*'Assumption Setting'!$I$54</f>
        <v>753</v>
      </c>
      <c r="AL57" s="72" t="n">
        <f aca="false">AL50*'Assumption Setting'!$I$49+AL51*'Assumption Setting'!$I$50+AL52*'Assumption Setting'!$I$51+AL53*'Assumption Setting'!$I$52+AL54*'Assumption Setting'!$I$53+AL55*'Assumption Setting'!$I$54</f>
        <v>753</v>
      </c>
      <c r="AM57" s="72" t="n">
        <f aca="false">AM50*'Assumption Setting'!$I$49+AM51*'Assumption Setting'!$I$50+AM52*'Assumption Setting'!$I$51+AM53*'Assumption Setting'!$I$52+AM54*'Assumption Setting'!$I$53+AM55*'Assumption Setting'!$I$54</f>
        <v>753</v>
      </c>
      <c r="AN57" s="72" t="n">
        <f aca="false">AN50*'Assumption Setting'!$I$49+AN51*'Assumption Setting'!$I$50+AN52*'Assumption Setting'!$I$51+AN53*'Assumption Setting'!$I$52+AN54*'Assumption Setting'!$I$53+AN55*'Assumption Setting'!$I$54</f>
        <v>753</v>
      </c>
      <c r="AO57" s="69" t="n">
        <f aca="false">SUM(AP57:BA57)</f>
        <v>12192</v>
      </c>
      <c r="AP57" s="72" t="n">
        <f aca="false">AP50*'Assumption Setting'!$I$49+AP51*'Assumption Setting'!$I$50+AP52*'Assumption Setting'!$I$51+AP53*'Assumption Setting'!$I$52+AP54*'Assumption Setting'!$I$53+AP55*'Assumption Setting'!$I$54</f>
        <v>1016</v>
      </c>
      <c r="AQ57" s="72" t="n">
        <f aca="false">AQ50*'Assumption Setting'!$I$49+AQ51*'Assumption Setting'!$I$50+AQ52*'Assumption Setting'!$I$51+AQ53*'Assumption Setting'!$I$52+AQ54*'Assumption Setting'!$I$53+AQ55*'Assumption Setting'!$I$54</f>
        <v>1016</v>
      </c>
      <c r="AR57" s="72" t="n">
        <f aca="false">AR50*'Assumption Setting'!$I$49+AR51*'Assumption Setting'!$I$50+AR52*'Assumption Setting'!$I$51+AR53*'Assumption Setting'!$I$52+AR54*'Assumption Setting'!$I$53+AR55*'Assumption Setting'!$I$54</f>
        <v>1016</v>
      </c>
      <c r="AS57" s="72" t="n">
        <f aca="false">AS50*'Assumption Setting'!$I$49+AS51*'Assumption Setting'!$I$50+AS52*'Assumption Setting'!$I$51+AS53*'Assumption Setting'!$I$52+AS54*'Assumption Setting'!$I$53+AS55*'Assumption Setting'!$I$54</f>
        <v>1016</v>
      </c>
      <c r="AT57" s="72" t="n">
        <f aca="false">AT50*'Assumption Setting'!$I$49+AT51*'Assumption Setting'!$I$50+AT52*'Assumption Setting'!$I$51+AT53*'Assumption Setting'!$I$52+AT54*'Assumption Setting'!$I$53+AT55*'Assumption Setting'!$I$54</f>
        <v>1016</v>
      </c>
      <c r="AU57" s="72" t="n">
        <f aca="false">AU50*'Assumption Setting'!$I$49+AU51*'Assumption Setting'!$I$50+AU52*'Assumption Setting'!$I$51+AU53*'Assumption Setting'!$I$52+AU54*'Assumption Setting'!$I$53+AU55*'Assumption Setting'!$I$54</f>
        <v>1016</v>
      </c>
      <c r="AV57" s="72" t="n">
        <f aca="false">AV50*'Assumption Setting'!$I$49+AV51*'Assumption Setting'!$I$50+AV52*'Assumption Setting'!$I$51+AV53*'Assumption Setting'!$I$52+AV54*'Assumption Setting'!$I$53+AV55*'Assumption Setting'!$I$54</f>
        <v>1016</v>
      </c>
      <c r="AW57" s="72" t="n">
        <f aca="false">AW50*'Assumption Setting'!$I$49+AW51*'Assumption Setting'!$I$50+AW52*'Assumption Setting'!$I$51+AW53*'Assumption Setting'!$I$52+AW54*'Assumption Setting'!$I$53+AW55*'Assumption Setting'!$I$54</f>
        <v>1016</v>
      </c>
      <c r="AX57" s="72" t="n">
        <f aca="false">AX50*'Assumption Setting'!$I$49+AX51*'Assumption Setting'!$I$50+AX52*'Assumption Setting'!$I$51+AX53*'Assumption Setting'!$I$52+AX54*'Assumption Setting'!$I$53+AX55*'Assumption Setting'!$I$54</f>
        <v>1016</v>
      </c>
      <c r="AY57" s="72" t="n">
        <f aca="false">AY50*'Assumption Setting'!$I$49+AY51*'Assumption Setting'!$I$50+AY52*'Assumption Setting'!$I$51+AY53*'Assumption Setting'!$I$52+AY54*'Assumption Setting'!$I$53+AY55*'Assumption Setting'!$I$54</f>
        <v>1016</v>
      </c>
      <c r="AZ57" s="72" t="n">
        <f aca="false">AZ50*'Assumption Setting'!$I$49+AZ51*'Assumption Setting'!$I$50+AZ52*'Assumption Setting'!$I$51+AZ53*'Assumption Setting'!$I$52+AZ54*'Assumption Setting'!$I$53+AZ55*'Assumption Setting'!$I$54</f>
        <v>1016</v>
      </c>
      <c r="BA57" s="72" t="n">
        <f aca="false">BA50*'Assumption Setting'!$I$49+BA51*'Assumption Setting'!$I$50+BA52*'Assumption Setting'!$I$51+BA53*'Assumption Setting'!$I$52+BA54*'Assumption Setting'!$I$53+BA55*'Assumption Setting'!$I$54</f>
        <v>1016</v>
      </c>
      <c r="BB57" s="69" t="n">
        <f aca="false">SUM(BC57:BN57)</f>
        <v>15348</v>
      </c>
      <c r="BC57" s="72" t="n">
        <f aca="false">BC50*'Assumption Setting'!$I$49+BC51*'Assumption Setting'!$I$50+BC52*'Assumption Setting'!$I$51+BC53*'Assumption Setting'!$I$52+BC54*'Assumption Setting'!$I$53+BC55*'Assumption Setting'!$I$54</f>
        <v>1279</v>
      </c>
      <c r="BD57" s="72" t="n">
        <f aca="false">BD50*'Assumption Setting'!$I$49+BD51*'Assumption Setting'!$I$50+BD52*'Assumption Setting'!$I$51+BD53*'Assumption Setting'!$I$52+BD54*'Assumption Setting'!$I$53+BD55*'Assumption Setting'!$I$54</f>
        <v>1279</v>
      </c>
      <c r="BE57" s="72" t="n">
        <f aca="false">BE50*'Assumption Setting'!$I$49+BE51*'Assumption Setting'!$I$50+BE52*'Assumption Setting'!$I$51+BE53*'Assumption Setting'!$I$52+BE54*'Assumption Setting'!$I$53+BE55*'Assumption Setting'!$I$54</f>
        <v>1279</v>
      </c>
      <c r="BF57" s="72" t="n">
        <f aca="false">BF50*'Assumption Setting'!$I$49+BF51*'Assumption Setting'!$I$50+BF52*'Assumption Setting'!$I$51+BF53*'Assumption Setting'!$I$52+BF54*'Assumption Setting'!$I$53+BF55*'Assumption Setting'!$I$54</f>
        <v>1279</v>
      </c>
      <c r="BG57" s="72" t="n">
        <f aca="false">BG50*'Assumption Setting'!$I$49+BG51*'Assumption Setting'!$I$50+BG52*'Assumption Setting'!$I$51+BG53*'Assumption Setting'!$I$52+BG54*'Assumption Setting'!$I$53+BG55*'Assumption Setting'!$I$54</f>
        <v>1279</v>
      </c>
      <c r="BH57" s="72" t="n">
        <f aca="false">BH50*'Assumption Setting'!$I$49+BH51*'Assumption Setting'!$I$50+BH52*'Assumption Setting'!$I$51+BH53*'Assumption Setting'!$I$52+BH54*'Assumption Setting'!$I$53+BH55*'Assumption Setting'!$I$54</f>
        <v>1279</v>
      </c>
      <c r="BI57" s="72" t="n">
        <f aca="false">BI50*'Assumption Setting'!$I$49+BI51*'Assumption Setting'!$I$50+BI52*'Assumption Setting'!$I$51+BI53*'Assumption Setting'!$I$52+BI54*'Assumption Setting'!$I$53+BI55*'Assumption Setting'!$I$54</f>
        <v>1279</v>
      </c>
      <c r="BJ57" s="72" t="n">
        <f aca="false">BJ50*'Assumption Setting'!$I$49+BJ51*'Assumption Setting'!$I$50+BJ52*'Assumption Setting'!$I$51+BJ53*'Assumption Setting'!$I$52+BJ54*'Assumption Setting'!$I$53+BJ55*'Assumption Setting'!$I$54</f>
        <v>1279</v>
      </c>
      <c r="BK57" s="72" t="n">
        <f aca="false">BK50*'Assumption Setting'!$I$49+BK51*'Assumption Setting'!$I$50+BK52*'Assumption Setting'!$I$51+BK53*'Assumption Setting'!$I$52+BK54*'Assumption Setting'!$I$53+BK55*'Assumption Setting'!$I$54</f>
        <v>1279</v>
      </c>
      <c r="BL57" s="72" t="n">
        <f aca="false">BL50*'Assumption Setting'!$I$49+BL51*'Assumption Setting'!$I$50+BL52*'Assumption Setting'!$I$51+BL53*'Assumption Setting'!$I$52+BL54*'Assumption Setting'!$I$53+BL55*'Assumption Setting'!$I$54</f>
        <v>1279</v>
      </c>
      <c r="BM57" s="72" t="n">
        <f aca="false">BM50*'Assumption Setting'!$I$49+BM51*'Assumption Setting'!$I$50+BM52*'Assumption Setting'!$I$51+BM53*'Assumption Setting'!$I$52+BM54*'Assumption Setting'!$I$53+BM55*'Assumption Setting'!$I$54</f>
        <v>1279</v>
      </c>
      <c r="BN57" s="72" t="n">
        <f aca="false">BN50*'Assumption Setting'!$I$49+BN51*'Assumption Setting'!$I$50+BN52*'Assumption Setting'!$I$51+BN53*'Assumption Setting'!$I$52+BN54*'Assumption Setting'!$I$53+BN55*'Assumption Setting'!$I$54</f>
        <v>1279</v>
      </c>
    </row>
    <row r="58" customFormat="false" ht="15" hidden="false" customHeight="false" outlineLevel="0" collapsed="false">
      <c r="A58" s="4" t="s">
        <v>675</v>
      </c>
      <c r="B58" s="65" t="n">
        <f aca="false">SUM(C58:N58)</f>
        <v>534</v>
      </c>
      <c r="C58" s="68" t="n">
        <f aca="false">C50*'Assumption Setting'!$J$49+C51*'Assumption Setting'!$J$50+C52*'Assumption Setting'!$J$51+C53*'Assumption Setting'!$J$52+C54*'Assumption Setting'!$J$53+C55*'Assumption Setting'!$J$54</f>
        <v>44.5</v>
      </c>
      <c r="D58" s="68" t="n">
        <f aca="false">D50*'Assumption Setting'!$J$49+D51*'Assumption Setting'!$J$50+D52*'Assumption Setting'!$J$51+D53*'Assumption Setting'!$J$52+D54*'Assumption Setting'!$J$53+D55*'Assumption Setting'!$J$54</f>
        <v>44.5</v>
      </c>
      <c r="E58" s="68" t="n">
        <f aca="false">E50*'Assumption Setting'!$J$49+E51*'Assumption Setting'!$J$50+E52*'Assumption Setting'!$J$51+E53*'Assumption Setting'!$J$52+E54*'Assumption Setting'!$J$53+E55*'Assumption Setting'!$J$54</f>
        <v>44.5</v>
      </c>
      <c r="F58" s="68" t="n">
        <f aca="false">F50*'Assumption Setting'!$J$49+F51*'Assumption Setting'!$J$50+F52*'Assumption Setting'!$J$51+F53*'Assumption Setting'!$J$52+F54*'Assumption Setting'!$J$53+F55*'Assumption Setting'!$J$54</f>
        <v>44.5</v>
      </c>
      <c r="G58" s="68" t="n">
        <f aca="false">G50*'Assumption Setting'!$J$49+G51*'Assumption Setting'!$J$50+G52*'Assumption Setting'!$J$51+G53*'Assumption Setting'!$J$52+G54*'Assumption Setting'!$J$53+G55*'Assumption Setting'!$J$54</f>
        <v>44.5</v>
      </c>
      <c r="H58" s="68" t="n">
        <f aca="false">H50*'Assumption Setting'!$J$49+H51*'Assumption Setting'!$J$50+H52*'Assumption Setting'!$J$51+H53*'Assumption Setting'!$J$52+H54*'Assumption Setting'!$J$53+H55*'Assumption Setting'!$J$54</f>
        <v>44.5</v>
      </c>
      <c r="I58" s="68" t="n">
        <f aca="false">I50*'Assumption Setting'!$J$49+I51*'Assumption Setting'!$J$50+I52*'Assumption Setting'!$J$51+I53*'Assumption Setting'!$J$52+I54*'Assumption Setting'!$J$53+I55*'Assumption Setting'!$J$54</f>
        <v>44.5</v>
      </c>
      <c r="J58" s="68" t="n">
        <f aca="false">J50*'Assumption Setting'!$J$49+J51*'Assumption Setting'!$J$50+J52*'Assumption Setting'!$J$51+J53*'Assumption Setting'!$J$52+J54*'Assumption Setting'!$J$53+J55*'Assumption Setting'!$J$54</f>
        <v>44.5</v>
      </c>
      <c r="K58" s="68" t="n">
        <f aca="false">K50*'Assumption Setting'!$J$49+K51*'Assumption Setting'!$J$50+K52*'Assumption Setting'!$J$51+K53*'Assumption Setting'!$J$52+K54*'Assumption Setting'!$J$53+K55*'Assumption Setting'!$J$54</f>
        <v>44.5</v>
      </c>
      <c r="L58" s="68" t="n">
        <f aca="false">L50*'Assumption Setting'!$J$49+L51*'Assumption Setting'!$J$50+L52*'Assumption Setting'!$J$51+L53*'Assumption Setting'!$J$52+L54*'Assumption Setting'!$J$53+L55*'Assumption Setting'!$J$54</f>
        <v>44.5</v>
      </c>
      <c r="M58" s="68" t="n">
        <f aca="false">M50*'Assumption Setting'!$J$49+M51*'Assumption Setting'!$J$50+M52*'Assumption Setting'!$J$51+M53*'Assumption Setting'!$J$52+M54*'Assumption Setting'!$J$53+M55*'Assumption Setting'!$J$54</f>
        <v>44.5</v>
      </c>
      <c r="N58" s="68" t="n">
        <f aca="false">N50*'Assumption Setting'!$J$49+N51*'Assumption Setting'!$J$50+N52*'Assumption Setting'!$J$51+N53*'Assumption Setting'!$J$52+N54*'Assumption Setting'!$J$53+N55*'Assumption Setting'!$J$54</f>
        <v>44.5</v>
      </c>
      <c r="O58" s="65" t="n">
        <f aca="false">SUM(P58:AA58)</f>
        <v>1050</v>
      </c>
      <c r="P58" s="68" t="n">
        <f aca="false">P50*'Assumption Setting'!$J$49+P51*'Assumption Setting'!$J$50+P52*'Assumption Setting'!$J$51+P53*'Assumption Setting'!$J$52+P54*'Assumption Setting'!$J$53+P55*'Assumption Setting'!$J$54</f>
        <v>87.5</v>
      </c>
      <c r="Q58" s="68" t="n">
        <f aca="false">Q50*'Assumption Setting'!$J$49+Q51*'Assumption Setting'!$J$50+Q52*'Assumption Setting'!$J$51+Q53*'Assumption Setting'!$J$52+Q54*'Assumption Setting'!$J$53+Q55*'Assumption Setting'!$J$54</f>
        <v>87.5</v>
      </c>
      <c r="R58" s="68" t="n">
        <f aca="false">R50*'Assumption Setting'!$J$49+R51*'Assumption Setting'!$J$50+R52*'Assumption Setting'!$J$51+R53*'Assumption Setting'!$J$52+R54*'Assumption Setting'!$J$53+R55*'Assumption Setting'!$J$54</f>
        <v>87.5</v>
      </c>
      <c r="S58" s="68" t="n">
        <f aca="false">S50*'Assumption Setting'!$J$49+S51*'Assumption Setting'!$J$50+S52*'Assumption Setting'!$J$51+S53*'Assumption Setting'!$J$52+S54*'Assumption Setting'!$J$53+S55*'Assumption Setting'!$J$54</f>
        <v>87.5</v>
      </c>
      <c r="T58" s="68" t="n">
        <f aca="false">T50*'Assumption Setting'!$J$49+T51*'Assumption Setting'!$J$50+T52*'Assumption Setting'!$J$51+T53*'Assumption Setting'!$J$52+T54*'Assumption Setting'!$J$53+T55*'Assumption Setting'!$J$54</f>
        <v>87.5</v>
      </c>
      <c r="U58" s="68" t="n">
        <f aca="false">U50*'Assumption Setting'!$J$49+U51*'Assumption Setting'!$J$50+U52*'Assumption Setting'!$J$51+U53*'Assumption Setting'!$J$52+U54*'Assumption Setting'!$J$53+U55*'Assumption Setting'!$J$54</f>
        <v>87.5</v>
      </c>
      <c r="V58" s="68" t="n">
        <f aca="false">V50*'Assumption Setting'!$J$49+V51*'Assumption Setting'!$J$50+V52*'Assumption Setting'!$J$51+V53*'Assumption Setting'!$J$52+V54*'Assumption Setting'!$J$53+V55*'Assumption Setting'!$J$54</f>
        <v>87.5</v>
      </c>
      <c r="W58" s="68" t="n">
        <f aca="false">W50*'Assumption Setting'!$J$49+W51*'Assumption Setting'!$J$50+W52*'Assumption Setting'!$J$51+W53*'Assumption Setting'!$J$52+W54*'Assumption Setting'!$J$53+W55*'Assumption Setting'!$J$54</f>
        <v>87.5</v>
      </c>
      <c r="X58" s="68" t="n">
        <f aca="false">X50*'Assumption Setting'!$J$49+X51*'Assumption Setting'!$J$50+X52*'Assumption Setting'!$J$51+X53*'Assumption Setting'!$J$52+X54*'Assumption Setting'!$J$53+X55*'Assumption Setting'!$J$54</f>
        <v>87.5</v>
      </c>
      <c r="Y58" s="68" t="n">
        <f aca="false">Y50*'Assumption Setting'!$J$49+Y51*'Assumption Setting'!$J$50+Y52*'Assumption Setting'!$J$51+Y53*'Assumption Setting'!$J$52+Y54*'Assumption Setting'!$J$53+Y55*'Assumption Setting'!$J$54</f>
        <v>87.5</v>
      </c>
      <c r="Z58" s="68" t="n">
        <f aca="false">Z50*'Assumption Setting'!$J$49+Z51*'Assumption Setting'!$J$50+Z52*'Assumption Setting'!$J$51+Z53*'Assumption Setting'!$J$52+Z54*'Assumption Setting'!$J$53+Z55*'Assumption Setting'!$J$54</f>
        <v>87.5</v>
      </c>
      <c r="AA58" s="68" t="n">
        <f aca="false">AA50*'Assumption Setting'!$J$49+AA51*'Assumption Setting'!$J$50+AA52*'Assumption Setting'!$J$51+AA53*'Assumption Setting'!$J$52+AA54*'Assumption Setting'!$J$53+AA55*'Assumption Setting'!$J$54</f>
        <v>87.5</v>
      </c>
      <c r="AB58" s="65" t="n">
        <f aca="false">SUM(AC58:AN58)</f>
        <v>1614</v>
      </c>
      <c r="AC58" s="68" t="n">
        <f aca="false">AC50*'Assumption Setting'!$J$49+AC51*'Assumption Setting'!$J$50+AC52*'Assumption Setting'!$J$51+AC53*'Assumption Setting'!$J$52+AC54*'Assumption Setting'!$J$53+AC55*'Assumption Setting'!$J$54</f>
        <v>134.5</v>
      </c>
      <c r="AD58" s="68" t="n">
        <f aca="false">AD50*'Assumption Setting'!$J$49+AD51*'Assumption Setting'!$J$50+AD52*'Assumption Setting'!$J$51+AD53*'Assumption Setting'!$J$52+AD54*'Assumption Setting'!$J$53+AD55*'Assumption Setting'!$J$54</f>
        <v>134.5</v>
      </c>
      <c r="AE58" s="68" t="n">
        <f aca="false">AE50*'Assumption Setting'!$J$49+AE51*'Assumption Setting'!$J$50+AE52*'Assumption Setting'!$J$51+AE53*'Assumption Setting'!$J$52+AE54*'Assumption Setting'!$J$53+AE55*'Assumption Setting'!$J$54</f>
        <v>134.5</v>
      </c>
      <c r="AF58" s="68" t="n">
        <f aca="false">AF50*'Assumption Setting'!$J$49+AF51*'Assumption Setting'!$J$50+AF52*'Assumption Setting'!$J$51+AF53*'Assumption Setting'!$J$52+AF54*'Assumption Setting'!$J$53+AF55*'Assumption Setting'!$J$54</f>
        <v>134.5</v>
      </c>
      <c r="AG58" s="68" t="n">
        <f aca="false">AG50*'Assumption Setting'!$J$49+AG51*'Assumption Setting'!$J$50+AG52*'Assumption Setting'!$J$51+AG53*'Assumption Setting'!$J$52+AG54*'Assumption Setting'!$J$53+AG55*'Assumption Setting'!$J$54</f>
        <v>134.5</v>
      </c>
      <c r="AH58" s="68" t="n">
        <f aca="false">AH50*'Assumption Setting'!$J$49+AH51*'Assumption Setting'!$J$50+AH52*'Assumption Setting'!$J$51+AH53*'Assumption Setting'!$J$52+AH54*'Assumption Setting'!$J$53+AH55*'Assumption Setting'!$J$54</f>
        <v>134.5</v>
      </c>
      <c r="AI58" s="68" t="n">
        <f aca="false">AI50*'Assumption Setting'!$J$49+AI51*'Assumption Setting'!$J$50+AI52*'Assumption Setting'!$J$51+AI53*'Assumption Setting'!$J$52+AI54*'Assumption Setting'!$J$53+AI55*'Assumption Setting'!$J$54</f>
        <v>134.5</v>
      </c>
      <c r="AJ58" s="68" t="n">
        <f aca="false">AJ50*'Assumption Setting'!$J$49+AJ51*'Assumption Setting'!$J$50+AJ52*'Assumption Setting'!$J$51+AJ53*'Assumption Setting'!$J$52+AJ54*'Assumption Setting'!$J$53+AJ55*'Assumption Setting'!$J$54</f>
        <v>134.5</v>
      </c>
      <c r="AK58" s="68" t="n">
        <f aca="false">AK50*'Assumption Setting'!$J$49+AK51*'Assumption Setting'!$J$50+AK52*'Assumption Setting'!$J$51+AK53*'Assumption Setting'!$J$52+AK54*'Assumption Setting'!$J$53+AK55*'Assumption Setting'!$J$54</f>
        <v>134.5</v>
      </c>
      <c r="AL58" s="68" t="n">
        <f aca="false">AL50*'Assumption Setting'!$J$49+AL51*'Assumption Setting'!$J$50+AL52*'Assumption Setting'!$J$51+AL53*'Assumption Setting'!$J$52+AL54*'Assumption Setting'!$J$53+AL55*'Assumption Setting'!$J$54</f>
        <v>134.5</v>
      </c>
      <c r="AM58" s="68" t="n">
        <f aca="false">AM50*'Assumption Setting'!$J$49+AM51*'Assumption Setting'!$J$50+AM52*'Assumption Setting'!$J$51+AM53*'Assumption Setting'!$J$52+AM54*'Assumption Setting'!$J$53+AM55*'Assumption Setting'!$J$54</f>
        <v>134.5</v>
      </c>
      <c r="AN58" s="68" t="n">
        <f aca="false">AN50*'Assumption Setting'!$J$49+AN51*'Assumption Setting'!$J$50+AN52*'Assumption Setting'!$J$51+AN53*'Assumption Setting'!$J$52+AN54*'Assumption Setting'!$J$53+AN55*'Assumption Setting'!$J$54</f>
        <v>134.5</v>
      </c>
      <c r="AO58" s="65" t="n">
        <f aca="false">SUM(AP58:BA58)</f>
        <v>2178</v>
      </c>
      <c r="AP58" s="68" t="n">
        <f aca="false">AP50*'Assumption Setting'!$J$49+AP51*'Assumption Setting'!$J$50+AP52*'Assumption Setting'!$J$51+AP53*'Assumption Setting'!$J$52+AP54*'Assumption Setting'!$J$53+AP55*'Assumption Setting'!$J$54</f>
        <v>181.5</v>
      </c>
      <c r="AQ58" s="68" t="n">
        <f aca="false">AQ50*'Assumption Setting'!$J$49+AQ51*'Assumption Setting'!$J$50+AQ52*'Assumption Setting'!$J$51+AQ53*'Assumption Setting'!$J$52+AQ54*'Assumption Setting'!$J$53+AQ55*'Assumption Setting'!$J$54</f>
        <v>181.5</v>
      </c>
      <c r="AR58" s="68" t="n">
        <f aca="false">AR50*'Assumption Setting'!$J$49+AR51*'Assumption Setting'!$J$50+AR52*'Assumption Setting'!$J$51+AR53*'Assumption Setting'!$J$52+AR54*'Assumption Setting'!$J$53+AR55*'Assumption Setting'!$J$54</f>
        <v>181.5</v>
      </c>
      <c r="AS58" s="68" t="n">
        <f aca="false">AS50*'Assumption Setting'!$J$49+AS51*'Assumption Setting'!$J$50+AS52*'Assumption Setting'!$J$51+AS53*'Assumption Setting'!$J$52+AS54*'Assumption Setting'!$J$53+AS55*'Assumption Setting'!$J$54</f>
        <v>181.5</v>
      </c>
      <c r="AT58" s="68" t="n">
        <f aca="false">AT50*'Assumption Setting'!$J$49+AT51*'Assumption Setting'!$J$50+AT52*'Assumption Setting'!$J$51+AT53*'Assumption Setting'!$J$52+AT54*'Assumption Setting'!$J$53+AT55*'Assumption Setting'!$J$54</f>
        <v>181.5</v>
      </c>
      <c r="AU58" s="68" t="n">
        <f aca="false">AU50*'Assumption Setting'!$J$49+AU51*'Assumption Setting'!$J$50+AU52*'Assumption Setting'!$J$51+AU53*'Assumption Setting'!$J$52+AU54*'Assumption Setting'!$J$53+AU55*'Assumption Setting'!$J$54</f>
        <v>181.5</v>
      </c>
      <c r="AV58" s="68" t="n">
        <f aca="false">AV50*'Assumption Setting'!$J$49+AV51*'Assumption Setting'!$J$50+AV52*'Assumption Setting'!$J$51+AV53*'Assumption Setting'!$J$52+AV54*'Assumption Setting'!$J$53+AV55*'Assumption Setting'!$J$54</f>
        <v>181.5</v>
      </c>
      <c r="AW58" s="68" t="n">
        <f aca="false">AW50*'Assumption Setting'!$J$49+AW51*'Assumption Setting'!$J$50+AW52*'Assumption Setting'!$J$51+AW53*'Assumption Setting'!$J$52+AW54*'Assumption Setting'!$J$53+AW55*'Assumption Setting'!$J$54</f>
        <v>181.5</v>
      </c>
      <c r="AX58" s="68" t="n">
        <f aca="false">AX50*'Assumption Setting'!$J$49+AX51*'Assumption Setting'!$J$50+AX52*'Assumption Setting'!$J$51+AX53*'Assumption Setting'!$J$52+AX54*'Assumption Setting'!$J$53+AX55*'Assumption Setting'!$J$54</f>
        <v>181.5</v>
      </c>
      <c r="AY58" s="68" t="n">
        <f aca="false">AY50*'Assumption Setting'!$J$49+AY51*'Assumption Setting'!$J$50+AY52*'Assumption Setting'!$J$51+AY53*'Assumption Setting'!$J$52+AY54*'Assumption Setting'!$J$53+AY55*'Assumption Setting'!$J$54</f>
        <v>181.5</v>
      </c>
      <c r="AZ58" s="68" t="n">
        <f aca="false">AZ50*'Assumption Setting'!$J$49+AZ51*'Assumption Setting'!$J$50+AZ52*'Assumption Setting'!$J$51+AZ53*'Assumption Setting'!$J$52+AZ54*'Assumption Setting'!$J$53+AZ55*'Assumption Setting'!$J$54</f>
        <v>181.5</v>
      </c>
      <c r="BA58" s="68" t="n">
        <f aca="false">BA50*'Assumption Setting'!$J$49+BA51*'Assumption Setting'!$J$50+BA52*'Assumption Setting'!$J$51+BA53*'Assumption Setting'!$J$52+BA54*'Assumption Setting'!$J$53+BA55*'Assumption Setting'!$J$54</f>
        <v>181.5</v>
      </c>
      <c r="BB58" s="65" t="n">
        <f aca="false">SUM(BC58:BN58)</f>
        <v>2742</v>
      </c>
      <c r="BC58" s="68" t="n">
        <f aca="false">BC50*'Assumption Setting'!$J$49+BC51*'Assumption Setting'!$J$50+BC52*'Assumption Setting'!$J$51+BC53*'Assumption Setting'!$J$52+BC54*'Assumption Setting'!$J$53+BC55*'Assumption Setting'!$J$54</f>
        <v>228.5</v>
      </c>
      <c r="BD58" s="68" t="n">
        <f aca="false">BD50*'Assumption Setting'!$J$49+BD51*'Assumption Setting'!$J$50+BD52*'Assumption Setting'!$J$51+BD53*'Assumption Setting'!$J$52+BD54*'Assumption Setting'!$J$53+BD55*'Assumption Setting'!$J$54</f>
        <v>228.5</v>
      </c>
      <c r="BE58" s="68" t="n">
        <f aca="false">BE50*'Assumption Setting'!$J$49+BE51*'Assumption Setting'!$J$50+BE52*'Assumption Setting'!$J$51+BE53*'Assumption Setting'!$J$52+BE54*'Assumption Setting'!$J$53+BE55*'Assumption Setting'!$J$54</f>
        <v>228.5</v>
      </c>
      <c r="BF58" s="68" t="n">
        <f aca="false">BF50*'Assumption Setting'!$J$49+BF51*'Assumption Setting'!$J$50+BF52*'Assumption Setting'!$J$51+BF53*'Assumption Setting'!$J$52+BF54*'Assumption Setting'!$J$53+BF55*'Assumption Setting'!$J$54</f>
        <v>228.5</v>
      </c>
      <c r="BG58" s="68" t="n">
        <f aca="false">BG50*'Assumption Setting'!$J$49+BG51*'Assumption Setting'!$J$50+BG52*'Assumption Setting'!$J$51+BG53*'Assumption Setting'!$J$52+BG54*'Assumption Setting'!$J$53+BG55*'Assumption Setting'!$J$54</f>
        <v>228.5</v>
      </c>
      <c r="BH58" s="68" t="n">
        <f aca="false">BH50*'Assumption Setting'!$J$49+BH51*'Assumption Setting'!$J$50+BH52*'Assumption Setting'!$J$51+BH53*'Assumption Setting'!$J$52+BH54*'Assumption Setting'!$J$53+BH55*'Assumption Setting'!$J$54</f>
        <v>228.5</v>
      </c>
      <c r="BI58" s="68" t="n">
        <f aca="false">BI50*'Assumption Setting'!$J$49+BI51*'Assumption Setting'!$J$50+BI52*'Assumption Setting'!$J$51+BI53*'Assumption Setting'!$J$52+BI54*'Assumption Setting'!$J$53+BI55*'Assumption Setting'!$J$54</f>
        <v>228.5</v>
      </c>
      <c r="BJ58" s="68" t="n">
        <f aca="false">BJ50*'Assumption Setting'!$J$49+BJ51*'Assumption Setting'!$J$50+BJ52*'Assumption Setting'!$J$51+BJ53*'Assumption Setting'!$J$52+BJ54*'Assumption Setting'!$J$53+BJ55*'Assumption Setting'!$J$54</f>
        <v>228.5</v>
      </c>
      <c r="BK58" s="68" t="n">
        <f aca="false">BK50*'Assumption Setting'!$J$49+BK51*'Assumption Setting'!$J$50+BK52*'Assumption Setting'!$J$51+BK53*'Assumption Setting'!$J$52+BK54*'Assumption Setting'!$J$53+BK55*'Assumption Setting'!$J$54</f>
        <v>228.5</v>
      </c>
      <c r="BL58" s="68" t="n">
        <f aca="false">BL50*'Assumption Setting'!$J$49+BL51*'Assumption Setting'!$J$50+BL52*'Assumption Setting'!$J$51+BL53*'Assumption Setting'!$J$52+BL54*'Assumption Setting'!$J$53+BL55*'Assumption Setting'!$J$54</f>
        <v>228.5</v>
      </c>
      <c r="BM58" s="68" t="n">
        <f aca="false">BM50*'Assumption Setting'!$J$49+BM51*'Assumption Setting'!$J$50+BM52*'Assumption Setting'!$J$51+BM53*'Assumption Setting'!$J$52+BM54*'Assumption Setting'!$J$53+BM55*'Assumption Setting'!$J$54</f>
        <v>228.5</v>
      </c>
      <c r="BN58" s="68" t="n">
        <f aca="false">BN50*'Assumption Setting'!$J$49+BN51*'Assumption Setting'!$J$50+BN52*'Assumption Setting'!$J$51+BN53*'Assumption Setting'!$J$52+BN54*'Assumption Setting'!$J$53+BN55*'Assumption Setting'!$J$54</f>
        <v>228.5</v>
      </c>
    </row>
    <row r="60" customFormat="false" ht="15" hidden="false" customHeight="false" outlineLevel="0" collapsed="false">
      <c r="A60" s="9" t="s">
        <v>676</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row>
    <row r="61" customFormat="false" ht="15" hidden="false" customHeight="false" outlineLevel="0" collapsed="false">
      <c r="A61" s="56" t="s">
        <v>632</v>
      </c>
      <c r="B61" s="57" t="s">
        <v>87</v>
      </c>
      <c r="C61" s="58" t="s">
        <v>562</v>
      </c>
      <c r="D61" s="58" t="s">
        <v>563</v>
      </c>
      <c r="E61" s="58" t="s">
        <v>564</v>
      </c>
      <c r="F61" s="58" t="s">
        <v>565</v>
      </c>
      <c r="G61" s="58" t="s">
        <v>566</v>
      </c>
      <c r="H61" s="58" t="s">
        <v>567</v>
      </c>
      <c r="I61" s="58" t="s">
        <v>568</v>
      </c>
      <c r="J61" s="58" t="s">
        <v>569</v>
      </c>
      <c r="K61" s="58" t="s">
        <v>570</v>
      </c>
      <c r="L61" s="58" t="s">
        <v>571</v>
      </c>
      <c r="M61" s="58" t="s">
        <v>572</v>
      </c>
      <c r="N61" s="58" t="s">
        <v>573</v>
      </c>
      <c r="O61" s="57" t="s">
        <v>88</v>
      </c>
      <c r="P61" s="58" t="s">
        <v>574</v>
      </c>
      <c r="Q61" s="58" t="s">
        <v>575</v>
      </c>
      <c r="R61" s="58" t="s">
        <v>576</v>
      </c>
      <c r="S61" s="58" t="s">
        <v>577</v>
      </c>
      <c r="T61" s="58" t="s">
        <v>578</v>
      </c>
      <c r="U61" s="58" t="s">
        <v>579</v>
      </c>
      <c r="V61" s="58" t="s">
        <v>580</v>
      </c>
      <c r="W61" s="58" t="s">
        <v>581</v>
      </c>
      <c r="X61" s="58" t="s">
        <v>582</v>
      </c>
      <c r="Y61" s="58" t="s">
        <v>583</v>
      </c>
      <c r="Z61" s="58" t="s">
        <v>584</v>
      </c>
      <c r="AA61" s="58" t="s">
        <v>585</v>
      </c>
      <c r="AB61" s="57" t="s">
        <v>89</v>
      </c>
      <c r="AC61" s="58" t="s">
        <v>586</v>
      </c>
      <c r="AD61" s="58" t="s">
        <v>587</v>
      </c>
      <c r="AE61" s="58" t="s">
        <v>588</v>
      </c>
      <c r="AF61" s="58" t="s">
        <v>589</v>
      </c>
      <c r="AG61" s="58" t="s">
        <v>590</v>
      </c>
      <c r="AH61" s="58" t="s">
        <v>591</v>
      </c>
      <c r="AI61" s="58" t="s">
        <v>592</v>
      </c>
      <c r="AJ61" s="58" t="s">
        <v>593</v>
      </c>
      <c r="AK61" s="58" t="s">
        <v>594</v>
      </c>
      <c r="AL61" s="58" t="s">
        <v>595</v>
      </c>
      <c r="AM61" s="58" t="s">
        <v>596</v>
      </c>
      <c r="AN61" s="58" t="s">
        <v>597</v>
      </c>
      <c r="AO61" s="57" t="s">
        <v>90</v>
      </c>
      <c r="AP61" s="58" t="s">
        <v>598</v>
      </c>
      <c r="AQ61" s="58" t="s">
        <v>599</v>
      </c>
      <c r="AR61" s="58" t="s">
        <v>600</v>
      </c>
      <c r="AS61" s="58" t="s">
        <v>601</v>
      </c>
      <c r="AT61" s="58" t="s">
        <v>602</v>
      </c>
      <c r="AU61" s="58" t="s">
        <v>603</v>
      </c>
      <c r="AV61" s="58" t="s">
        <v>604</v>
      </c>
      <c r="AW61" s="58" t="s">
        <v>605</v>
      </c>
      <c r="AX61" s="58" t="s">
        <v>606</v>
      </c>
      <c r="AY61" s="58" t="s">
        <v>607</v>
      </c>
      <c r="AZ61" s="58" t="s">
        <v>608</v>
      </c>
      <c r="BA61" s="58" t="s">
        <v>609</v>
      </c>
      <c r="BB61" s="57" t="s">
        <v>91</v>
      </c>
      <c r="BC61" s="58" t="s">
        <v>610</v>
      </c>
      <c r="BD61" s="58" t="s">
        <v>611</v>
      </c>
      <c r="BE61" s="58" t="s">
        <v>612</v>
      </c>
      <c r="BF61" s="58" t="s">
        <v>613</v>
      </c>
      <c r="BG61" s="58" t="s">
        <v>614</v>
      </c>
      <c r="BH61" s="58" t="s">
        <v>615</v>
      </c>
      <c r="BI61" s="58" t="s">
        <v>616</v>
      </c>
      <c r="BJ61" s="58" t="s">
        <v>617</v>
      </c>
      <c r="BK61" s="58" t="s">
        <v>618</v>
      </c>
      <c r="BL61" s="58" t="s">
        <v>619</v>
      </c>
      <c r="BM61" s="58" t="s">
        <v>620</v>
      </c>
      <c r="BN61" s="58" t="s">
        <v>621</v>
      </c>
    </row>
    <row r="62" customFormat="false" ht="15" hidden="false" customHeight="false" outlineLevel="0" collapsed="false">
      <c r="A62" s="13" t="s">
        <v>677</v>
      </c>
      <c r="B62" s="69" t="n">
        <f aca="false">SUM(C62:N62)</f>
        <v>13672.2890909091</v>
      </c>
      <c r="C62" s="80" t="n">
        <f aca="false">C46+C57</f>
        <v>1139.35742424242</v>
      </c>
      <c r="D62" s="80" t="n">
        <f aca="false">D46+D57</f>
        <v>1139.35742424242</v>
      </c>
      <c r="E62" s="80" t="n">
        <f aca="false">E46+E57</f>
        <v>1139.35742424242</v>
      </c>
      <c r="F62" s="80" t="n">
        <f aca="false">F46+F57</f>
        <v>1139.35742424242</v>
      </c>
      <c r="G62" s="80" t="n">
        <f aca="false">G46+G57</f>
        <v>1139.35742424242</v>
      </c>
      <c r="H62" s="80" t="n">
        <f aca="false">H46+H57</f>
        <v>1139.35742424242</v>
      </c>
      <c r="I62" s="80" t="n">
        <f aca="false">I46+I57</f>
        <v>1139.35742424242</v>
      </c>
      <c r="J62" s="80" t="n">
        <f aca="false">J46+J57</f>
        <v>1139.35742424242</v>
      </c>
      <c r="K62" s="80" t="n">
        <f aca="false">K46+K57</f>
        <v>1139.35742424242</v>
      </c>
      <c r="L62" s="80" t="n">
        <f aca="false">L46+L57</f>
        <v>1139.35742424242</v>
      </c>
      <c r="M62" s="80" t="n">
        <f aca="false">M46+M57</f>
        <v>1139.35742424242</v>
      </c>
      <c r="N62" s="80" t="n">
        <f aca="false">N46+N57</f>
        <v>1139.35742424242</v>
      </c>
      <c r="O62" s="69" t="n">
        <f aca="false">SUM(P62:AA62)</f>
        <v>28795.7851239669</v>
      </c>
      <c r="P62" s="80" t="n">
        <f aca="false">P46+P57</f>
        <v>2399.64876033058</v>
      </c>
      <c r="Q62" s="80" t="n">
        <f aca="false">Q46+Q57</f>
        <v>2399.64876033058</v>
      </c>
      <c r="R62" s="80" t="n">
        <f aca="false">R46+R57</f>
        <v>2399.64876033058</v>
      </c>
      <c r="S62" s="80" t="n">
        <f aca="false">S46+S57</f>
        <v>2399.64876033058</v>
      </c>
      <c r="T62" s="80" t="n">
        <f aca="false">T46+T57</f>
        <v>2399.64876033058</v>
      </c>
      <c r="U62" s="80" t="n">
        <f aca="false">U46+U57</f>
        <v>2399.64876033058</v>
      </c>
      <c r="V62" s="80" t="n">
        <f aca="false">V46+V57</f>
        <v>2399.64876033058</v>
      </c>
      <c r="W62" s="80" t="n">
        <f aca="false">W46+W57</f>
        <v>2399.64876033058</v>
      </c>
      <c r="X62" s="80" t="n">
        <f aca="false">X46+X57</f>
        <v>2399.64876033058</v>
      </c>
      <c r="Y62" s="80" t="n">
        <f aca="false">Y46+Y57</f>
        <v>2399.64876033058</v>
      </c>
      <c r="Z62" s="80" t="n">
        <f aca="false">Z46+Z57</f>
        <v>2399.64876033058</v>
      </c>
      <c r="AA62" s="80" t="n">
        <f aca="false">AA46+AA57</f>
        <v>2399.64876033058</v>
      </c>
      <c r="AB62" s="69" t="n">
        <f aca="false">SUM(AC62:AN62)</f>
        <v>45597.2081141998</v>
      </c>
      <c r="AC62" s="80" t="n">
        <f aca="false">AC46+AC57</f>
        <v>3799.76734284999</v>
      </c>
      <c r="AD62" s="80" t="n">
        <f aca="false">AD46+AD57</f>
        <v>3799.76734284999</v>
      </c>
      <c r="AE62" s="80" t="n">
        <f aca="false">AE46+AE57</f>
        <v>3799.76734284999</v>
      </c>
      <c r="AF62" s="80" t="n">
        <f aca="false">AF46+AF57</f>
        <v>3799.76734284999</v>
      </c>
      <c r="AG62" s="80" t="n">
        <f aca="false">AG46+AG57</f>
        <v>3799.76734284999</v>
      </c>
      <c r="AH62" s="80" t="n">
        <f aca="false">AH46+AH57</f>
        <v>3799.76734284999</v>
      </c>
      <c r="AI62" s="80" t="n">
        <f aca="false">AI46+AI57</f>
        <v>3799.76734284999</v>
      </c>
      <c r="AJ62" s="80" t="n">
        <f aca="false">AJ46+AJ57</f>
        <v>3799.76734284999</v>
      </c>
      <c r="AK62" s="80" t="n">
        <f aca="false">AK46+AK57</f>
        <v>3799.76734284999</v>
      </c>
      <c r="AL62" s="80" t="n">
        <f aca="false">AL46+AL57</f>
        <v>3799.76734284999</v>
      </c>
      <c r="AM62" s="80" t="n">
        <f aca="false">AM46+AM57</f>
        <v>3799.76734284999</v>
      </c>
      <c r="AN62" s="80" t="n">
        <f aca="false">AN46+AN57</f>
        <v>3799.76734284999</v>
      </c>
      <c r="AO62" s="69" t="n">
        <f aca="false">SUM(AP62:BA62)</f>
        <v>59215.1104432757</v>
      </c>
      <c r="AP62" s="80" t="n">
        <f aca="false">AP46+AP57</f>
        <v>4934.59253693964</v>
      </c>
      <c r="AQ62" s="80" t="n">
        <f aca="false">AQ46+AQ57</f>
        <v>4934.59253693964</v>
      </c>
      <c r="AR62" s="80" t="n">
        <f aca="false">AR46+AR57</f>
        <v>4934.59253693964</v>
      </c>
      <c r="AS62" s="80" t="n">
        <f aca="false">AS46+AS57</f>
        <v>4934.59253693964</v>
      </c>
      <c r="AT62" s="80" t="n">
        <f aca="false">AT46+AT57</f>
        <v>4934.59253693964</v>
      </c>
      <c r="AU62" s="80" t="n">
        <f aca="false">AU46+AU57</f>
        <v>4934.59253693964</v>
      </c>
      <c r="AV62" s="80" t="n">
        <f aca="false">AV46+AV57</f>
        <v>4934.59253693964</v>
      </c>
      <c r="AW62" s="80" t="n">
        <f aca="false">AW46+AW57</f>
        <v>4934.59253693964</v>
      </c>
      <c r="AX62" s="80" t="n">
        <f aca="false">AX46+AX57</f>
        <v>4934.59253693964</v>
      </c>
      <c r="AY62" s="80" t="n">
        <f aca="false">AY46+AY57</f>
        <v>4934.59253693964</v>
      </c>
      <c r="AZ62" s="80" t="n">
        <f aca="false">AZ46+AZ57</f>
        <v>4934.59253693964</v>
      </c>
      <c r="BA62" s="80" t="n">
        <f aca="false">BA46+BA57</f>
        <v>4934.59253693964</v>
      </c>
      <c r="BB62" s="69" t="n">
        <f aca="false">SUM(BC62:BN62)</f>
        <v>70362.8611309461</v>
      </c>
      <c r="BC62" s="80" t="n">
        <f aca="false">BC46+BC57</f>
        <v>5863.57176091217</v>
      </c>
      <c r="BD62" s="80" t="n">
        <f aca="false">BD46+BD57</f>
        <v>5863.57176091217</v>
      </c>
      <c r="BE62" s="80" t="n">
        <f aca="false">BE46+BE57</f>
        <v>5863.57176091217</v>
      </c>
      <c r="BF62" s="80" t="n">
        <f aca="false">BF46+BF57</f>
        <v>5863.57176091217</v>
      </c>
      <c r="BG62" s="80" t="n">
        <f aca="false">BG46+BG57</f>
        <v>5863.57176091217</v>
      </c>
      <c r="BH62" s="80" t="n">
        <f aca="false">BH46+BH57</f>
        <v>5863.57176091217</v>
      </c>
      <c r="BI62" s="80" t="n">
        <f aca="false">BI46+BI57</f>
        <v>5863.57176091217</v>
      </c>
      <c r="BJ62" s="80" t="n">
        <f aca="false">BJ46+BJ57</f>
        <v>5863.57176091217</v>
      </c>
      <c r="BK62" s="80" t="n">
        <f aca="false">BK46+BK57</f>
        <v>5863.57176091217</v>
      </c>
      <c r="BL62" s="80" t="n">
        <f aca="false">BL46+BL57</f>
        <v>5863.57176091217</v>
      </c>
      <c r="BM62" s="80" t="n">
        <f aca="false">BM46+BM57</f>
        <v>5863.57176091217</v>
      </c>
      <c r="BN62" s="80" t="n">
        <f aca="false">BN46+BN57</f>
        <v>5863.57176091217</v>
      </c>
    </row>
    <row r="63" customFormat="false" ht="15" hidden="false" customHeight="false" outlineLevel="0" collapsed="false">
      <c r="A63" s="4" t="s">
        <v>678</v>
      </c>
      <c r="B63" s="59" t="n">
        <f aca="false">SUM(C63:N63)</f>
        <v>54960</v>
      </c>
      <c r="C63" s="60" t="n">
        <f aca="false">C13+C56</f>
        <v>4580</v>
      </c>
      <c r="D63" s="60" t="n">
        <f aca="false">D13+D56</f>
        <v>4580</v>
      </c>
      <c r="E63" s="60" t="n">
        <f aca="false">E13+E56</f>
        <v>4580</v>
      </c>
      <c r="F63" s="60" t="n">
        <f aca="false">F13+F56</f>
        <v>4580</v>
      </c>
      <c r="G63" s="60" t="n">
        <f aca="false">G13+G56</f>
        <v>4580</v>
      </c>
      <c r="H63" s="60" t="n">
        <f aca="false">H13+H56</f>
        <v>4580</v>
      </c>
      <c r="I63" s="60" t="n">
        <f aca="false">I13+I56</f>
        <v>4580</v>
      </c>
      <c r="J63" s="60" t="n">
        <f aca="false">J13+J56</f>
        <v>4580</v>
      </c>
      <c r="K63" s="60" t="n">
        <f aca="false">K13+K56</f>
        <v>4580</v>
      </c>
      <c r="L63" s="60" t="n">
        <f aca="false">L13+L56</f>
        <v>4580</v>
      </c>
      <c r="M63" s="60" t="n">
        <f aca="false">M13+M56</f>
        <v>4580</v>
      </c>
      <c r="N63" s="60" t="n">
        <f aca="false">N13+N56</f>
        <v>4580</v>
      </c>
      <c r="O63" s="59" t="n">
        <f aca="false">SUM(P63:AA63)</f>
        <v>124920</v>
      </c>
      <c r="P63" s="60" t="n">
        <f aca="false">P13+P56</f>
        <v>10410</v>
      </c>
      <c r="Q63" s="60" t="n">
        <f aca="false">Q13+Q56</f>
        <v>10410</v>
      </c>
      <c r="R63" s="60" t="n">
        <f aca="false">R13+R56</f>
        <v>10410</v>
      </c>
      <c r="S63" s="60" t="n">
        <f aca="false">S13+S56</f>
        <v>10410</v>
      </c>
      <c r="T63" s="60" t="n">
        <f aca="false">T13+T56</f>
        <v>10410</v>
      </c>
      <c r="U63" s="60" t="n">
        <f aca="false">U13+U56</f>
        <v>10410</v>
      </c>
      <c r="V63" s="60" t="n">
        <f aca="false">V13+V56</f>
        <v>10410</v>
      </c>
      <c r="W63" s="60" t="n">
        <f aca="false">W13+W56</f>
        <v>10410</v>
      </c>
      <c r="X63" s="60" t="n">
        <f aca="false">X13+X56</f>
        <v>10410</v>
      </c>
      <c r="Y63" s="60" t="n">
        <f aca="false">Y13+Y56</f>
        <v>10410</v>
      </c>
      <c r="Z63" s="60" t="n">
        <f aca="false">Z13+Z56</f>
        <v>10410</v>
      </c>
      <c r="AA63" s="60" t="n">
        <f aca="false">AA13+AA56</f>
        <v>10410</v>
      </c>
      <c r="AB63" s="59" t="n">
        <f aca="false">SUM(AC63:AN63)</f>
        <v>211080</v>
      </c>
      <c r="AC63" s="60" t="n">
        <f aca="false">AC13+AC56</f>
        <v>17590</v>
      </c>
      <c r="AD63" s="60" t="n">
        <f aca="false">AD13+AD56</f>
        <v>17590</v>
      </c>
      <c r="AE63" s="60" t="n">
        <f aca="false">AE13+AE56</f>
        <v>17590</v>
      </c>
      <c r="AF63" s="60" t="n">
        <f aca="false">AF13+AF56</f>
        <v>17590</v>
      </c>
      <c r="AG63" s="60" t="n">
        <f aca="false">AG13+AG56</f>
        <v>17590</v>
      </c>
      <c r="AH63" s="60" t="n">
        <f aca="false">AH13+AH56</f>
        <v>17590</v>
      </c>
      <c r="AI63" s="60" t="n">
        <f aca="false">AI13+AI56</f>
        <v>17590</v>
      </c>
      <c r="AJ63" s="60" t="n">
        <f aca="false">AJ13+AJ56</f>
        <v>17590</v>
      </c>
      <c r="AK63" s="60" t="n">
        <f aca="false">AK13+AK56</f>
        <v>17590</v>
      </c>
      <c r="AL63" s="60" t="n">
        <f aca="false">AL13+AL56</f>
        <v>17590</v>
      </c>
      <c r="AM63" s="60" t="n">
        <f aca="false">AM13+AM56</f>
        <v>17590</v>
      </c>
      <c r="AN63" s="60" t="n">
        <f aca="false">AN13+AN56</f>
        <v>17590</v>
      </c>
      <c r="AO63" s="59" t="n">
        <f aca="false">SUM(AP63:BA63)</f>
        <v>294840</v>
      </c>
      <c r="AP63" s="60" t="n">
        <f aca="false">AP13+AP56</f>
        <v>24570</v>
      </c>
      <c r="AQ63" s="60" t="n">
        <f aca="false">AQ13+AQ56</f>
        <v>24570</v>
      </c>
      <c r="AR63" s="60" t="n">
        <f aca="false">AR13+AR56</f>
        <v>24570</v>
      </c>
      <c r="AS63" s="60" t="n">
        <f aca="false">AS13+AS56</f>
        <v>24570</v>
      </c>
      <c r="AT63" s="60" t="n">
        <f aca="false">AT13+AT56</f>
        <v>24570</v>
      </c>
      <c r="AU63" s="60" t="n">
        <f aca="false">AU13+AU56</f>
        <v>24570</v>
      </c>
      <c r="AV63" s="60" t="n">
        <f aca="false">AV13+AV56</f>
        <v>24570</v>
      </c>
      <c r="AW63" s="60" t="n">
        <f aca="false">AW13+AW56</f>
        <v>24570</v>
      </c>
      <c r="AX63" s="60" t="n">
        <f aca="false">AX13+AX56</f>
        <v>24570</v>
      </c>
      <c r="AY63" s="60" t="n">
        <f aca="false">AY13+AY56</f>
        <v>24570</v>
      </c>
      <c r="AZ63" s="60" t="n">
        <f aca="false">AZ13+AZ56</f>
        <v>24570</v>
      </c>
      <c r="BA63" s="60" t="n">
        <f aca="false">BA13+BA56</f>
        <v>24570</v>
      </c>
      <c r="BB63" s="59" t="n">
        <f aca="false">SUM(BC63:BN63)</f>
        <v>377400</v>
      </c>
      <c r="BC63" s="60" t="n">
        <f aca="false">BC13+BC56</f>
        <v>31450</v>
      </c>
      <c r="BD63" s="60" t="n">
        <f aca="false">BD13+BD56</f>
        <v>31450</v>
      </c>
      <c r="BE63" s="60" t="n">
        <f aca="false">BE13+BE56</f>
        <v>31450</v>
      </c>
      <c r="BF63" s="60" t="n">
        <f aca="false">BF13+BF56</f>
        <v>31450</v>
      </c>
      <c r="BG63" s="60" t="n">
        <f aca="false">BG13+BG56</f>
        <v>31450</v>
      </c>
      <c r="BH63" s="60" t="n">
        <f aca="false">BH13+BH56</f>
        <v>31450</v>
      </c>
      <c r="BI63" s="60" t="n">
        <f aca="false">BI13+BI56</f>
        <v>31450</v>
      </c>
      <c r="BJ63" s="60" t="n">
        <f aca="false">BJ13+BJ56</f>
        <v>31450</v>
      </c>
      <c r="BK63" s="60" t="n">
        <f aca="false">BK13+BK56</f>
        <v>31450</v>
      </c>
      <c r="BL63" s="60" t="n">
        <f aca="false">BL13+BL56</f>
        <v>31450</v>
      </c>
      <c r="BM63" s="60" t="n">
        <f aca="false">BM13+BM56</f>
        <v>31450</v>
      </c>
      <c r="BN63" s="60" t="n">
        <f aca="false">BN13+BN56</f>
        <v>31450</v>
      </c>
    </row>
    <row r="64" customFormat="false" ht="15" hidden="false" customHeight="false" outlineLevel="0" collapsed="false">
      <c r="A64" s="4" t="s">
        <v>679</v>
      </c>
      <c r="B64" s="81" t="n">
        <f aca="false">IFERROR(B63/B62,0)</f>
        <v>4.0198096774112</v>
      </c>
      <c r="C64" s="82" t="n">
        <f aca="false">IFERROR(C63/C62,0)</f>
        <v>4.0198096774112</v>
      </c>
      <c r="D64" s="82" t="n">
        <f aca="false">IFERROR(D63/D62,0)</f>
        <v>4.0198096774112</v>
      </c>
      <c r="E64" s="82" t="n">
        <f aca="false">IFERROR(E63/E62,0)</f>
        <v>4.0198096774112</v>
      </c>
      <c r="F64" s="82" t="n">
        <f aca="false">IFERROR(F63/F62,0)</f>
        <v>4.0198096774112</v>
      </c>
      <c r="G64" s="82" t="n">
        <f aca="false">IFERROR(G63/G62,0)</f>
        <v>4.0198096774112</v>
      </c>
      <c r="H64" s="82" t="n">
        <f aca="false">IFERROR(H63/H62,0)</f>
        <v>4.0198096774112</v>
      </c>
      <c r="I64" s="82" t="n">
        <f aca="false">IFERROR(I63/I62,0)</f>
        <v>4.0198096774112</v>
      </c>
      <c r="J64" s="82" t="n">
        <f aca="false">IFERROR(J63/J62,0)</f>
        <v>4.0198096774112</v>
      </c>
      <c r="K64" s="82" t="n">
        <f aca="false">IFERROR(K63/K62,0)</f>
        <v>4.0198096774112</v>
      </c>
      <c r="L64" s="82" t="n">
        <f aca="false">IFERROR(L63/L62,0)</f>
        <v>4.0198096774112</v>
      </c>
      <c r="M64" s="82" t="n">
        <f aca="false">IFERROR(M63/M62,0)</f>
        <v>4.0198096774112</v>
      </c>
      <c r="N64" s="82" t="n">
        <f aca="false">IFERROR(N63/N62,0)</f>
        <v>4.0198096774112</v>
      </c>
      <c r="O64" s="81" t="n">
        <f aca="false">IFERROR(O63/O62,0)</f>
        <v>4.33813488544295</v>
      </c>
      <c r="P64" s="82" t="n">
        <f aca="false">IFERROR(P63/P62,0)</f>
        <v>4.33813488544295</v>
      </c>
      <c r="Q64" s="82" t="n">
        <f aca="false">IFERROR(Q63/Q62,0)</f>
        <v>4.33813488544295</v>
      </c>
      <c r="R64" s="82" t="n">
        <f aca="false">IFERROR(R63/R62,0)</f>
        <v>4.33813488544295</v>
      </c>
      <c r="S64" s="82" t="n">
        <f aca="false">IFERROR(S63/S62,0)</f>
        <v>4.33813488544295</v>
      </c>
      <c r="T64" s="82" t="n">
        <f aca="false">IFERROR(T63/T62,0)</f>
        <v>4.33813488544295</v>
      </c>
      <c r="U64" s="82" t="n">
        <f aca="false">IFERROR(U63/U62,0)</f>
        <v>4.33813488544295</v>
      </c>
      <c r="V64" s="82" t="n">
        <f aca="false">IFERROR(V63/V62,0)</f>
        <v>4.33813488544295</v>
      </c>
      <c r="W64" s="82" t="n">
        <f aca="false">IFERROR(W63/W62,0)</f>
        <v>4.33813488544295</v>
      </c>
      <c r="X64" s="82" t="n">
        <f aca="false">IFERROR(X63/X62,0)</f>
        <v>4.33813488544295</v>
      </c>
      <c r="Y64" s="82" t="n">
        <f aca="false">IFERROR(Y63/Y62,0)</f>
        <v>4.33813488544295</v>
      </c>
      <c r="Z64" s="82" t="n">
        <f aca="false">IFERROR(Z63/Z62,0)</f>
        <v>4.33813488544295</v>
      </c>
      <c r="AA64" s="82" t="n">
        <f aca="false">IFERROR(AA63/AA62,0)</f>
        <v>4.33813488544295</v>
      </c>
      <c r="AB64" s="81" t="n">
        <f aca="false">IFERROR(AB63/AB62,0)</f>
        <v>4.62923079569571</v>
      </c>
      <c r="AC64" s="82" t="n">
        <f aca="false">IFERROR(AC63/AC62,0)</f>
        <v>4.62923079569571</v>
      </c>
      <c r="AD64" s="82" t="n">
        <f aca="false">IFERROR(AD63/AD62,0)</f>
        <v>4.62923079569571</v>
      </c>
      <c r="AE64" s="82" t="n">
        <f aca="false">IFERROR(AE63/AE62,0)</f>
        <v>4.62923079569571</v>
      </c>
      <c r="AF64" s="82" t="n">
        <f aca="false">IFERROR(AF63/AF62,0)</f>
        <v>4.62923079569571</v>
      </c>
      <c r="AG64" s="82" t="n">
        <f aca="false">IFERROR(AG63/AG62,0)</f>
        <v>4.62923079569571</v>
      </c>
      <c r="AH64" s="82" t="n">
        <f aca="false">IFERROR(AH63/AH62,0)</f>
        <v>4.62923079569571</v>
      </c>
      <c r="AI64" s="82" t="n">
        <f aca="false">IFERROR(AI63/AI62,0)</f>
        <v>4.62923079569571</v>
      </c>
      <c r="AJ64" s="82" t="n">
        <f aca="false">IFERROR(AJ63/AJ62,0)</f>
        <v>4.62923079569571</v>
      </c>
      <c r="AK64" s="82" t="n">
        <f aca="false">IFERROR(AK63/AK62,0)</f>
        <v>4.62923079569571</v>
      </c>
      <c r="AL64" s="82" t="n">
        <f aca="false">IFERROR(AL63/AL62,0)</f>
        <v>4.62923079569571</v>
      </c>
      <c r="AM64" s="82" t="n">
        <f aca="false">IFERROR(AM63/AM62,0)</f>
        <v>4.62923079569571</v>
      </c>
      <c r="AN64" s="82" t="n">
        <f aca="false">IFERROR(AN63/AN62,0)</f>
        <v>4.62923079569571</v>
      </c>
      <c r="AO64" s="81" t="n">
        <f aca="false">IFERROR(AO63/AO62,0)</f>
        <v>4.9791345113244</v>
      </c>
      <c r="AP64" s="82" t="n">
        <f aca="false">IFERROR(AP63/AP62,0)</f>
        <v>4.9791345113244</v>
      </c>
      <c r="AQ64" s="82" t="n">
        <f aca="false">IFERROR(AQ63/AQ62,0)</f>
        <v>4.9791345113244</v>
      </c>
      <c r="AR64" s="82" t="n">
        <f aca="false">IFERROR(AR63/AR62,0)</f>
        <v>4.9791345113244</v>
      </c>
      <c r="AS64" s="82" t="n">
        <f aca="false">IFERROR(AS63/AS62,0)</f>
        <v>4.9791345113244</v>
      </c>
      <c r="AT64" s="82" t="n">
        <f aca="false">IFERROR(AT63/AT62,0)</f>
        <v>4.9791345113244</v>
      </c>
      <c r="AU64" s="82" t="n">
        <f aca="false">IFERROR(AU63/AU62,0)</f>
        <v>4.9791345113244</v>
      </c>
      <c r="AV64" s="82" t="n">
        <f aca="false">IFERROR(AV63/AV62,0)</f>
        <v>4.9791345113244</v>
      </c>
      <c r="AW64" s="82" t="n">
        <f aca="false">IFERROR(AW63/AW62,0)</f>
        <v>4.9791345113244</v>
      </c>
      <c r="AX64" s="82" t="n">
        <f aca="false">IFERROR(AX63/AX62,0)</f>
        <v>4.9791345113244</v>
      </c>
      <c r="AY64" s="82" t="n">
        <f aca="false">IFERROR(AY63/AY62,0)</f>
        <v>4.9791345113244</v>
      </c>
      <c r="AZ64" s="82" t="n">
        <f aca="false">IFERROR(AZ63/AZ62,0)</f>
        <v>4.9791345113244</v>
      </c>
      <c r="BA64" s="82" t="n">
        <f aca="false">IFERROR(BA63/BA62,0)</f>
        <v>4.9791345113244</v>
      </c>
      <c r="BB64" s="81" t="n">
        <f aca="false">IFERROR(BB63/BB62,0)</f>
        <v>5.36362498531227</v>
      </c>
      <c r="BC64" s="82" t="n">
        <f aca="false">IFERROR(BC63/BC62,0)</f>
        <v>5.36362498531227</v>
      </c>
      <c r="BD64" s="82" t="n">
        <f aca="false">IFERROR(BD63/BD62,0)</f>
        <v>5.36362498531227</v>
      </c>
      <c r="BE64" s="82" t="n">
        <f aca="false">IFERROR(BE63/BE62,0)</f>
        <v>5.36362498531227</v>
      </c>
      <c r="BF64" s="82" t="n">
        <f aca="false">IFERROR(BF63/BF62,0)</f>
        <v>5.36362498531227</v>
      </c>
      <c r="BG64" s="82" t="n">
        <f aca="false">IFERROR(BG63/BG62,0)</f>
        <v>5.36362498531227</v>
      </c>
      <c r="BH64" s="82" t="n">
        <f aca="false">IFERROR(BH63/BH62,0)</f>
        <v>5.36362498531227</v>
      </c>
      <c r="BI64" s="82" t="n">
        <f aca="false">IFERROR(BI63/BI62,0)</f>
        <v>5.36362498531227</v>
      </c>
      <c r="BJ64" s="82" t="n">
        <f aca="false">IFERROR(BJ63/BJ62,0)</f>
        <v>5.36362498531227</v>
      </c>
      <c r="BK64" s="82" t="n">
        <f aca="false">IFERROR(BK63/BK62,0)</f>
        <v>5.36362498531227</v>
      </c>
      <c r="BL64" s="82" t="n">
        <f aca="false">IFERROR(BL63/BL62,0)</f>
        <v>5.36362498531227</v>
      </c>
      <c r="BM64" s="82" t="n">
        <f aca="false">IFERROR(BM63/BM62,0)</f>
        <v>5.36362498531227</v>
      </c>
      <c r="BN64" s="82" t="n">
        <f aca="false">IFERROR(BN63/BN62,0)</f>
        <v>5.36362498531227</v>
      </c>
    </row>
    <row r="65" customFormat="false" ht="15" hidden="false" customHeight="false" outlineLevel="0" collapsed="false">
      <c r="A65" s="4" t="s">
        <v>680</v>
      </c>
      <c r="B65" s="69" t="n">
        <f aca="false">SUM(C65:N65)</f>
        <v>957.060236363637</v>
      </c>
      <c r="C65" s="72" t="n">
        <f aca="false">C62*'Assumption Setting'!$C$39</f>
        <v>79.7550196969697</v>
      </c>
      <c r="D65" s="72" t="n">
        <f aca="false">D62*'Assumption Setting'!$C$39</f>
        <v>79.7550196969697</v>
      </c>
      <c r="E65" s="72" t="n">
        <f aca="false">E62*'Assumption Setting'!$C$39</f>
        <v>79.7550196969697</v>
      </c>
      <c r="F65" s="72" t="n">
        <f aca="false">F62*'Assumption Setting'!$C$39</f>
        <v>79.7550196969697</v>
      </c>
      <c r="G65" s="72" t="n">
        <f aca="false">G62*'Assumption Setting'!$C$39</f>
        <v>79.7550196969697</v>
      </c>
      <c r="H65" s="72" t="n">
        <f aca="false">H62*'Assumption Setting'!$C$39</f>
        <v>79.7550196969697</v>
      </c>
      <c r="I65" s="72" t="n">
        <f aca="false">I62*'Assumption Setting'!$C$39</f>
        <v>79.7550196969697</v>
      </c>
      <c r="J65" s="72" t="n">
        <f aca="false">J62*'Assumption Setting'!$C$39</f>
        <v>79.7550196969697</v>
      </c>
      <c r="K65" s="72" t="n">
        <f aca="false">K62*'Assumption Setting'!$C$39</f>
        <v>79.7550196969697</v>
      </c>
      <c r="L65" s="72" t="n">
        <f aca="false">L62*'Assumption Setting'!$C$39</f>
        <v>79.7550196969697</v>
      </c>
      <c r="M65" s="72" t="n">
        <f aca="false">M62*'Assumption Setting'!$C$39</f>
        <v>79.7550196969697</v>
      </c>
      <c r="N65" s="72" t="n">
        <f aca="false">N62*'Assumption Setting'!$C$39</f>
        <v>79.7550196969697</v>
      </c>
      <c r="O65" s="69" t="n">
        <f aca="false">SUM(P65:AA65)</f>
        <v>2303.66280991736</v>
      </c>
      <c r="P65" s="72" t="n">
        <f aca="false">P62*'Assumption Setting'!$D$39</f>
        <v>191.971900826446</v>
      </c>
      <c r="Q65" s="72" t="n">
        <f aca="false">Q62*'Assumption Setting'!$D$39</f>
        <v>191.971900826446</v>
      </c>
      <c r="R65" s="72" t="n">
        <f aca="false">R62*'Assumption Setting'!$D$39</f>
        <v>191.971900826446</v>
      </c>
      <c r="S65" s="72" t="n">
        <f aca="false">S62*'Assumption Setting'!$D$39</f>
        <v>191.971900826446</v>
      </c>
      <c r="T65" s="72" t="n">
        <f aca="false">T62*'Assumption Setting'!$D$39</f>
        <v>191.971900826446</v>
      </c>
      <c r="U65" s="72" t="n">
        <f aca="false">U62*'Assumption Setting'!$D$39</f>
        <v>191.971900826446</v>
      </c>
      <c r="V65" s="72" t="n">
        <f aca="false">V62*'Assumption Setting'!$D$39</f>
        <v>191.971900826446</v>
      </c>
      <c r="W65" s="72" t="n">
        <f aca="false">W62*'Assumption Setting'!$D$39</f>
        <v>191.971900826446</v>
      </c>
      <c r="X65" s="72" t="n">
        <f aca="false">X62*'Assumption Setting'!$D$39</f>
        <v>191.971900826446</v>
      </c>
      <c r="Y65" s="72" t="n">
        <f aca="false">Y62*'Assumption Setting'!$D$39</f>
        <v>191.971900826446</v>
      </c>
      <c r="Z65" s="72" t="n">
        <f aca="false">Z62*'Assumption Setting'!$D$39</f>
        <v>191.971900826446</v>
      </c>
      <c r="AA65" s="72" t="n">
        <f aca="false">AA62*'Assumption Setting'!$D$39</f>
        <v>191.971900826446</v>
      </c>
      <c r="AB65" s="69" t="n">
        <f aca="false">SUM(AC65:AN65)</f>
        <v>4103.74873027799</v>
      </c>
      <c r="AC65" s="72" t="n">
        <f aca="false">AC62*'Assumption Setting'!$E$39</f>
        <v>341.979060856499</v>
      </c>
      <c r="AD65" s="72" t="n">
        <f aca="false">AD62*'Assumption Setting'!$E$39</f>
        <v>341.979060856499</v>
      </c>
      <c r="AE65" s="72" t="n">
        <f aca="false">AE62*'Assumption Setting'!$E$39</f>
        <v>341.979060856499</v>
      </c>
      <c r="AF65" s="72" t="n">
        <f aca="false">AF62*'Assumption Setting'!$E$39</f>
        <v>341.979060856499</v>
      </c>
      <c r="AG65" s="72" t="n">
        <f aca="false">AG62*'Assumption Setting'!$E$39</f>
        <v>341.979060856499</v>
      </c>
      <c r="AH65" s="72" t="n">
        <f aca="false">AH62*'Assumption Setting'!$E$39</f>
        <v>341.979060856499</v>
      </c>
      <c r="AI65" s="72" t="n">
        <f aca="false">AI62*'Assumption Setting'!$E$39</f>
        <v>341.979060856499</v>
      </c>
      <c r="AJ65" s="72" t="n">
        <f aca="false">AJ62*'Assumption Setting'!$E$39</f>
        <v>341.979060856499</v>
      </c>
      <c r="AK65" s="72" t="n">
        <f aca="false">AK62*'Assumption Setting'!$E$39</f>
        <v>341.979060856499</v>
      </c>
      <c r="AL65" s="72" t="n">
        <f aca="false">AL62*'Assumption Setting'!$E$39</f>
        <v>341.979060856499</v>
      </c>
      <c r="AM65" s="72" t="n">
        <f aca="false">AM62*'Assumption Setting'!$E$39</f>
        <v>341.979060856499</v>
      </c>
      <c r="AN65" s="72" t="n">
        <f aca="false">AN62*'Assumption Setting'!$E$39</f>
        <v>341.979060856499</v>
      </c>
      <c r="AO65" s="69" t="n">
        <f aca="false">SUM(AP65:BA65)</f>
        <v>5921.51104432757</v>
      </c>
      <c r="AP65" s="72" t="n">
        <f aca="false">AP62*'Assumption Setting'!$F$39</f>
        <v>493.459253693964</v>
      </c>
      <c r="AQ65" s="72" t="n">
        <f aca="false">AQ62*'Assumption Setting'!$F$39</f>
        <v>493.459253693964</v>
      </c>
      <c r="AR65" s="72" t="n">
        <f aca="false">AR62*'Assumption Setting'!$F$39</f>
        <v>493.459253693964</v>
      </c>
      <c r="AS65" s="72" t="n">
        <f aca="false">AS62*'Assumption Setting'!$F$39</f>
        <v>493.459253693964</v>
      </c>
      <c r="AT65" s="72" t="n">
        <f aca="false">AT62*'Assumption Setting'!$F$39</f>
        <v>493.459253693964</v>
      </c>
      <c r="AU65" s="72" t="n">
        <f aca="false">AU62*'Assumption Setting'!$F$39</f>
        <v>493.459253693964</v>
      </c>
      <c r="AV65" s="72" t="n">
        <f aca="false">AV62*'Assumption Setting'!$F$39</f>
        <v>493.459253693964</v>
      </c>
      <c r="AW65" s="72" t="n">
        <f aca="false">AW62*'Assumption Setting'!$F$39</f>
        <v>493.459253693964</v>
      </c>
      <c r="AX65" s="72" t="n">
        <f aca="false">AX62*'Assumption Setting'!$F$39</f>
        <v>493.459253693964</v>
      </c>
      <c r="AY65" s="72" t="n">
        <f aca="false">AY62*'Assumption Setting'!$F$39</f>
        <v>493.459253693964</v>
      </c>
      <c r="AZ65" s="72" t="n">
        <f aca="false">AZ62*'Assumption Setting'!$F$39</f>
        <v>493.459253693964</v>
      </c>
      <c r="BA65" s="72" t="n">
        <f aca="false">BA62*'Assumption Setting'!$F$39</f>
        <v>493.459253693964</v>
      </c>
      <c r="BB65" s="69" t="n">
        <f aca="false">SUM(BC65:BN65)</f>
        <v>7036.28611309461</v>
      </c>
      <c r="BC65" s="72" t="n">
        <f aca="false">BC62*'Assumption Setting'!$G$39</f>
        <v>586.357176091217</v>
      </c>
      <c r="BD65" s="72" t="n">
        <f aca="false">BD62*'Assumption Setting'!$G$39</f>
        <v>586.357176091217</v>
      </c>
      <c r="BE65" s="72" t="n">
        <f aca="false">BE62*'Assumption Setting'!$G$39</f>
        <v>586.357176091217</v>
      </c>
      <c r="BF65" s="72" t="n">
        <f aca="false">BF62*'Assumption Setting'!$G$39</f>
        <v>586.357176091217</v>
      </c>
      <c r="BG65" s="72" t="n">
        <f aca="false">BG62*'Assumption Setting'!$G$39</f>
        <v>586.357176091217</v>
      </c>
      <c r="BH65" s="72" t="n">
        <f aca="false">BH62*'Assumption Setting'!$G$39</f>
        <v>586.357176091217</v>
      </c>
      <c r="BI65" s="72" t="n">
        <f aca="false">BI62*'Assumption Setting'!$G$39</f>
        <v>586.357176091217</v>
      </c>
      <c r="BJ65" s="72" t="n">
        <f aca="false">BJ62*'Assumption Setting'!$G$39</f>
        <v>586.357176091217</v>
      </c>
      <c r="BK65" s="72" t="n">
        <f aca="false">BK62*'Assumption Setting'!$G$39</f>
        <v>586.357176091217</v>
      </c>
      <c r="BL65" s="72" t="n">
        <f aca="false">BL62*'Assumption Setting'!$G$39</f>
        <v>586.357176091217</v>
      </c>
      <c r="BM65" s="72" t="n">
        <f aca="false">BM62*'Assumption Setting'!$G$39</f>
        <v>586.357176091217</v>
      </c>
      <c r="BN65" s="72" t="n">
        <f aca="false">BN62*'Assumption Setting'!$G$39</f>
        <v>586.357176091217</v>
      </c>
    </row>
    <row r="66" customFormat="false" ht="15" hidden="false" customHeight="false" outlineLevel="0" collapsed="false">
      <c r="A66" s="4" t="s">
        <v>681</v>
      </c>
      <c r="B66" s="69" t="n">
        <f aca="false">SUM(C66:N66)</f>
        <v>205.084336363636</v>
      </c>
      <c r="C66" s="72" t="n">
        <f aca="false">C62*'Assumption Setting'!$C$40</f>
        <v>17.0903613636364</v>
      </c>
      <c r="D66" s="72" t="n">
        <f aca="false">D62*'Assumption Setting'!$C$40</f>
        <v>17.0903613636364</v>
      </c>
      <c r="E66" s="72" t="n">
        <f aca="false">E62*'Assumption Setting'!$C$40</f>
        <v>17.0903613636364</v>
      </c>
      <c r="F66" s="72" t="n">
        <f aca="false">F62*'Assumption Setting'!$C$40</f>
        <v>17.0903613636364</v>
      </c>
      <c r="G66" s="72" t="n">
        <f aca="false">G62*'Assumption Setting'!$C$40</f>
        <v>17.0903613636364</v>
      </c>
      <c r="H66" s="72" t="n">
        <f aca="false">H62*'Assumption Setting'!$C$40</f>
        <v>17.0903613636364</v>
      </c>
      <c r="I66" s="72" t="n">
        <f aca="false">I62*'Assumption Setting'!$C$40</f>
        <v>17.0903613636364</v>
      </c>
      <c r="J66" s="72" t="n">
        <f aca="false">J62*'Assumption Setting'!$C$40</f>
        <v>17.0903613636364</v>
      </c>
      <c r="K66" s="72" t="n">
        <f aca="false">K62*'Assumption Setting'!$C$40</f>
        <v>17.0903613636364</v>
      </c>
      <c r="L66" s="72" t="n">
        <f aca="false">L62*'Assumption Setting'!$C$40</f>
        <v>17.0903613636364</v>
      </c>
      <c r="M66" s="72" t="n">
        <f aca="false">M62*'Assumption Setting'!$C$40</f>
        <v>17.0903613636364</v>
      </c>
      <c r="N66" s="72" t="n">
        <f aca="false">N62*'Assumption Setting'!$C$40</f>
        <v>17.0903613636364</v>
      </c>
      <c r="O66" s="69" t="n">
        <f aca="false">SUM(P66:AA66)</f>
        <v>575.915702479339</v>
      </c>
      <c r="P66" s="72" t="n">
        <f aca="false">P62*'Assumption Setting'!$D$40</f>
        <v>47.9929752066116</v>
      </c>
      <c r="Q66" s="72" t="n">
        <f aca="false">Q62*'Assumption Setting'!$D$40</f>
        <v>47.9929752066116</v>
      </c>
      <c r="R66" s="72" t="n">
        <f aca="false">R62*'Assumption Setting'!$D$40</f>
        <v>47.9929752066116</v>
      </c>
      <c r="S66" s="72" t="n">
        <f aca="false">S62*'Assumption Setting'!$D$40</f>
        <v>47.9929752066116</v>
      </c>
      <c r="T66" s="72" t="n">
        <f aca="false">T62*'Assumption Setting'!$D$40</f>
        <v>47.9929752066116</v>
      </c>
      <c r="U66" s="72" t="n">
        <f aca="false">U62*'Assumption Setting'!$D$40</f>
        <v>47.9929752066116</v>
      </c>
      <c r="V66" s="72" t="n">
        <f aca="false">V62*'Assumption Setting'!$D$40</f>
        <v>47.9929752066116</v>
      </c>
      <c r="W66" s="72" t="n">
        <f aca="false">W62*'Assumption Setting'!$D$40</f>
        <v>47.9929752066116</v>
      </c>
      <c r="X66" s="72" t="n">
        <f aca="false">X62*'Assumption Setting'!$D$40</f>
        <v>47.9929752066116</v>
      </c>
      <c r="Y66" s="72" t="n">
        <f aca="false">Y62*'Assumption Setting'!$D$40</f>
        <v>47.9929752066116</v>
      </c>
      <c r="Z66" s="72" t="n">
        <f aca="false">Z62*'Assumption Setting'!$D$40</f>
        <v>47.9929752066116</v>
      </c>
      <c r="AA66" s="72" t="n">
        <f aca="false">AA62*'Assumption Setting'!$D$40</f>
        <v>47.9929752066116</v>
      </c>
      <c r="AB66" s="69" t="n">
        <f aca="false">SUM(AC66:AN66)</f>
        <v>1139.930202855</v>
      </c>
      <c r="AC66" s="72" t="n">
        <f aca="false">AC62*'Assumption Setting'!$E$40</f>
        <v>94.9941835712497</v>
      </c>
      <c r="AD66" s="72" t="n">
        <f aca="false">AD62*'Assumption Setting'!$E$40</f>
        <v>94.9941835712497</v>
      </c>
      <c r="AE66" s="72" t="n">
        <f aca="false">AE62*'Assumption Setting'!$E$40</f>
        <v>94.9941835712497</v>
      </c>
      <c r="AF66" s="72" t="n">
        <f aca="false">AF62*'Assumption Setting'!$E$40</f>
        <v>94.9941835712497</v>
      </c>
      <c r="AG66" s="72" t="n">
        <f aca="false">AG62*'Assumption Setting'!$E$40</f>
        <v>94.9941835712497</v>
      </c>
      <c r="AH66" s="72" t="n">
        <f aca="false">AH62*'Assumption Setting'!$E$40</f>
        <v>94.9941835712497</v>
      </c>
      <c r="AI66" s="72" t="n">
        <f aca="false">AI62*'Assumption Setting'!$E$40</f>
        <v>94.9941835712497</v>
      </c>
      <c r="AJ66" s="72" t="n">
        <f aca="false">AJ62*'Assumption Setting'!$E$40</f>
        <v>94.9941835712497</v>
      </c>
      <c r="AK66" s="72" t="n">
        <f aca="false">AK62*'Assumption Setting'!$E$40</f>
        <v>94.9941835712497</v>
      </c>
      <c r="AL66" s="72" t="n">
        <f aca="false">AL62*'Assumption Setting'!$E$40</f>
        <v>94.9941835712497</v>
      </c>
      <c r="AM66" s="72" t="n">
        <f aca="false">AM62*'Assumption Setting'!$E$40</f>
        <v>94.9941835712497</v>
      </c>
      <c r="AN66" s="72" t="n">
        <f aca="false">AN62*'Assumption Setting'!$E$40</f>
        <v>94.9941835712497</v>
      </c>
      <c r="AO66" s="69" t="n">
        <f aca="false">SUM(AP66:BA66)</f>
        <v>1776.45331329827</v>
      </c>
      <c r="AP66" s="72" t="n">
        <f aca="false">AP62*'Assumption Setting'!$F$40</f>
        <v>148.037776108189</v>
      </c>
      <c r="AQ66" s="72" t="n">
        <f aca="false">AQ62*'Assumption Setting'!$F$40</f>
        <v>148.037776108189</v>
      </c>
      <c r="AR66" s="72" t="n">
        <f aca="false">AR62*'Assumption Setting'!$F$40</f>
        <v>148.037776108189</v>
      </c>
      <c r="AS66" s="72" t="n">
        <f aca="false">AS62*'Assumption Setting'!$F$40</f>
        <v>148.037776108189</v>
      </c>
      <c r="AT66" s="72" t="n">
        <f aca="false">AT62*'Assumption Setting'!$F$40</f>
        <v>148.037776108189</v>
      </c>
      <c r="AU66" s="72" t="n">
        <f aca="false">AU62*'Assumption Setting'!$F$40</f>
        <v>148.037776108189</v>
      </c>
      <c r="AV66" s="72" t="n">
        <f aca="false">AV62*'Assumption Setting'!$F$40</f>
        <v>148.037776108189</v>
      </c>
      <c r="AW66" s="72" t="n">
        <f aca="false">AW62*'Assumption Setting'!$F$40</f>
        <v>148.037776108189</v>
      </c>
      <c r="AX66" s="72" t="n">
        <f aca="false">AX62*'Assumption Setting'!$F$40</f>
        <v>148.037776108189</v>
      </c>
      <c r="AY66" s="72" t="n">
        <f aca="false">AY62*'Assumption Setting'!$F$40</f>
        <v>148.037776108189</v>
      </c>
      <c r="AZ66" s="72" t="n">
        <f aca="false">AZ62*'Assumption Setting'!$F$40</f>
        <v>148.037776108189</v>
      </c>
      <c r="BA66" s="72" t="n">
        <f aca="false">BA62*'Assumption Setting'!$F$40</f>
        <v>148.037776108189</v>
      </c>
      <c r="BB66" s="69" t="n">
        <f aca="false">SUM(BC66:BN66)</f>
        <v>2110.88583392838</v>
      </c>
      <c r="BC66" s="72" t="n">
        <f aca="false">BC62*'Assumption Setting'!$G$40</f>
        <v>175.907152827365</v>
      </c>
      <c r="BD66" s="72" t="n">
        <f aca="false">BD62*'Assumption Setting'!$G$40</f>
        <v>175.907152827365</v>
      </c>
      <c r="BE66" s="72" t="n">
        <f aca="false">BE62*'Assumption Setting'!$G$40</f>
        <v>175.907152827365</v>
      </c>
      <c r="BF66" s="72" t="n">
        <f aca="false">BF62*'Assumption Setting'!$G$40</f>
        <v>175.907152827365</v>
      </c>
      <c r="BG66" s="72" t="n">
        <f aca="false">BG62*'Assumption Setting'!$G$40</f>
        <v>175.907152827365</v>
      </c>
      <c r="BH66" s="72" t="n">
        <f aca="false">BH62*'Assumption Setting'!$G$40</f>
        <v>175.907152827365</v>
      </c>
      <c r="BI66" s="72" t="n">
        <f aca="false">BI62*'Assumption Setting'!$G$40</f>
        <v>175.907152827365</v>
      </c>
      <c r="BJ66" s="72" t="n">
        <f aca="false">BJ62*'Assumption Setting'!$G$40</f>
        <v>175.907152827365</v>
      </c>
      <c r="BK66" s="72" t="n">
        <f aca="false">BK62*'Assumption Setting'!$G$40</f>
        <v>175.907152827365</v>
      </c>
      <c r="BL66" s="72" t="n">
        <f aca="false">BL62*'Assumption Setting'!$G$40</f>
        <v>175.907152827365</v>
      </c>
      <c r="BM66" s="72" t="n">
        <f aca="false">BM62*'Assumption Setting'!$G$40</f>
        <v>175.907152827365</v>
      </c>
      <c r="BN66" s="72" t="n">
        <f aca="false">BN62*'Assumption Setting'!$G$40</f>
        <v>175.907152827365</v>
      </c>
    </row>
    <row r="67" customFormat="false" ht="15" hidden="false" customHeight="false" outlineLevel="0" collapsed="false">
      <c r="A67" s="4" t="s">
        <v>682</v>
      </c>
      <c r="B67" s="69" t="n">
        <f aca="false">SUM(C67:N67)</f>
        <v>12510.1445181818</v>
      </c>
      <c r="C67" s="72" t="n">
        <f aca="false">C62-C65-C66</f>
        <v>1042.51204318182</v>
      </c>
      <c r="D67" s="72" t="n">
        <f aca="false">D62-D65-D66</f>
        <v>1042.51204318182</v>
      </c>
      <c r="E67" s="72" t="n">
        <f aca="false">E62-E65-E66</f>
        <v>1042.51204318182</v>
      </c>
      <c r="F67" s="72" t="n">
        <f aca="false">F62-F65-F66</f>
        <v>1042.51204318182</v>
      </c>
      <c r="G67" s="72" t="n">
        <f aca="false">G62-G65-G66</f>
        <v>1042.51204318182</v>
      </c>
      <c r="H67" s="72" t="n">
        <f aca="false">H62-H65-H66</f>
        <v>1042.51204318182</v>
      </c>
      <c r="I67" s="72" t="n">
        <f aca="false">I62-I65-I66</f>
        <v>1042.51204318182</v>
      </c>
      <c r="J67" s="72" t="n">
        <f aca="false">J62-J65-J66</f>
        <v>1042.51204318182</v>
      </c>
      <c r="K67" s="72" t="n">
        <f aca="false">K62-K65-K66</f>
        <v>1042.51204318182</v>
      </c>
      <c r="L67" s="72" t="n">
        <f aca="false">L62-L65-L66</f>
        <v>1042.51204318182</v>
      </c>
      <c r="M67" s="72" t="n">
        <f aca="false">M62-M65-M66</f>
        <v>1042.51204318182</v>
      </c>
      <c r="N67" s="72" t="n">
        <f aca="false">N62-N65-N66</f>
        <v>1042.51204318182</v>
      </c>
      <c r="O67" s="69" t="n">
        <f aca="false">SUM(P67:AA67)</f>
        <v>25916.2066115702</v>
      </c>
      <c r="P67" s="72" t="n">
        <f aca="false">P62-P65-P66</f>
        <v>2159.68388429752</v>
      </c>
      <c r="Q67" s="72" t="n">
        <f aca="false">Q62-Q65-Q66</f>
        <v>2159.68388429752</v>
      </c>
      <c r="R67" s="72" t="n">
        <f aca="false">R62-R65-R66</f>
        <v>2159.68388429752</v>
      </c>
      <c r="S67" s="72" t="n">
        <f aca="false">S62-S65-S66</f>
        <v>2159.68388429752</v>
      </c>
      <c r="T67" s="72" t="n">
        <f aca="false">T62-T65-T66</f>
        <v>2159.68388429752</v>
      </c>
      <c r="U67" s="72" t="n">
        <f aca="false">U62-U65-U66</f>
        <v>2159.68388429752</v>
      </c>
      <c r="V67" s="72" t="n">
        <f aca="false">V62-V65-V66</f>
        <v>2159.68388429752</v>
      </c>
      <c r="W67" s="72" t="n">
        <f aca="false">W62-W65-W66</f>
        <v>2159.68388429752</v>
      </c>
      <c r="X67" s="72" t="n">
        <f aca="false">X62-X65-X66</f>
        <v>2159.68388429752</v>
      </c>
      <c r="Y67" s="72" t="n">
        <f aca="false">Y62-Y65-Y66</f>
        <v>2159.68388429752</v>
      </c>
      <c r="Z67" s="72" t="n">
        <f aca="false">Z62-Z65-Z66</f>
        <v>2159.68388429752</v>
      </c>
      <c r="AA67" s="72" t="n">
        <f aca="false">AA62-AA65-AA66</f>
        <v>2159.68388429752</v>
      </c>
      <c r="AB67" s="69" t="n">
        <f aca="false">SUM(AC67:AN67)</f>
        <v>40353.5291810669</v>
      </c>
      <c r="AC67" s="72" t="n">
        <f aca="false">AC62-AC65-AC66</f>
        <v>3362.79409842224</v>
      </c>
      <c r="AD67" s="72" t="n">
        <f aca="false">AD62-AD65-AD66</f>
        <v>3362.79409842224</v>
      </c>
      <c r="AE67" s="72" t="n">
        <f aca="false">AE62-AE65-AE66</f>
        <v>3362.79409842224</v>
      </c>
      <c r="AF67" s="72" t="n">
        <f aca="false">AF62-AF65-AF66</f>
        <v>3362.79409842224</v>
      </c>
      <c r="AG67" s="72" t="n">
        <f aca="false">AG62-AG65-AG66</f>
        <v>3362.79409842224</v>
      </c>
      <c r="AH67" s="72" t="n">
        <f aca="false">AH62-AH65-AH66</f>
        <v>3362.79409842224</v>
      </c>
      <c r="AI67" s="72" t="n">
        <f aca="false">AI62-AI65-AI66</f>
        <v>3362.79409842224</v>
      </c>
      <c r="AJ67" s="72" t="n">
        <f aca="false">AJ62-AJ65-AJ66</f>
        <v>3362.79409842224</v>
      </c>
      <c r="AK67" s="72" t="n">
        <f aca="false">AK62-AK65-AK66</f>
        <v>3362.79409842224</v>
      </c>
      <c r="AL67" s="72" t="n">
        <f aca="false">AL62-AL65-AL66</f>
        <v>3362.79409842224</v>
      </c>
      <c r="AM67" s="72" t="n">
        <f aca="false">AM62-AM65-AM66</f>
        <v>3362.79409842224</v>
      </c>
      <c r="AN67" s="72" t="n">
        <f aca="false">AN62-AN65-AN66</f>
        <v>3362.79409842224</v>
      </c>
      <c r="AO67" s="69" t="n">
        <f aca="false">SUM(AP67:BA67)</f>
        <v>51517.1460856499</v>
      </c>
      <c r="AP67" s="72" t="n">
        <f aca="false">AP62-AP65-AP66</f>
        <v>4293.09550713749</v>
      </c>
      <c r="AQ67" s="72" t="n">
        <f aca="false">AQ62-AQ65-AQ66</f>
        <v>4293.09550713749</v>
      </c>
      <c r="AR67" s="72" t="n">
        <f aca="false">AR62-AR65-AR66</f>
        <v>4293.09550713749</v>
      </c>
      <c r="AS67" s="72" t="n">
        <f aca="false">AS62-AS65-AS66</f>
        <v>4293.09550713749</v>
      </c>
      <c r="AT67" s="72" t="n">
        <f aca="false">AT62-AT65-AT66</f>
        <v>4293.09550713749</v>
      </c>
      <c r="AU67" s="72" t="n">
        <f aca="false">AU62-AU65-AU66</f>
        <v>4293.09550713749</v>
      </c>
      <c r="AV67" s="72" t="n">
        <f aca="false">AV62-AV65-AV66</f>
        <v>4293.09550713749</v>
      </c>
      <c r="AW67" s="72" t="n">
        <f aca="false">AW62-AW65-AW66</f>
        <v>4293.09550713749</v>
      </c>
      <c r="AX67" s="72" t="n">
        <f aca="false">AX62-AX65-AX66</f>
        <v>4293.09550713749</v>
      </c>
      <c r="AY67" s="72" t="n">
        <f aca="false">AY62-AY65-AY66</f>
        <v>4293.09550713749</v>
      </c>
      <c r="AZ67" s="72" t="n">
        <f aca="false">AZ62-AZ65-AZ66</f>
        <v>4293.09550713749</v>
      </c>
      <c r="BA67" s="72" t="n">
        <f aca="false">BA62-BA65-BA66</f>
        <v>4293.09550713749</v>
      </c>
      <c r="BB67" s="69" t="n">
        <f aca="false">SUM(BC67:BN67)</f>
        <v>61215.6891839231</v>
      </c>
      <c r="BC67" s="72" t="n">
        <f aca="false">BC62-BC65-BC66</f>
        <v>5101.30743199359</v>
      </c>
      <c r="BD67" s="72" t="n">
        <f aca="false">BD62-BD65-BD66</f>
        <v>5101.30743199359</v>
      </c>
      <c r="BE67" s="72" t="n">
        <f aca="false">BE62-BE65-BE66</f>
        <v>5101.30743199359</v>
      </c>
      <c r="BF67" s="72" t="n">
        <f aca="false">BF62-BF65-BF66</f>
        <v>5101.30743199359</v>
      </c>
      <c r="BG67" s="72" t="n">
        <f aca="false">BG62-BG65-BG66</f>
        <v>5101.30743199359</v>
      </c>
      <c r="BH67" s="72" t="n">
        <f aca="false">BH62-BH65-BH66</f>
        <v>5101.30743199359</v>
      </c>
      <c r="BI67" s="72" t="n">
        <f aca="false">BI62-BI65-BI66</f>
        <v>5101.30743199359</v>
      </c>
      <c r="BJ67" s="72" t="n">
        <f aca="false">BJ62-BJ65-BJ66</f>
        <v>5101.30743199359</v>
      </c>
      <c r="BK67" s="72" t="n">
        <f aca="false">BK62-BK65-BK66</f>
        <v>5101.30743199359</v>
      </c>
      <c r="BL67" s="72" t="n">
        <f aca="false">BL62-BL65-BL66</f>
        <v>5101.30743199359</v>
      </c>
      <c r="BM67" s="72" t="n">
        <f aca="false">BM62-BM65-BM66</f>
        <v>5101.30743199359</v>
      </c>
      <c r="BN67" s="72" t="n">
        <f aca="false">BN62-BN65-BN66</f>
        <v>5101.30743199359</v>
      </c>
    </row>
    <row r="68" customFormat="false" ht="15" hidden="false" customHeight="false" outlineLevel="0" collapsed="false">
      <c r="A68" s="4" t="s">
        <v>683</v>
      </c>
      <c r="B68" s="69" t="n">
        <f aca="false">SUM(C68:N68)</f>
        <v>4753.85491690909</v>
      </c>
      <c r="C68" s="72" t="n">
        <f aca="false">C67*'Assumption Setting'!$C$38</f>
        <v>396.154576409091</v>
      </c>
      <c r="D68" s="72" t="n">
        <f aca="false">D67*'Assumption Setting'!$C$38</f>
        <v>396.154576409091</v>
      </c>
      <c r="E68" s="72" t="n">
        <f aca="false">E67*'Assumption Setting'!$C$38</f>
        <v>396.154576409091</v>
      </c>
      <c r="F68" s="72" t="n">
        <f aca="false">F67*'Assumption Setting'!$C$38</f>
        <v>396.154576409091</v>
      </c>
      <c r="G68" s="72" t="n">
        <f aca="false">G67*'Assumption Setting'!$C$38</f>
        <v>396.154576409091</v>
      </c>
      <c r="H68" s="72" t="n">
        <f aca="false">H67*'Assumption Setting'!$C$38</f>
        <v>396.154576409091</v>
      </c>
      <c r="I68" s="72" t="n">
        <f aca="false">I67*'Assumption Setting'!$C$38</f>
        <v>396.154576409091</v>
      </c>
      <c r="J68" s="72" t="n">
        <f aca="false">J67*'Assumption Setting'!$C$38</f>
        <v>396.154576409091</v>
      </c>
      <c r="K68" s="72" t="n">
        <f aca="false">K67*'Assumption Setting'!$C$38</f>
        <v>396.154576409091</v>
      </c>
      <c r="L68" s="72" t="n">
        <f aca="false">L67*'Assumption Setting'!$C$38</f>
        <v>396.154576409091</v>
      </c>
      <c r="M68" s="72" t="n">
        <f aca="false">M67*'Assumption Setting'!$C$38</f>
        <v>396.154576409091</v>
      </c>
      <c r="N68" s="72" t="n">
        <f aca="false">N67*'Assumption Setting'!$C$38</f>
        <v>396.154576409091</v>
      </c>
      <c r="O68" s="69" t="n">
        <f aca="false">SUM(P68:AA68)</f>
        <v>10366.4826446281</v>
      </c>
      <c r="P68" s="72" t="n">
        <f aca="false">P67*'Assumption Setting'!$D$38</f>
        <v>863.873553719008</v>
      </c>
      <c r="Q68" s="72" t="n">
        <f aca="false">Q67*'Assumption Setting'!$D$38</f>
        <v>863.873553719008</v>
      </c>
      <c r="R68" s="72" t="n">
        <f aca="false">R67*'Assumption Setting'!$D$38</f>
        <v>863.873553719008</v>
      </c>
      <c r="S68" s="72" t="n">
        <f aca="false">S67*'Assumption Setting'!$D$38</f>
        <v>863.873553719008</v>
      </c>
      <c r="T68" s="72" t="n">
        <f aca="false">T67*'Assumption Setting'!$D$38</f>
        <v>863.873553719008</v>
      </c>
      <c r="U68" s="72" t="n">
        <f aca="false">U67*'Assumption Setting'!$D$38</f>
        <v>863.873553719008</v>
      </c>
      <c r="V68" s="72" t="n">
        <f aca="false">V67*'Assumption Setting'!$D$38</f>
        <v>863.873553719008</v>
      </c>
      <c r="W68" s="72" t="n">
        <f aca="false">W67*'Assumption Setting'!$D$38</f>
        <v>863.873553719008</v>
      </c>
      <c r="X68" s="72" t="n">
        <f aca="false">X67*'Assumption Setting'!$D$38</f>
        <v>863.873553719008</v>
      </c>
      <c r="Y68" s="72" t="n">
        <f aca="false">Y67*'Assumption Setting'!$D$38</f>
        <v>863.873553719008</v>
      </c>
      <c r="Z68" s="72" t="n">
        <f aca="false">Z67*'Assumption Setting'!$D$38</f>
        <v>863.873553719008</v>
      </c>
      <c r="AA68" s="72" t="n">
        <f aca="false">AA67*'Assumption Setting'!$D$38</f>
        <v>863.873553719008</v>
      </c>
      <c r="AB68" s="69" t="n">
        <f aca="false">SUM(AC68:AN68)</f>
        <v>16948.4822560481</v>
      </c>
      <c r="AC68" s="72" t="n">
        <f aca="false">AC67*'Assumption Setting'!$E$38</f>
        <v>1412.37352133734</v>
      </c>
      <c r="AD68" s="72" t="n">
        <f aca="false">AD67*'Assumption Setting'!$E$38</f>
        <v>1412.37352133734</v>
      </c>
      <c r="AE68" s="72" t="n">
        <f aca="false">AE67*'Assumption Setting'!$E$38</f>
        <v>1412.37352133734</v>
      </c>
      <c r="AF68" s="72" t="n">
        <f aca="false">AF67*'Assumption Setting'!$E$38</f>
        <v>1412.37352133734</v>
      </c>
      <c r="AG68" s="72" t="n">
        <f aca="false">AG67*'Assumption Setting'!$E$38</f>
        <v>1412.37352133734</v>
      </c>
      <c r="AH68" s="72" t="n">
        <f aca="false">AH67*'Assumption Setting'!$E$38</f>
        <v>1412.37352133734</v>
      </c>
      <c r="AI68" s="72" t="n">
        <f aca="false">AI67*'Assumption Setting'!$E$38</f>
        <v>1412.37352133734</v>
      </c>
      <c r="AJ68" s="72" t="n">
        <f aca="false">AJ67*'Assumption Setting'!$E$38</f>
        <v>1412.37352133734</v>
      </c>
      <c r="AK68" s="72" t="n">
        <f aca="false">AK67*'Assumption Setting'!$E$38</f>
        <v>1412.37352133734</v>
      </c>
      <c r="AL68" s="72" t="n">
        <f aca="false">AL67*'Assumption Setting'!$E$38</f>
        <v>1412.37352133734</v>
      </c>
      <c r="AM68" s="72" t="n">
        <f aca="false">AM67*'Assumption Setting'!$E$38</f>
        <v>1412.37352133734</v>
      </c>
      <c r="AN68" s="72" t="n">
        <f aca="false">AN67*'Assumption Setting'!$E$38</f>
        <v>1412.37352133734</v>
      </c>
      <c r="AO68" s="69" t="n">
        <f aca="false">SUM(AP68:BA68)</f>
        <v>22152.3728168295</v>
      </c>
      <c r="AP68" s="72" t="n">
        <f aca="false">AP67*'Assumption Setting'!$F$38</f>
        <v>1846.03106806912</v>
      </c>
      <c r="AQ68" s="72" t="n">
        <f aca="false">AQ67*'Assumption Setting'!$F$38</f>
        <v>1846.03106806912</v>
      </c>
      <c r="AR68" s="72" t="n">
        <f aca="false">AR67*'Assumption Setting'!$F$38</f>
        <v>1846.03106806912</v>
      </c>
      <c r="AS68" s="72" t="n">
        <f aca="false">AS67*'Assumption Setting'!$F$38</f>
        <v>1846.03106806912</v>
      </c>
      <c r="AT68" s="72" t="n">
        <f aca="false">AT67*'Assumption Setting'!$F$38</f>
        <v>1846.03106806912</v>
      </c>
      <c r="AU68" s="72" t="n">
        <f aca="false">AU67*'Assumption Setting'!$F$38</f>
        <v>1846.03106806912</v>
      </c>
      <c r="AV68" s="72" t="n">
        <f aca="false">AV67*'Assumption Setting'!$F$38</f>
        <v>1846.03106806912</v>
      </c>
      <c r="AW68" s="72" t="n">
        <f aca="false">AW67*'Assumption Setting'!$F$38</f>
        <v>1846.03106806912</v>
      </c>
      <c r="AX68" s="72" t="n">
        <f aca="false">AX67*'Assumption Setting'!$F$38</f>
        <v>1846.03106806912</v>
      </c>
      <c r="AY68" s="72" t="n">
        <f aca="false">AY67*'Assumption Setting'!$F$38</f>
        <v>1846.03106806912</v>
      </c>
      <c r="AZ68" s="72" t="n">
        <f aca="false">AZ67*'Assumption Setting'!$F$38</f>
        <v>1846.03106806912</v>
      </c>
      <c r="BA68" s="72" t="n">
        <f aca="false">BA67*'Assumption Setting'!$F$38</f>
        <v>1846.03106806912</v>
      </c>
      <c r="BB68" s="69" t="n">
        <f aca="false">SUM(BC68:BN68)</f>
        <v>26934.9032409262</v>
      </c>
      <c r="BC68" s="72" t="n">
        <f aca="false">BC67*'Assumption Setting'!$G$38</f>
        <v>2244.57527007718</v>
      </c>
      <c r="BD68" s="72" t="n">
        <f aca="false">BD67*'Assumption Setting'!$G$38</f>
        <v>2244.57527007718</v>
      </c>
      <c r="BE68" s="72" t="n">
        <f aca="false">BE67*'Assumption Setting'!$G$38</f>
        <v>2244.57527007718</v>
      </c>
      <c r="BF68" s="72" t="n">
        <f aca="false">BF67*'Assumption Setting'!$G$38</f>
        <v>2244.57527007718</v>
      </c>
      <c r="BG68" s="72" t="n">
        <f aca="false">BG67*'Assumption Setting'!$G$38</f>
        <v>2244.57527007718</v>
      </c>
      <c r="BH68" s="72" t="n">
        <f aca="false">BH67*'Assumption Setting'!$G$38</f>
        <v>2244.57527007718</v>
      </c>
      <c r="BI68" s="72" t="n">
        <f aca="false">BI67*'Assumption Setting'!$G$38</f>
        <v>2244.57527007718</v>
      </c>
      <c r="BJ68" s="72" t="n">
        <f aca="false">BJ67*'Assumption Setting'!$G$38</f>
        <v>2244.57527007718</v>
      </c>
      <c r="BK68" s="72" t="n">
        <f aca="false">BK67*'Assumption Setting'!$G$38</f>
        <v>2244.57527007718</v>
      </c>
      <c r="BL68" s="72" t="n">
        <f aca="false">BL67*'Assumption Setting'!$G$38</f>
        <v>2244.57527007718</v>
      </c>
      <c r="BM68" s="72" t="n">
        <f aca="false">BM67*'Assumption Setting'!$G$38</f>
        <v>2244.57527007718</v>
      </c>
      <c r="BN68" s="72" t="n">
        <f aca="false">BN67*'Assumption Setting'!$G$38</f>
        <v>2244.57527007718</v>
      </c>
    </row>
    <row r="69" customFormat="false" ht="15" hidden="false" customHeight="false" outlineLevel="0" collapsed="false">
      <c r="A69" s="4" t="s">
        <v>684</v>
      </c>
      <c r="B69" s="65" t="n">
        <f aca="false">SUM(C69:N69)</f>
        <v>193.007147666667</v>
      </c>
      <c r="C69" s="68" t="n">
        <v>0</v>
      </c>
      <c r="D69" s="68" t="n">
        <f aca="false">C65*'Assumption Setting'!$C$42</f>
        <v>17.5461043333333</v>
      </c>
      <c r="E69" s="68" t="n">
        <f aca="false">D65*'Assumption Setting'!$C$42</f>
        <v>17.5461043333333</v>
      </c>
      <c r="F69" s="68" t="n">
        <f aca="false">E65*'Assumption Setting'!$C$42</f>
        <v>17.5461043333333</v>
      </c>
      <c r="G69" s="68" t="n">
        <f aca="false">F65*'Assumption Setting'!$C$42</f>
        <v>17.5461043333333</v>
      </c>
      <c r="H69" s="68" t="n">
        <f aca="false">G65*'Assumption Setting'!$C$42</f>
        <v>17.5461043333333</v>
      </c>
      <c r="I69" s="68" t="n">
        <f aca="false">H65*'Assumption Setting'!$C$42</f>
        <v>17.5461043333333</v>
      </c>
      <c r="J69" s="68" t="n">
        <f aca="false">I65*'Assumption Setting'!$C$42</f>
        <v>17.5461043333333</v>
      </c>
      <c r="K69" s="68" t="n">
        <f aca="false">J65*'Assumption Setting'!$C$42</f>
        <v>17.5461043333333</v>
      </c>
      <c r="L69" s="68" t="n">
        <f aca="false">K65*'Assumption Setting'!$C$42</f>
        <v>17.5461043333333</v>
      </c>
      <c r="M69" s="68" t="n">
        <f aca="false">L65*'Assumption Setting'!$C$42</f>
        <v>17.5461043333333</v>
      </c>
      <c r="N69" s="68" t="n">
        <f aca="false">M65*'Assumption Setting'!$C$42</f>
        <v>17.5461043333333</v>
      </c>
      <c r="O69" s="65" t="n">
        <f aca="false">SUM(P69:AA69)</f>
        <v>525.947022909091</v>
      </c>
      <c r="P69" s="68" t="n">
        <f aca="false">N65*'Assumption Setting'!$D$42</f>
        <v>19.1412047272727</v>
      </c>
      <c r="Q69" s="68" t="n">
        <f aca="false">P65*'Assumption Setting'!$D$42</f>
        <v>46.0732561983471</v>
      </c>
      <c r="R69" s="68" t="n">
        <f aca="false">Q65*'Assumption Setting'!$D$42</f>
        <v>46.0732561983471</v>
      </c>
      <c r="S69" s="68" t="n">
        <f aca="false">R65*'Assumption Setting'!$D$42</f>
        <v>46.0732561983471</v>
      </c>
      <c r="T69" s="68" t="n">
        <f aca="false">S65*'Assumption Setting'!$D$42</f>
        <v>46.0732561983471</v>
      </c>
      <c r="U69" s="68" t="n">
        <f aca="false">T65*'Assumption Setting'!$D$42</f>
        <v>46.0732561983471</v>
      </c>
      <c r="V69" s="68" t="n">
        <f aca="false">U65*'Assumption Setting'!$D$42</f>
        <v>46.0732561983471</v>
      </c>
      <c r="W69" s="68" t="n">
        <f aca="false">V65*'Assumption Setting'!$D$42</f>
        <v>46.0732561983471</v>
      </c>
      <c r="X69" s="68" t="n">
        <f aca="false">W65*'Assumption Setting'!$D$42</f>
        <v>46.0732561983471</v>
      </c>
      <c r="Y69" s="68" t="n">
        <f aca="false">X65*'Assumption Setting'!$D$42</f>
        <v>46.0732561983471</v>
      </c>
      <c r="Z69" s="68" t="n">
        <f aca="false">Y65*'Assumption Setting'!$D$42</f>
        <v>46.0732561983471</v>
      </c>
      <c r="AA69" s="68" t="n">
        <f aca="false">Z65*'Assumption Setting'!$D$42</f>
        <v>46.0732561983471</v>
      </c>
      <c r="AB69" s="65" t="n">
        <f aca="false">SUM(AC69:AN69)</f>
        <v>1027.97280826446</v>
      </c>
      <c r="AC69" s="68" t="n">
        <f aca="false">AA65*'Assumption Setting'!$E$42</f>
        <v>49.912694214876</v>
      </c>
      <c r="AD69" s="68" t="n">
        <f aca="false">AC65*'Assumption Setting'!$E$42</f>
        <v>88.9145558226897</v>
      </c>
      <c r="AE69" s="68" t="n">
        <f aca="false">AD65*'Assumption Setting'!$E$42</f>
        <v>88.9145558226897</v>
      </c>
      <c r="AF69" s="68" t="n">
        <f aca="false">AE65*'Assumption Setting'!$E$42</f>
        <v>88.9145558226897</v>
      </c>
      <c r="AG69" s="68" t="n">
        <f aca="false">AF65*'Assumption Setting'!$E$42</f>
        <v>88.9145558226897</v>
      </c>
      <c r="AH69" s="68" t="n">
        <f aca="false">AG65*'Assumption Setting'!$E$42</f>
        <v>88.9145558226897</v>
      </c>
      <c r="AI69" s="68" t="n">
        <f aca="false">AH65*'Assumption Setting'!$E$42</f>
        <v>88.9145558226897</v>
      </c>
      <c r="AJ69" s="68" t="n">
        <f aca="false">AI65*'Assumption Setting'!$E$42</f>
        <v>88.9145558226897</v>
      </c>
      <c r="AK69" s="68" t="n">
        <f aca="false">AJ65*'Assumption Setting'!$E$42</f>
        <v>88.9145558226897</v>
      </c>
      <c r="AL69" s="68" t="n">
        <f aca="false">AK65*'Assumption Setting'!$E$42</f>
        <v>88.9145558226897</v>
      </c>
      <c r="AM69" s="68" t="n">
        <f aca="false">AL65*'Assumption Setting'!$E$42</f>
        <v>88.9145558226897</v>
      </c>
      <c r="AN69" s="68" t="n">
        <f aca="false">AM65*'Assumption Setting'!$E$42</f>
        <v>88.9145558226897</v>
      </c>
      <c r="AO69" s="65" t="n">
        <f aca="false">SUM(AP69:BA69)</f>
        <v>1557.90832990233</v>
      </c>
      <c r="AP69" s="68" t="n">
        <f aca="false">AN65*'Assumption Setting'!$F$42</f>
        <v>92.3343464312547</v>
      </c>
      <c r="AQ69" s="68" t="n">
        <f aca="false">AP65*'Assumption Setting'!$F$42</f>
        <v>133.23399849737</v>
      </c>
      <c r="AR69" s="68" t="n">
        <f aca="false">AQ65*'Assumption Setting'!$F$42</f>
        <v>133.23399849737</v>
      </c>
      <c r="AS69" s="68" t="n">
        <f aca="false">AR65*'Assumption Setting'!$F$42</f>
        <v>133.23399849737</v>
      </c>
      <c r="AT69" s="68" t="n">
        <f aca="false">AS65*'Assumption Setting'!$F$42</f>
        <v>133.23399849737</v>
      </c>
      <c r="AU69" s="68" t="n">
        <f aca="false">AT65*'Assumption Setting'!$F$42</f>
        <v>133.23399849737</v>
      </c>
      <c r="AV69" s="68" t="n">
        <f aca="false">AU65*'Assumption Setting'!$F$42</f>
        <v>133.23399849737</v>
      </c>
      <c r="AW69" s="68" t="n">
        <f aca="false">AV65*'Assumption Setting'!$F$42</f>
        <v>133.23399849737</v>
      </c>
      <c r="AX69" s="68" t="n">
        <f aca="false">AW65*'Assumption Setting'!$F$42</f>
        <v>133.23399849737</v>
      </c>
      <c r="AY69" s="68" t="n">
        <f aca="false">AX65*'Assumption Setting'!$F$42</f>
        <v>133.23399849737</v>
      </c>
      <c r="AZ69" s="68" t="n">
        <f aca="false">AY65*'Assumption Setting'!$F$42</f>
        <v>133.23399849737</v>
      </c>
      <c r="BA69" s="68" t="n">
        <f aca="false">AZ65*'Assumption Setting'!$F$42</f>
        <v>133.23399849737</v>
      </c>
      <c r="BB69" s="65" t="n">
        <f aca="false">SUM(BC69:BN69)</f>
        <v>1944.14869339526</v>
      </c>
      <c r="BC69" s="68" t="n">
        <f aca="false">BA65*'Assumption Setting'!$G$42</f>
        <v>138.16859103431</v>
      </c>
      <c r="BD69" s="68" t="n">
        <f aca="false">BC65*'Assumption Setting'!$G$42</f>
        <v>164.180009305541</v>
      </c>
      <c r="BE69" s="68" t="n">
        <f aca="false">BD65*'Assumption Setting'!$G$42</f>
        <v>164.180009305541</v>
      </c>
      <c r="BF69" s="68" t="n">
        <f aca="false">BE65*'Assumption Setting'!$G$42</f>
        <v>164.180009305541</v>
      </c>
      <c r="BG69" s="68" t="n">
        <f aca="false">BF65*'Assumption Setting'!$G$42</f>
        <v>164.180009305541</v>
      </c>
      <c r="BH69" s="68" t="n">
        <f aca="false">BG65*'Assumption Setting'!$G$42</f>
        <v>164.180009305541</v>
      </c>
      <c r="BI69" s="68" t="n">
        <f aca="false">BH65*'Assumption Setting'!$G$42</f>
        <v>164.180009305541</v>
      </c>
      <c r="BJ69" s="68" t="n">
        <f aca="false">BI65*'Assumption Setting'!$G$42</f>
        <v>164.180009305541</v>
      </c>
      <c r="BK69" s="68" t="n">
        <f aca="false">BJ65*'Assumption Setting'!$G$42</f>
        <v>164.180009305541</v>
      </c>
      <c r="BL69" s="68" t="n">
        <f aca="false">BK65*'Assumption Setting'!$G$42</f>
        <v>164.180009305541</v>
      </c>
      <c r="BM69" s="68" t="n">
        <f aca="false">BL65*'Assumption Setting'!$G$42</f>
        <v>164.180009305541</v>
      </c>
      <c r="BN69" s="68" t="n">
        <f aca="false">BM65*'Assumption Setting'!$G$42</f>
        <v>164.180009305541</v>
      </c>
    </row>
    <row r="70" customFormat="false" ht="15" hidden="false" customHeight="false" outlineLevel="0" collapsed="false">
      <c r="A70" s="4" t="s">
        <v>685</v>
      </c>
      <c r="B70" s="65" t="n">
        <f aca="false">SUM(C70:N70)</f>
        <v>52.638313</v>
      </c>
      <c r="C70" s="68" t="n">
        <v>0</v>
      </c>
      <c r="D70" s="68" t="n">
        <f aca="false">C66*'Assumption Setting'!$C$43</f>
        <v>4.78530118181818</v>
      </c>
      <c r="E70" s="68" t="n">
        <f aca="false">D66*'Assumption Setting'!$C$43</f>
        <v>4.78530118181818</v>
      </c>
      <c r="F70" s="68" t="n">
        <f aca="false">E66*'Assumption Setting'!$C$43</f>
        <v>4.78530118181818</v>
      </c>
      <c r="G70" s="68" t="n">
        <f aca="false">F66*'Assumption Setting'!$C$43</f>
        <v>4.78530118181818</v>
      </c>
      <c r="H70" s="68" t="n">
        <f aca="false">G66*'Assumption Setting'!$C$43</f>
        <v>4.78530118181818</v>
      </c>
      <c r="I70" s="68" t="n">
        <f aca="false">H66*'Assumption Setting'!$C$43</f>
        <v>4.78530118181818</v>
      </c>
      <c r="J70" s="68" t="n">
        <f aca="false">I66*'Assumption Setting'!$C$43</f>
        <v>4.78530118181818</v>
      </c>
      <c r="K70" s="68" t="n">
        <f aca="false">J66*'Assumption Setting'!$C$43</f>
        <v>4.78530118181818</v>
      </c>
      <c r="L70" s="68" t="n">
        <f aca="false">K66*'Assumption Setting'!$C$43</f>
        <v>4.78530118181818</v>
      </c>
      <c r="M70" s="68" t="n">
        <f aca="false">L66*'Assumption Setting'!$C$43</f>
        <v>4.78530118181818</v>
      </c>
      <c r="N70" s="68" t="n">
        <f aca="false">M66*'Assumption Setting'!$C$43</f>
        <v>4.78530118181818</v>
      </c>
      <c r="O70" s="65" t="n">
        <f aca="false">SUM(P70:AA70)</f>
        <v>163.503926590909</v>
      </c>
      <c r="P70" s="68" t="n">
        <f aca="false">N66*'Assumption Setting'!$D$43</f>
        <v>5.12710840909091</v>
      </c>
      <c r="Q70" s="68" t="n">
        <f aca="false">P66*'Assumption Setting'!$D$43</f>
        <v>14.3978925619835</v>
      </c>
      <c r="R70" s="68" t="n">
        <f aca="false">Q66*'Assumption Setting'!$D$43</f>
        <v>14.3978925619835</v>
      </c>
      <c r="S70" s="68" t="n">
        <f aca="false">R66*'Assumption Setting'!$D$43</f>
        <v>14.3978925619835</v>
      </c>
      <c r="T70" s="68" t="n">
        <f aca="false">S66*'Assumption Setting'!$D$43</f>
        <v>14.3978925619835</v>
      </c>
      <c r="U70" s="68" t="n">
        <f aca="false">T66*'Assumption Setting'!$D$43</f>
        <v>14.3978925619835</v>
      </c>
      <c r="V70" s="68" t="n">
        <f aca="false">U66*'Assumption Setting'!$D$43</f>
        <v>14.3978925619835</v>
      </c>
      <c r="W70" s="68" t="n">
        <f aca="false">V66*'Assumption Setting'!$D$43</f>
        <v>14.3978925619835</v>
      </c>
      <c r="X70" s="68" t="n">
        <f aca="false">W66*'Assumption Setting'!$D$43</f>
        <v>14.3978925619835</v>
      </c>
      <c r="Y70" s="68" t="n">
        <f aca="false">X66*'Assumption Setting'!$D$43</f>
        <v>14.3978925619835</v>
      </c>
      <c r="Z70" s="68" t="n">
        <f aca="false">Y66*'Assumption Setting'!$D$43</f>
        <v>14.3978925619835</v>
      </c>
      <c r="AA70" s="68" t="n">
        <f aca="false">Z66*'Assumption Setting'!$D$43</f>
        <v>14.3978925619835</v>
      </c>
      <c r="AB70" s="65" t="n">
        <f aca="false">SUM(AC70:AN70)</f>
        <v>349.737278236915</v>
      </c>
      <c r="AC70" s="68" t="n">
        <f aca="false">AA66*'Assumption Setting'!$E$43</f>
        <v>15.3577520661157</v>
      </c>
      <c r="AD70" s="68" t="n">
        <f aca="false">AC66*'Assumption Setting'!$E$43</f>
        <v>30.3981387427999</v>
      </c>
      <c r="AE70" s="68" t="n">
        <f aca="false">AD66*'Assumption Setting'!$E$43</f>
        <v>30.3981387427999</v>
      </c>
      <c r="AF70" s="68" t="n">
        <f aca="false">AE66*'Assumption Setting'!$E$43</f>
        <v>30.3981387427999</v>
      </c>
      <c r="AG70" s="68" t="n">
        <f aca="false">AF66*'Assumption Setting'!$E$43</f>
        <v>30.3981387427999</v>
      </c>
      <c r="AH70" s="68" t="n">
        <f aca="false">AG66*'Assumption Setting'!$E$43</f>
        <v>30.3981387427999</v>
      </c>
      <c r="AI70" s="68" t="n">
        <f aca="false">AH66*'Assumption Setting'!$E$43</f>
        <v>30.3981387427999</v>
      </c>
      <c r="AJ70" s="68" t="n">
        <f aca="false">AI66*'Assumption Setting'!$E$43</f>
        <v>30.3981387427999</v>
      </c>
      <c r="AK70" s="68" t="n">
        <f aca="false">AJ66*'Assumption Setting'!$E$43</f>
        <v>30.3981387427999</v>
      </c>
      <c r="AL70" s="68" t="n">
        <f aca="false">AK66*'Assumption Setting'!$E$43</f>
        <v>30.3981387427999</v>
      </c>
      <c r="AM70" s="68" t="n">
        <f aca="false">AL66*'Assumption Setting'!$E$43</f>
        <v>30.3981387427999</v>
      </c>
      <c r="AN70" s="68" t="n">
        <f aca="false">AM66*'Assumption Setting'!$E$43</f>
        <v>30.3981387427999</v>
      </c>
      <c r="AO70" s="65" t="n">
        <f aca="false">SUM(AP70:BA70)</f>
        <v>568.72520785124</v>
      </c>
      <c r="AP70" s="68" t="n">
        <f aca="false">AN66*'Assumption Setting'!$F$43</f>
        <v>31.3480805785124</v>
      </c>
      <c r="AQ70" s="68" t="n">
        <f aca="false">AP66*'Assumption Setting'!$F$43</f>
        <v>48.8524661157025</v>
      </c>
      <c r="AR70" s="68" t="n">
        <f aca="false">AQ66*'Assumption Setting'!$F$43</f>
        <v>48.8524661157025</v>
      </c>
      <c r="AS70" s="68" t="n">
        <f aca="false">AR66*'Assumption Setting'!$F$43</f>
        <v>48.8524661157025</v>
      </c>
      <c r="AT70" s="68" t="n">
        <f aca="false">AS66*'Assumption Setting'!$F$43</f>
        <v>48.8524661157025</v>
      </c>
      <c r="AU70" s="68" t="n">
        <f aca="false">AT66*'Assumption Setting'!$F$43</f>
        <v>48.8524661157025</v>
      </c>
      <c r="AV70" s="68" t="n">
        <f aca="false">AU66*'Assumption Setting'!$F$43</f>
        <v>48.8524661157025</v>
      </c>
      <c r="AW70" s="68" t="n">
        <f aca="false">AV66*'Assumption Setting'!$F$43</f>
        <v>48.8524661157025</v>
      </c>
      <c r="AX70" s="68" t="n">
        <f aca="false">AW66*'Assumption Setting'!$F$43</f>
        <v>48.8524661157025</v>
      </c>
      <c r="AY70" s="68" t="n">
        <f aca="false">AX66*'Assumption Setting'!$F$43</f>
        <v>48.8524661157025</v>
      </c>
      <c r="AZ70" s="68" t="n">
        <f aca="false">AY66*'Assumption Setting'!$F$43</f>
        <v>48.8524661157025</v>
      </c>
      <c r="BA70" s="68" t="n">
        <f aca="false">AZ66*'Assumption Setting'!$F$43</f>
        <v>48.8524661157025</v>
      </c>
      <c r="BB70" s="65" t="n">
        <f aca="false">SUM(BC70:BN70)</f>
        <v>708.22559545113</v>
      </c>
      <c r="BC70" s="68" t="n">
        <f aca="false">BA66*'Assumption Setting'!$G$43</f>
        <v>50.3328438767844</v>
      </c>
      <c r="BD70" s="68" t="n">
        <f aca="false">BC66*'Assumption Setting'!$G$43</f>
        <v>59.8084319613042</v>
      </c>
      <c r="BE70" s="68" t="n">
        <f aca="false">BD66*'Assumption Setting'!$G$43</f>
        <v>59.8084319613042</v>
      </c>
      <c r="BF70" s="68" t="n">
        <f aca="false">BE66*'Assumption Setting'!$G$43</f>
        <v>59.8084319613042</v>
      </c>
      <c r="BG70" s="68" t="n">
        <f aca="false">BF66*'Assumption Setting'!$G$43</f>
        <v>59.8084319613042</v>
      </c>
      <c r="BH70" s="68" t="n">
        <f aca="false">BG66*'Assumption Setting'!$G$43</f>
        <v>59.8084319613042</v>
      </c>
      <c r="BI70" s="68" t="n">
        <f aca="false">BH66*'Assumption Setting'!$G$43</f>
        <v>59.8084319613042</v>
      </c>
      <c r="BJ70" s="68" t="n">
        <f aca="false">BI66*'Assumption Setting'!$G$43</f>
        <v>59.8084319613042</v>
      </c>
      <c r="BK70" s="68" t="n">
        <f aca="false">BJ66*'Assumption Setting'!$G$43</f>
        <v>59.8084319613042</v>
      </c>
      <c r="BL70" s="68" t="n">
        <f aca="false">BK66*'Assumption Setting'!$G$43</f>
        <v>59.8084319613042</v>
      </c>
      <c r="BM70" s="68" t="n">
        <f aca="false">BL66*'Assumption Setting'!$G$43</f>
        <v>59.8084319613042</v>
      </c>
      <c r="BN70" s="68" t="n">
        <f aca="false">BM66*'Assumption Setting'!$G$43</f>
        <v>59.8084319613042</v>
      </c>
    </row>
    <row r="71" customFormat="false" ht="15" hidden="false" customHeight="false" outlineLevel="0" collapsed="false">
      <c r="A71" s="4" t="s">
        <v>686</v>
      </c>
      <c r="B71" s="65" t="n">
        <f aca="false">SUM(C71:N71)</f>
        <v>409.8268655</v>
      </c>
      <c r="C71" s="68" t="n">
        <v>0</v>
      </c>
      <c r="D71" s="68" t="n">
        <f aca="false">(C65*(1-'Assumption Setting'!$C$42)+C66*(1-'Assumption Setting'!$C$43))*'Assumption Setting'!$C$44</f>
        <v>37.2569877727273</v>
      </c>
      <c r="E71" s="68" t="n">
        <f aca="false">(D65*(1-'Assumption Setting'!$C$42)+D66*(1-'Assumption Setting'!$C$43))*'Assumption Setting'!$C$44</f>
        <v>37.2569877727273</v>
      </c>
      <c r="F71" s="68" t="n">
        <f aca="false">(E65*(1-'Assumption Setting'!$C$42)+E66*(1-'Assumption Setting'!$C$43))*'Assumption Setting'!$C$44</f>
        <v>37.2569877727273</v>
      </c>
      <c r="G71" s="68" t="n">
        <f aca="false">(F65*(1-'Assumption Setting'!$C$42)+F66*(1-'Assumption Setting'!$C$43))*'Assumption Setting'!$C$44</f>
        <v>37.2569877727273</v>
      </c>
      <c r="H71" s="68" t="n">
        <f aca="false">(G65*(1-'Assumption Setting'!$C$42)+G66*(1-'Assumption Setting'!$C$43))*'Assumption Setting'!$C$44</f>
        <v>37.2569877727273</v>
      </c>
      <c r="I71" s="68" t="n">
        <f aca="false">(H65*(1-'Assumption Setting'!$C$42)+H66*(1-'Assumption Setting'!$C$43))*'Assumption Setting'!$C$44</f>
        <v>37.2569877727273</v>
      </c>
      <c r="J71" s="68" t="n">
        <f aca="false">(I65*(1-'Assumption Setting'!$C$42)+I66*(1-'Assumption Setting'!$C$43))*'Assumption Setting'!$C$44</f>
        <v>37.2569877727273</v>
      </c>
      <c r="K71" s="68" t="n">
        <f aca="false">(J65*(1-'Assumption Setting'!$C$42)+J66*(1-'Assumption Setting'!$C$43))*'Assumption Setting'!$C$44</f>
        <v>37.2569877727273</v>
      </c>
      <c r="L71" s="68" t="n">
        <f aca="false">(K65*(1-'Assumption Setting'!$C$42)+K66*(1-'Assumption Setting'!$C$43))*'Assumption Setting'!$C$44</f>
        <v>37.2569877727273</v>
      </c>
      <c r="M71" s="68" t="n">
        <f aca="false">(L65*(1-'Assumption Setting'!$C$42)+L66*(1-'Assumption Setting'!$C$43))*'Assumption Setting'!$C$44</f>
        <v>37.2569877727273</v>
      </c>
      <c r="N71" s="68" t="n">
        <f aca="false">(M65*(1-'Assumption Setting'!$C$42)+M66*(1-'Assumption Setting'!$C$43))*'Assumption Setting'!$C$44</f>
        <v>37.2569877727273</v>
      </c>
      <c r="O71" s="65" t="n">
        <f aca="false">SUM(P71:AA71)</f>
        <v>1023.50403396212</v>
      </c>
      <c r="P71" s="68" t="n">
        <f aca="false">(N65*(1-'Assumption Setting'!$D$42)+N66*(1-'Assumption Setting'!$D$43))*'Assumption Setting'!$D$44</f>
        <v>36.2885339621212</v>
      </c>
      <c r="Q71" s="68" t="n">
        <f aca="false">(P65*(1-'Assumption Setting'!$D$42)+P66*(1-'Assumption Setting'!$D$43))*'Assumption Setting'!$D$44</f>
        <v>89.7468636363636</v>
      </c>
      <c r="R71" s="68" t="n">
        <f aca="false">(Q65*(1-'Assumption Setting'!$D$42)+Q66*(1-'Assumption Setting'!$D$43))*'Assumption Setting'!$D$44</f>
        <v>89.7468636363636</v>
      </c>
      <c r="S71" s="68" t="n">
        <f aca="false">(R65*(1-'Assumption Setting'!$D$42)+R66*(1-'Assumption Setting'!$D$43))*'Assumption Setting'!$D$44</f>
        <v>89.7468636363636</v>
      </c>
      <c r="T71" s="68" t="n">
        <f aca="false">(S65*(1-'Assumption Setting'!$D$42)+S66*(1-'Assumption Setting'!$D$43))*'Assumption Setting'!$D$44</f>
        <v>89.7468636363636</v>
      </c>
      <c r="U71" s="68" t="n">
        <f aca="false">(T65*(1-'Assumption Setting'!$D$42)+T66*(1-'Assumption Setting'!$D$43))*'Assumption Setting'!$D$44</f>
        <v>89.7468636363636</v>
      </c>
      <c r="V71" s="68" t="n">
        <f aca="false">(U65*(1-'Assumption Setting'!$D$42)+U66*(1-'Assumption Setting'!$D$43))*'Assumption Setting'!$D$44</f>
        <v>89.7468636363636</v>
      </c>
      <c r="W71" s="68" t="n">
        <f aca="false">(V65*(1-'Assumption Setting'!$D$42)+V66*(1-'Assumption Setting'!$D$43))*'Assumption Setting'!$D$44</f>
        <v>89.7468636363636</v>
      </c>
      <c r="X71" s="68" t="n">
        <f aca="false">(W65*(1-'Assumption Setting'!$D$42)+W66*(1-'Assumption Setting'!$D$43))*'Assumption Setting'!$D$44</f>
        <v>89.7468636363636</v>
      </c>
      <c r="Y71" s="68" t="n">
        <f aca="false">(X65*(1-'Assumption Setting'!$D$42)+X66*(1-'Assumption Setting'!$D$43))*'Assumption Setting'!$D$44</f>
        <v>89.7468636363636</v>
      </c>
      <c r="Z71" s="68" t="n">
        <f aca="false">(Y65*(1-'Assumption Setting'!$D$42)+Y66*(1-'Assumption Setting'!$D$43))*'Assumption Setting'!$D$44</f>
        <v>89.7468636363636</v>
      </c>
      <c r="AA71" s="68" t="n">
        <f aca="false">(Z65*(1-'Assumption Setting'!$D$42)+Z66*(1-'Assumption Setting'!$D$43))*'Assumption Setting'!$D$44</f>
        <v>89.7468636363636</v>
      </c>
      <c r="AB71" s="65" t="n">
        <f aca="false">SUM(AC71:AN71)</f>
        <v>1834.48023911846</v>
      </c>
      <c r="AC71" s="68" t="n">
        <f aca="false">(AA65*(1-'Assumption Setting'!$E$42)+AA66*(1-'Assumption Setting'!$E$43))*'Assumption Setting'!$E$44</f>
        <v>87.3472148760331</v>
      </c>
      <c r="AD71" s="68" t="n">
        <f aca="false">(AC65*(1-'Assumption Setting'!$E$42)+AC66*(1-'Assumption Setting'!$E$43))*'Assumption Setting'!$E$44</f>
        <v>158.830274931129</v>
      </c>
      <c r="AE71" s="68" t="n">
        <f aca="false">(AD65*(1-'Assumption Setting'!$E$42)+AD66*(1-'Assumption Setting'!$E$43))*'Assumption Setting'!$E$44</f>
        <v>158.830274931129</v>
      </c>
      <c r="AF71" s="68" t="n">
        <f aca="false">(AE65*(1-'Assumption Setting'!$E$42)+AE66*(1-'Assumption Setting'!$E$43))*'Assumption Setting'!$E$44</f>
        <v>158.830274931129</v>
      </c>
      <c r="AG71" s="68" t="n">
        <f aca="false">(AF65*(1-'Assumption Setting'!$E$42)+AF66*(1-'Assumption Setting'!$E$43))*'Assumption Setting'!$E$44</f>
        <v>158.830274931129</v>
      </c>
      <c r="AH71" s="68" t="n">
        <f aca="false">(AG65*(1-'Assumption Setting'!$E$42)+AG66*(1-'Assumption Setting'!$E$43))*'Assumption Setting'!$E$44</f>
        <v>158.830274931129</v>
      </c>
      <c r="AI71" s="68" t="n">
        <f aca="false">(AH65*(1-'Assumption Setting'!$E$42)+AH66*(1-'Assumption Setting'!$E$43))*'Assumption Setting'!$E$44</f>
        <v>158.830274931129</v>
      </c>
      <c r="AJ71" s="68" t="n">
        <f aca="false">(AI65*(1-'Assumption Setting'!$E$42)+AI66*(1-'Assumption Setting'!$E$43))*'Assumption Setting'!$E$44</f>
        <v>158.830274931129</v>
      </c>
      <c r="AK71" s="68" t="n">
        <f aca="false">(AJ65*(1-'Assumption Setting'!$E$42)+AJ66*(1-'Assumption Setting'!$E$43))*'Assumption Setting'!$E$44</f>
        <v>158.830274931129</v>
      </c>
      <c r="AL71" s="68" t="n">
        <f aca="false">(AK65*(1-'Assumption Setting'!$E$42)+AK66*(1-'Assumption Setting'!$E$43))*'Assumption Setting'!$E$44</f>
        <v>158.830274931129</v>
      </c>
      <c r="AM71" s="68" t="n">
        <f aca="false">(AL65*(1-'Assumption Setting'!$E$42)+AL66*(1-'Assumption Setting'!$E$43))*'Assumption Setting'!$E$44</f>
        <v>158.830274931129</v>
      </c>
      <c r="AN71" s="68" t="n">
        <f aca="false">(AM65*(1-'Assumption Setting'!$E$42)+AM66*(1-'Assumption Setting'!$E$43))*'Assumption Setting'!$E$44</f>
        <v>158.830274931129</v>
      </c>
      <c r="AO71" s="65" t="n">
        <f aca="false">SUM(AP71:BA71)</f>
        <v>2683.40351724894</v>
      </c>
      <c r="AP71" s="68" t="n">
        <f aca="false">(AN65*(1-'Assumption Setting'!$F$42)+AN66*(1-'Assumption Setting'!$F$43))*'Assumption Setting'!$F$44</f>
        <v>156.645408708991</v>
      </c>
      <c r="AQ71" s="68" t="n">
        <f aca="false">(AP65*(1-'Assumption Setting'!$F$42)+AP66*(1-'Assumption Setting'!$F$43))*'Assumption Setting'!$F$44</f>
        <v>229.70528259454</v>
      </c>
      <c r="AR71" s="68" t="n">
        <f aca="false">(AQ65*(1-'Assumption Setting'!$F$42)+AQ66*(1-'Assumption Setting'!$F$43))*'Assumption Setting'!$F$44</f>
        <v>229.70528259454</v>
      </c>
      <c r="AS71" s="68" t="n">
        <f aca="false">(AR65*(1-'Assumption Setting'!$F$42)+AR66*(1-'Assumption Setting'!$F$43))*'Assumption Setting'!$F$44</f>
        <v>229.70528259454</v>
      </c>
      <c r="AT71" s="68" t="n">
        <f aca="false">(AS65*(1-'Assumption Setting'!$F$42)+AS66*(1-'Assumption Setting'!$F$43))*'Assumption Setting'!$F$44</f>
        <v>229.70528259454</v>
      </c>
      <c r="AU71" s="68" t="n">
        <f aca="false">(AT65*(1-'Assumption Setting'!$F$42)+AT66*(1-'Assumption Setting'!$F$43))*'Assumption Setting'!$F$44</f>
        <v>229.70528259454</v>
      </c>
      <c r="AV71" s="68" t="n">
        <f aca="false">(AU65*(1-'Assumption Setting'!$F$42)+AU66*(1-'Assumption Setting'!$F$43))*'Assumption Setting'!$F$44</f>
        <v>229.70528259454</v>
      </c>
      <c r="AW71" s="68" t="n">
        <f aca="false">(AV65*(1-'Assumption Setting'!$F$42)+AV66*(1-'Assumption Setting'!$F$43))*'Assumption Setting'!$F$44</f>
        <v>229.70528259454</v>
      </c>
      <c r="AX71" s="68" t="n">
        <f aca="false">(AW65*(1-'Assumption Setting'!$F$42)+AW66*(1-'Assumption Setting'!$F$43))*'Assumption Setting'!$F$44</f>
        <v>229.70528259454</v>
      </c>
      <c r="AY71" s="68" t="n">
        <f aca="false">(AX65*(1-'Assumption Setting'!$F$42)+AX66*(1-'Assumption Setting'!$F$43))*'Assumption Setting'!$F$44</f>
        <v>229.70528259454</v>
      </c>
      <c r="AZ71" s="68" t="n">
        <f aca="false">(AY65*(1-'Assumption Setting'!$F$42)+AY66*(1-'Assumption Setting'!$F$43))*'Assumption Setting'!$F$44</f>
        <v>229.70528259454</v>
      </c>
      <c r="BA71" s="68" t="n">
        <f aca="false">(AZ65*(1-'Assumption Setting'!$F$42)+AZ66*(1-'Assumption Setting'!$F$43))*'Assumption Setting'!$F$44</f>
        <v>229.70528259454</v>
      </c>
      <c r="BB71" s="65" t="n">
        <f aca="false">SUM(BC71:BN71)</f>
        <v>3187.01517953009</v>
      </c>
      <c r="BC71" s="68" t="n">
        <f aca="false">(BA65*(1-'Assumption Setting'!$G$42)+BA66*(1-'Assumption Setting'!$G$43))*'Assumption Setting'!$G$44</f>
        <v>226.49779744553</v>
      </c>
      <c r="BD71" s="68" t="n">
        <f aca="false">(BC65*(1-'Assumption Setting'!$G$42)+BC66*(1-'Assumption Setting'!$G$43))*'Assumption Setting'!$G$44</f>
        <v>269.137943825869</v>
      </c>
      <c r="BE71" s="68" t="n">
        <f aca="false">(BD65*(1-'Assumption Setting'!$G$42)+BD66*(1-'Assumption Setting'!$G$43))*'Assumption Setting'!$G$44</f>
        <v>269.137943825869</v>
      </c>
      <c r="BF71" s="68" t="n">
        <f aca="false">(BE65*(1-'Assumption Setting'!$G$42)+BE66*(1-'Assumption Setting'!$G$43))*'Assumption Setting'!$G$44</f>
        <v>269.137943825869</v>
      </c>
      <c r="BG71" s="68" t="n">
        <f aca="false">(BF65*(1-'Assumption Setting'!$G$42)+BF66*(1-'Assumption Setting'!$G$43))*'Assumption Setting'!$G$44</f>
        <v>269.137943825869</v>
      </c>
      <c r="BH71" s="68" t="n">
        <f aca="false">(BG65*(1-'Assumption Setting'!$G$42)+BG66*(1-'Assumption Setting'!$G$43))*'Assumption Setting'!$G$44</f>
        <v>269.137943825869</v>
      </c>
      <c r="BI71" s="68" t="n">
        <f aca="false">(BH65*(1-'Assumption Setting'!$G$42)+BH66*(1-'Assumption Setting'!$G$43))*'Assumption Setting'!$G$44</f>
        <v>269.137943825869</v>
      </c>
      <c r="BJ71" s="68" t="n">
        <f aca="false">(BI65*(1-'Assumption Setting'!$G$42)+BI66*(1-'Assumption Setting'!$G$43))*'Assumption Setting'!$G$44</f>
        <v>269.137943825869</v>
      </c>
      <c r="BK71" s="68" t="n">
        <f aca="false">(BJ65*(1-'Assumption Setting'!$G$42)+BJ66*(1-'Assumption Setting'!$G$43))*'Assumption Setting'!$G$44</f>
        <v>269.137943825869</v>
      </c>
      <c r="BL71" s="68" t="n">
        <f aca="false">(BK65*(1-'Assumption Setting'!$G$42)+BK66*(1-'Assumption Setting'!$G$43))*'Assumption Setting'!$G$44</f>
        <v>269.137943825869</v>
      </c>
      <c r="BM71" s="68" t="n">
        <f aca="false">(BL65*(1-'Assumption Setting'!$G$42)+BL66*(1-'Assumption Setting'!$G$43))*'Assumption Setting'!$G$44</f>
        <v>269.137943825869</v>
      </c>
      <c r="BN71" s="68" t="n">
        <f aca="false">(BM65*(1-'Assumption Setting'!$G$42)+BM66*(1-'Assumption Setting'!$G$43))*'Assumption Setting'!$G$44</f>
        <v>269.137943825869</v>
      </c>
    </row>
    <row r="72" customFormat="false" ht="15" hidden="false" customHeight="false" outlineLevel="0" collapsed="false">
      <c r="A72" s="13" t="s">
        <v>687</v>
      </c>
      <c r="B72" s="69" t="n">
        <f aca="false">SUM(C72:N72)</f>
        <v>5163.68178240909</v>
      </c>
      <c r="C72" s="80" t="n">
        <f aca="false">C68+C71</f>
        <v>396.154576409091</v>
      </c>
      <c r="D72" s="80" t="n">
        <f aca="false">D68+D71</f>
        <v>433.411564181818</v>
      </c>
      <c r="E72" s="80" t="n">
        <f aca="false">E68+E71</f>
        <v>433.411564181818</v>
      </c>
      <c r="F72" s="80" t="n">
        <f aca="false">F68+F71</f>
        <v>433.411564181818</v>
      </c>
      <c r="G72" s="80" t="n">
        <f aca="false">G68+G71</f>
        <v>433.411564181818</v>
      </c>
      <c r="H72" s="80" t="n">
        <f aca="false">H68+H71</f>
        <v>433.411564181818</v>
      </c>
      <c r="I72" s="80" t="n">
        <f aca="false">I68+I71</f>
        <v>433.411564181818</v>
      </c>
      <c r="J72" s="80" t="n">
        <f aca="false">J68+J71</f>
        <v>433.411564181818</v>
      </c>
      <c r="K72" s="80" t="n">
        <f aca="false">K68+K71</f>
        <v>433.411564181818</v>
      </c>
      <c r="L72" s="80" t="n">
        <f aca="false">L68+L71</f>
        <v>433.411564181818</v>
      </c>
      <c r="M72" s="80" t="n">
        <f aca="false">M68+M71</f>
        <v>433.411564181818</v>
      </c>
      <c r="N72" s="80" t="n">
        <f aca="false">N68+N71</f>
        <v>433.411564181818</v>
      </c>
      <c r="O72" s="69" t="n">
        <f aca="false">SUM(P72:AA72)</f>
        <v>11389.9866785902</v>
      </c>
      <c r="P72" s="80" t="n">
        <f aca="false">P68+P71</f>
        <v>900.16208768113</v>
      </c>
      <c r="Q72" s="80" t="n">
        <f aca="false">Q68+Q71</f>
        <v>953.620417355372</v>
      </c>
      <c r="R72" s="80" t="n">
        <f aca="false">R68+R71</f>
        <v>953.620417355372</v>
      </c>
      <c r="S72" s="80" t="n">
        <f aca="false">S68+S71</f>
        <v>953.620417355372</v>
      </c>
      <c r="T72" s="80" t="n">
        <f aca="false">T68+T71</f>
        <v>953.620417355372</v>
      </c>
      <c r="U72" s="80" t="n">
        <f aca="false">U68+U71</f>
        <v>953.620417355372</v>
      </c>
      <c r="V72" s="80" t="n">
        <f aca="false">V68+V71</f>
        <v>953.620417355372</v>
      </c>
      <c r="W72" s="80" t="n">
        <f aca="false">W68+W71</f>
        <v>953.620417355372</v>
      </c>
      <c r="X72" s="80" t="n">
        <f aca="false">X68+X71</f>
        <v>953.620417355372</v>
      </c>
      <c r="Y72" s="80" t="n">
        <f aca="false">Y68+Y71</f>
        <v>953.620417355372</v>
      </c>
      <c r="Z72" s="80" t="n">
        <f aca="false">Z68+Z71</f>
        <v>953.620417355372</v>
      </c>
      <c r="AA72" s="80" t="n">
        <f aca="false">AA68+AA71</f>
        <v>953.620417355372</v>
      </c>
      <c r="AB72" s="69" t="n">
        <f aca="false">SUM(AC72:AN72)</f>
        <v>18782.9624951665</v>
      </c>
      <c r="AC72" s="80" t="n">
        <f aca="false">AC68+AC71</f>
        <v>1499.72073621337</v>
      </c>
      <c r="AD72" s="80" t="n">
        <f aca="false">AD68+AD71</f>
        <v>1571.20379626847</v>
      </c>
      <c r="AE72" s="80" t="n">
        <f aca="false">AE68+AE71</f>
        <v>1571.20379626847</v>
      </c>
      <c r="AF72" s="80" t="n">
        <f aca="false">AF68+AF71</f>
        <v>1571.20379626847</v>
      </c>
      <c r="AG72" s="80" t="n">
        <f aca="false">AG68+AG71</f>
        <v>1571.20379626847</v>
      </c>
      <c r="AH72" s="80" t="n">
        <f aca="false">AH68+AH71</f>
        <v>1571.20379626847</v>
      </c>
      <c r="AI72" s="80" t="n">
        <f aca="false">AI68+AI71</f>
        <v>1571.20379626847</v>
      </c>
      <c r="AJ72" s="80" t="n">
        <f aca="false">AJ68+AJ71</f>
        <v>1571.20379626847</v>
      </c>
      <c r="AK72" s="80" t="n">
        <f aca="false">AK68+AK71</f>
        <v>1571.20379626847</v>
      </c>
      <c r="AL72" s="80" t="n">
        <f aca="false">AL68+AL71</f>
        <v>1571.20379626847</v>
      </c>
      <c r="AM72" s="80" t="n">
        <f aca="false">AM68+AM71</f>
        <v>1571.20379626847</v>
      </c>
      <c r="AN72" s="80" t="n">
        <f aca="false">AN68+AN71</f>
        <v>1571.20379626847</v>
      </c>
      <c r="AO72" s="69" t="n">
        <f aca="false">SUM(AP72:BA72)</f>
        <v>24835.7763340784</v>
      </c>
      <c r="AP72" s="80" t="n">
        <f aca="false">AP68+AP71</f>
        <v>2002.67647677811</v>
      </c>
      <c r="AQ72" s="80" t="n">
        <f aca="false">AQ68+AQ71</f>
        <v>2075.73635066366</v>
      </c>
      <c r="AR72" s="80" t="n">
        <f aca="false">AR68+AR71</f>
        <v>2075.73635066366</v>
      </c>
      <c r="AS72" s="80" t="n">
        <f aca="false">AS68+AS71</f>
        <v>2075.73635066366</v>
      </c>
      <c r="AT72" s="80" t="n">
        <f aca="false">AT68+AT71</f>
        <v>2075.73635066366</v>
      </c>
      <c r="AU72" s="80" t="n">
        <f aca="false">AU68+AU71</f>
        <v>2075.73635066366</v>
      </c>
      <c r="AV72" s="80" t="n">
        <f aca="false">AV68+AV71</f>
        <v>2075.73635066366</v>
      </c>
      <c r="AW72" s="80" t="n">
        <f aca="false">AW68+AW71</f>
        <v>2075.73635066366</v>
      </c>
      <c r="AX72" s="80" t="n">
        <f aca="false">AX68+AX71</f>
        <v>2075.73635066366</v>
      </c>
      <c r="AY72" s="80" t="n">
        <f aca="false">AY68+AY71</f>
        <v>2075.73635066366</v>
      </c>
      <c r="AZ72" s="80" t="n">
        <f aca="false">AZ68+AZ71</f>
        <v>2075.73635066366</v>
      </c>
      <c r="BA72" s="80" t="n">
        <f aca="false">BA68+BA71</f>
        <v>2075.73635066366</v>
      </c>
      <c r="BB72" s="69" t="n">
        <f aca="false">SUM(BC72:BN72)</f>
        <v>30121.9184204562</v>
      </c>
      <c r="BC72" s="80" t="n">
        <f aca="false">BC68+BC71</f>
        <v>2471.07306752271</v>
      </c>
      <c r="BD72" s="80" t="n">
        <f aca="false">BD68+BD71</f>
        <v>2513.71321390305</v>
      </c>
      <c r="BE72" s="80" t="n">
        <f aca="false">BE68+BE71</f>
        <v>2513.71321390305</v>
      </c>
      <c r="BF72" s="80" t="n">
        <f aca="false">BF68+BF71</f>
        <v>2513.71321390305</v>
      </c>
      <c r="BG72" s="80" t="n">
        <f aca="false">BG68+BG71</f>
        <v>2513.71321390305</v>
      </c>
      <c r="BH72" s="80" t="n">
        <f aca="false">BH68+BH71</f>
        <v>2513.71321390305</v>
      </c>
      <c r="BI72" s="80" t="n">
        <f aca="false">BI68+BI71</f>
        <v>2513.71321390305</v>
      </c>
      <c r="BJ72" s="80" t="n">
        <f aca="false">BJ68+BJ71</f>
        <v>2513.71321390305</v>
      </c>
      <c r="BK72" s="80" t="n">
        <f aca="false">BK68+BK71</f>
        <v>2513.71321390305</v>
      </c>
      <c r="BL72" s="80" t="n">
        <f aca="false">BL68+BL71</f>
        <v>2513.71321390305</v>
      </c>
      <c r="BM72" s="80" t="n">
        <f aca="false">BM68+BM71</f>
        <v>2513.71321390305</v>
      </c>
      <c r="BN72" s="80" t="n">
        <f aca="false">BN68+BN71</f>
        <v>2513.71321390305</v>
      </c>
    </row>
    <row r="74" customFormat="false" ht="15" hidden="false" customHeight="false" outlineLevel="0" collapsed="false">
      <c r="A74" s="9" t="s">
        <v>688</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row>
    <row r="75" customFormat="false" ht="15" hidden="false" customHeight="false" outlineLevel="0" collapsed="false">
      <c r="A75" s="56" t="s">
        <v>632</v>
      </c>
      <c r="B75" s="57" t="s">
        <v>87</v>
      </c>
      <c r="C75" s="58" t="s">
        <v>562</v>
      </c>
      <c r="D75" s="58" t="s">
        <v>563</v>
      </c>
      <c r="E75" s="58" t="s">
        <v>564</v>
      </c>
      <c r="F75" s="58" t="s">
        <v>565</v>
      </c>
      <c r="G75" s="58" t="s">
        <v>566</v>
      </c>
      <c r="H75" s="58" t="s">
        <v>567</v>
      </c>
      <c r="I75" s="58" t="s">
        <v>568</v>
      </c>
      <c r="J75" s="58" t="s">
        <v>569</v>
      </c>
      <c r="K75" s="58" t="s">
        <v>570</v>
      </c>
      <c r="L75" s="58" t="s">
        <v>571</v>
      </c>
      <c r="M75" s="58" t="s">
        <v>572</v>
      </c>
      <c r="N75" s="58" t="s">
        <v>573</v>
      </c>
      <c r="O75" s="57" t="s">
        <v>88</v>
      </c>
      <c r="P75" s="58" t="s">
        <v>574</v>
      </c>
      <c r="Q75" s="58" t="s">
        <v>575</v>
      </c>
      <c r="R75" s="58" t="s">
        <v>576</v>
      </c>
      <c r="S75" s="58" t="s">
        <v>577</v>
      </c>
      <c r="T75" s="58" t="s">
        <v>578</v>
      </c>
      <c r="U75" s="58" t="s">
        <v>579</v>
      </c>
      <c r="V75" s="58" t="s">
        <v>580</v>
      </c>
      <c r="W75" s="58" t="s">
        <v>581</v>
      </c>
      <c r="X75" s="58" t="s">
        <v>582</v>
      </c>
      <c r="Y75" s="58" t="s">
        <v>583</v>
      </c>
      <c r="Z75" s="58" t="s">
        <v>584</v>
      </c>
      <c r="AA75" s="58" t="s">
        <v>585</v>
      </c>
      <c r="AB75" s="57" t="s">
        <v>89</v>
      </c>
      <c r="AC75" s="58" t="s">
        <v>586</v>
      </c>
      <c r="AD75" s="58" t="s">
        <v>587</v>
      </c>
      <c r="AE75" s="58" t="s">
        <v>588</v>
      </c>
      <c r="AF75" s="58" t="s">
        <v>589</v>
      </c>
      <c r="AG75" s="58" t="s">
        <v>590</v>
      </c>
      <c r="AH75" s="58" t="s">
        <v>591</v>
      </c>
      <c r="AI75" s="58" t="s">
        <v>592</v>
      </c>
      <c r="AJ75" s="58" t="s">
        <v>593</v>
      </c>
      <c r="AK75" s="58" t="s">
        <v>594</v>
      </c>
      <c r="AL75" s="58" t="s">
        <v>595</v>
      </c>
      <c r="AM75" s="58" t="s">
        <v>596</v>
      </c>
      <c r="AN75" s="58" t="s">
        <v>597</v>
      </c>
      <c r="AO75" s="57" t="s">
        <v>90</v>
      </c>
      <c r="AP75" s="58" t="s">
        <v>598</v>
      </c>
      <c r="AQ75" s="58" t="s">
        <v>599</v>
      </c>
      <c r="AR75" s="58" t="s">
        <v>600</v>
      </c>
      <c r="AS75" s="58" t="s">
        <v>601</v>
      </c>
      <c r="AT75" s="58" t="s">
        <v>602</v>
      </c>
      <c r="AU75" s="58" t="s">
        <v>603</v>
      </c>
      <c r="AV75" s="58" t="s">
        <v>604</v>
      </c>
      <c r="AW75" s="58" t="s">
        <v>605</v>
      </c>
      <c r="AX75" s="58" t="s">
        <v>606</v>
      </c>
      <c r="AY75" s="58" t="s">
        <v>607</v>
      </c>
      <c r="AZ75" s="58" t="s">
        <v>608</v>
      </c>
      <c r="BA75" s="58" t="s">
        <v>609</v>
      </c>
      <c r="BB75" s="57" t="s">
        <v>91</v>
      </c>
      <c r="BC75" s="58" t="s">
        <v>610</v>
      </c>
      <c r="BD75" s="58" t="s">
        <v>611</v>
      </c>
      <c r="BE75" s="58" t="s">
        <v>612</v>
      </c>
      <c r="BF75" s="58" t="s">
        <v>613</v>
      </c>
      <c r="BG75" s="58" t="s">
        <v>614</v>
      </c>
      <c r="BH75" s="58" t="s">
        <v>615</v>
      </c>
      <c r="BI75" s="58" t="s">
        <v>616</v>
      </c>
      <c r="BJ75" s="58" t="s">
        <v>617</v>
      </c>
      <c r="BK75" s="58" t="s">
        <v>618</v>
      </c>
      <c r="BL75" s="58" t="s">
        <v>619</v>
      </c>
      <c r="BM75" s="58" t="s">
        <v>620</v>
      </c>
      <c r="BN75" s="58" t="s">
        <v>621</v>
      </c>
    </row>
    <row r="76" customFormat="false" ht="15" hidden="false" customHeight="false" outlineLevel="0" collapsed="false">
      <c r="A76" s="4" t="s">
        <v>689</v>
      </c>
      <c r="B76" s="65" t="n">
        <f aca="false">SUM(C76:N76)</f>
        <v>410.168672727273</v>
      </c>
      <c r="C76" s="68" t="n">
        <f aca="false">C62*'Assumption Setting'!$C$41</f>
        <v>34.1807227272727</v>
      </c>
      <c r="D76" s="68" t="n">
        <f aca="false">D62*'Assumption Setting'!$C$41</f>
        <v>34.1807227272727</v>
      </c>
      <c r="E76" s="68" t="n">
        <f aca="false">E62*'Assumption Setting'!$C$41</f>
        <v>34.1807227272727</v>
      </c>
      <c r="F76" s="68" t="n">
        <f aca="false">F62*'Assumption Setting'!$C$41</f>
        <v>34.1807227272727</v>
      </c>
      <c r="G76" s="68" t="n">
        <f aca="false">G62*'Assumption Setting'!$C$41</f>
        <v>34.1807227272727</v>
      </c>
      <c r="H76" s="68" t="n">
        <f aca="false">H62*'Assumption Setting'!$C$41</f>
        <v>34.1807227272727</v>
      </c>
      <c r="I76" s="68" t="n">
        <f aca="false">I62*'Assumption Setting'!$C$41</f>
        <v>34.1807227272727</v>
      </c>
      <c r="J76" s="68" t="n">
        <f aca="false">J62*'Assumption Setting'!$C$41</f>
        <v>34.1807227272727</v>
      </c>
      <c r="K76" s="68" t="n">
        <f aca="false">K62*'Assumption Setting'!$C$41</f>
        <v>34.1807227272727</v>
      </c>
      <c r="L76" s="68" t="n">
        <f aca="false">L62*'Assumption Setting'!$C$41</f>
        <v>34.1807227272727</v>
      </c>
      <c r="M76" s="68" t="n">
        <f aca="false">M62*'Assumption Setting'!$C$41</f>
        <v>34.1807227272727</v>
      </c>
      <c r="N76" s="68" t="n">
        <f aca="false">N62*'Assumption Setting'!$C$41</f>
        <v>34.1807227272727</v>
      </c>
      <c r="O76" s="65" t="n">
        <f aca="false">SUM(P76:AA76)</f>
        <v>1007.85247933884</v>
      </c>
      <c r="P76" s="68" t="n">
        <f aca="false">P62*'Assumption Setting'!$D$41</f>
        <v>83.9877066115703</v>
      </c>
      <c r="Q76" s="68" t="n">
        <f aca="false">Q62*'Assumption Setting'!$D$41</f>
        <v>83.9877066115703</v>
      </c>
      <c r="R76" s="68" t="n">
        <f aca="false">R62*'Assumption Setting'!$D$41</f>
        <v>83.9877066115703</v>
      </c>
      <c r="S76" s="68" t="n">
        <f aca="false">S62*'Assumption Setting'!$D$41</f>
        <v>83.9877066115703</v>
      </c>
      <c r="T76" s="68" t="n">
        <f aca="false">T62*'Assumption Setting'!$D$41</f>
        <v>83.9877066115703</v>
      </c>
      <c r="U76" s="68" t="n">
        <f aca="false">U62*'Assumption Setting'!$D$41</f>
        <v>83.9877066115703</v>
      </c>
      <c r="V76" s="68" t="n">
        <f aca="false">V62*'Assumption Setting'!$D$41</f>
        <v>83.9877066115703</v>
      </c>
      <c r="W76" s="68" t="n">
        <f aca="false">W62*'Assumption Setting'!$D$41</f>
        <v>83.9877066115703</v>
      </c>
      <c r="X76" s="68" t="n">
        <f aca="false">X62*'Assumption Setting'!$D$41</f>
        <v>83.9877066115703</v>
      </c>
      <c r="Y76" s="68" t="n">
        <f aca="false">Y62*'Assumption Setting'!$D$41</f>
        <v>83.9877066115703</v>
      </c>
      <c r="Z76" s="68" t="n">
        <f aca="false">Z62*'Assumption Setting'!$D$41</f>
        <v>83.9877066115703</v>
      </c>
      <c r="AA76" s="68" t="n">
        <f aca="false">AA62*'Assumption Setting'!$D$41</f>
        <v>83.9877066115703</v>
      </c>
      <c r="AB76" s="65" t="n">
        <f aca="false">SUM(AC76:AN76)</f>
        <v>1823.88832456799</v>
      </c>
      <c r="AC76" s="68" t="n">
        <f aca="false">AC62*'Assumption Setting'!$E$41</f>
        <v>151.990693714</v>
      </c>
      <c r="AD76" s="68" t="n">
        <f aca="false">AD62*'Assumption Setting'!$E$41</f>
        <v>151.990693714</v>
      </c>
      <c r="AE76" s="68" t="n">
        <f aca="false">AE62*'Assumption Setting'!$E$41</f>
        <v>151.990693714</v>
      </c>
      <c r="AF76" s="68" t="n">
        <f aca="false">AF62*'Assumption Setting'!$E$41</f>
        <v>151.990693714</v>
      </c>
      <c r="AG76" s="68" t="n">
        <f aca="false">AG62*'Assumption Setting'!$E$41</f>
        <v>151.990693714</v>
      </c>
      <c r="AH76" s="68" t="n">
        <f aca="false">AH62*'Assumption Setting'!$E$41</f>
        <v>151.990693714</v>
      </c>
      <c r="AI76" s="68" t="n">
        <f aca="false">AI62*'Assumption Setting'!$E$41</f>
        <v>151.990693714</v>
      </c>
      <c r="AJ76" s="68" t="n">
        <f aca="false">AJ62*'Assumption Setting'!$E$41</f>
        <v>151.990693714</v>
      </c>
      <c r="AK76" s="68" t="n">
        <f aca="false">AK62*'Assumption Setting'!$E$41</f>
        <v>151.990693714</v>
      </c>
      <c r="AL76" s="68" t="n">
        <f aca="false">AL62*'Assumption Setting'!$E$41</f>
        <v>151.990693714</v>
      </c>
      <c r="AM76" s="68" t="n">
        <f aca="false">AM62*'Assumption Setting'!$E$41</f>
        <v>151.990693714</v>
      </c>
      <c r="AN76" s="68" t="n">
        <f aca="false">AN62*'Assumption Setting'!$E$41</f>
        <v>151.990693714</v>
      </c>
      <c r="AO76" s="65" t="n">
        <f aca="false">SUM(AP76:BA76)</f>
        <v>2368.60441773103</v>
      </c>
      <c r="AP76" s="68" t="n">
        <f aca="false">AP62*'Assumption Setting'!$F$41</f>
        <v>197.383701477586</v>
      </c>
      <c r="AQ76" s="68" t="n">
        <f aca="false">AQ62*'Assumption Setting'!$F$41</f>
        <v>197.383701477586</v>
      </c>
      <c r="AR76" s="68" t="n">
        <f aca="false">AR62*'Assumption Setting'!$F$41</f>
        <v>197.383701477586</v>
      </c>
      <c r="AS76" s="68" t="n">
        <f aca="false">AS62*'Assumption Setting'!$F$41</f>
        <v>197.383701477586</v>
      </c>
      <c r="AT76" s="68" t="n">
        <f aca="false">AT62*'Assumption Setting'!$F$41</f>
        <v>197.383701477586</v>
      </c>
      <c r="AU76" s="68" t="n">
        <f aca="false">AU62*'Assumption Setting'!$F$41</f>
        <v>197.383701477586</v>
      </c>
      <c r="AV76" s="68" t="n">
        <f aca="false">AV62*'Assumption Setting'!$F$41</f>
        <v>197.383701477586</v>
      </c>
      <c r="AW76" s="68" t="n">
        <f aca="false">AW62*'Assumption Setting'!$F$41</f>
        <v>197.383701477586</v>
      </c>
      <c r="AX76" s="68" t="n">
        <f aca="false">AX62*'Assumption Setting'!$F$41</f>
        <v>197.383701477586</v>
      </c>
      <c r="AY76" s="68" t="n">
        <f aca="false">AY62*'Assumption Setting'!$F$41</f>
        <v>197.383701477586</v>
      </c>
      <c r="AZ76" s="68" t="n">
        <f aca="false">AZ62*'Assumption Setting'!$F$41</f>
        <v>197.383701477586</v>
      </c>
      <c r="BA76" s="68" t="n">
        <f aca="false">BA62*'Assumption Setting'!$F$41</f>
        <v>197.383701477586</v>
      </c>
      <c r="BB76" s="65" t="n">
        <f aca="false">SUM(BC76:BN76)</f>
        <v>2814.51444523784</v>
      </c>
      <c r="BC76" s="68" t="n">
        <f aca="false">BC62*'Assumption Setting'!$G$41</f>
        <v>234.542870436487</v>
      </c>
      <c r="BD76" s="68" t="n">
        <f aca="false">BD62*'Assumption Setting'!$G$41</f>
        <v>234.542870436487</v>
      </c>
      <c r="BE76" s="68" t="n">
        <f aca="false">BE62*'Assumption Setting'!$G$41</f>
        <v>234.542870436487</v>
      </c>
      <c r="BF76" s="68" t="n">
        <f aca="false">BF62*'Assumption Setting'!$G$41</f>
        <v>234.542870436487</v>
      </c>
      <c r="BG76" s="68" t="n">
        <f aca="false">BG62*'Assumption Setting'!$G$41</f>
        <v>234.542870436487</v>
      </c>
      <c r="BH76" s="68" t="n">
        <f aca="false">BH62*'Assumption Setting'!$G$41</f>
        <v>234.542870436487</v>
      </c>
      <c r="BI76" s="68" t="n">
        <f aca="false">BI62*'Assumption Setting'!$G$41</f>
        <v>234.542870436487</v>
      </c>
      <c r="BJ76" s="68" t="n">
        <f aca="false">BJ62*'Assumption Setting'!$G$41</f>
        <v>234.542870436487</v>
      </c>
      <c r="BK76" s="68" t="n">
        <f aca="false">BK62*'Assumption Setting'!$G$41</f>
        <v>234.542870436487</v>
      </c>
      <c r="BL76" s="68" t="n">
        <f aca="false">BL62*'Assumption Setting'!$G$41</f>
        <v>234.542870436487</v>
      </c>
      <c r="BM76" s="68" t="n">
        <f aca="false">BM62*'Assumption Setting'!$G$41</f>
        <v>234.542870436487</v>
      </c>
      <c r="BN76" s="68" t="n">
        <f aca="false">BN62*'Assumption Setting'!$G$41</f>
        <v>234.542870436487</v>
      </c>
    </row>
    <row r="77" customFormat="false" ht="15" hidden="false" customHeight="false" outlineLevel="0" collapsed="false">
      <c r="A77" s="13" t="s">
        <v>690</v>
      </c>
      <c r="B77" s="65" t="n">
        <f aca="false">SUM(C77:N77)</f>
        <v>944.168672727273</v>
      </c>
      <c r="C77" s="83" t="n">
        <f aca="false">C58+C76</f>
        <v>78.6807227272727</v>
      </c>
      <c r="D77" s="83" t="n">
        <f aca="false">D58+D76</f>
        <v>78.6807227272727</v>
      </c>
      <c r="E77" s="83" t="n">
        <f aca="false">E58+E76</f>
        <v>78.6807227272727</v>
      </c>
      <c r="F77" s="83" t="n">
        <f aca="false">F58+F76</f>
        <v>78.6807227272727</v>
      </c>
      <c r="G77" s="83" t="n">
        <f aca="false">G58+G76</f>
        <v>78.6807227272727</v>
      </c>
      <c r="H77" s="83" t="n">
        <f aca="false">H58+H76</f>
        <v>78.6807227272727</v>
      </c>
      <c r="I77" s="83" t="n">
        <f aca="false">I58+I76</f>
        <v>78.6807227272727</v>
      </c>
      <c r="J77" s="83" t="n">
        <f aca="false">J58+J76</f>
        <v>78.6807227272727</v>
      </c>
      <c r="K77" s="83" t="n">
        <f aca="false">K58+K76</f>
        <v>78.6807227272727</v>
      </c>
      <c r="L77" s="83" t="n">
        <f aca="false">L58+L76</f>
        <v>78.6807227272727</v>
      </c>
      <c r="M77" s="83" t="n">
        <f aca="false">M58+M76</f>
        <v>78.6807227272727</v>
      </c>
      <c r="N77" s="83" t="n">
        <f aca="false">N58+N76</f>
        <v>78.6807227272727</v>
      </c>
      <c r="O77" s="65" t="n">
        <f aca="false">SUM(P77:AA77)</f>
        <v>2057.85247933884</v>
      </c>
      <c r="P77" s="83" t="n">
        <f aca="false">P58+P76</f>
        <v>171.48770661157</v>
      </c>
      <c r="Q77" s="83" t="n">
        <f aca="false">Q58+Q76</f>
        <v>171.48770661157</v>
      </c>
      <c r="R77" s="83" t="n">
        <f aca="false">R58+R76</f>
        <v>171.48770661157</v>
      </c>
      <c r="S77" s="83" t="n">
        <f aca="false">S58+S76</f>
        <v>171.48770661157</v>
      </c>
      <c r="T77" s="83" t="n">
        <f aca="false">T58+T76</f>
        <v>171.48770661157</v>
      </c>
      <c r="U77" s="83" t="n">
        <f aca="false">U58+U76</f>
        <v>171.48770661157</v>
      </c>
      <c r="V77" s="83" t="n">
        <f aca="false">V58+V76</f>
        <v>171.48770661157</v>
      </c>
      <c r="W77" s="83" t="n">
        <f aca="false">W58+W76</f>
        <v>171.48770661157</v>
      </c>
      <c r="X77" s="83" t="n">
        <f aca="false">X58+X76</f>
        <v>171.48770661157</v>
      </c>
      <c r="Y77" s="83" t="n">
        <f aca="false">Y58+Y76</f>
        <v>171.48770661157</v>
      </c>
      <c r="Z77" s="83" t="n">
        <f aca="false">Z58+Z76</f>
        <v>171.48770661157</v>
      </c>
      <c r="AA77" s="83" t="n">
        <f aca="false">AA58+AA76</f>
        <v>171.48770661157</v>
      </c>
      <c r="AB77" s="65" t="n">
        <f aca="false">SUM(AC77:AN77)</f>
        <v>3437.88832456799</v>
      </c>
      <c r="AC77" s="83" t="n">
        <f aca="false">AC58+AC76</f>
        <v>286.490693713999</v>
      </c>
      <c r="AD77" s="83" t="n">
        <f aca="false">AD58+AD76</f>
        <v>286.490693713999</v>
      </c>
      <c r="AE77" s="83" t="n">
        <f aca="false">AE58+AE76</f>
        <v>286.490693713999</v>
      </c>
      <c r="AF77" s="83" t="n">
        <f aca="false">AF58+AF76</f>
        <v>286.490693713999</v>
      </c>
      <c r="AG77" s="83" t="n">
        <f aca="false">AG58+AG76</f>
        <v>286.490693713999</v>
      </c>
      <c r="AH77" s="83" t="n">
        <f aca="false">AH58+AH76</f>
        <v>286.490693713999</v>
      </c>
      <c r="AI77" s="83" t="n">
        <f aca="false">AI58+AI76</f>
        <v>286.490693713999</v>
      </c>
      <c r="AJ77" s="83" t="n">
        <f aca="false">AJ58+AJ76</f>
        <v>286.490693713999</v>
      </c>
      <c r="AK77" s="83" t="n">
        <f aca="false">AK58+AK76</f>
        <v>286.490693713999</v>
      </c>
      <c r="AL77" s="83" t="n">
        <f aca="false">AL58+AL76</f>
        <v>286.490693713999</v>
      </c>
      <c r="AM77" s="83" t="n">
        <f aca="false">AM58+AM76</f>
        <v>286.490693713999</v>
      </c>
      <c r="AN77" s="83" t="n">
        <f aca="false">AN58+AN76</f>
        <v>286.490693713999</v>
      </c>
      <c r="AO77" s="65" t="n">
        <f aca="false">SUM(AP77:BA77)</f>
        <v>4546.60441773103</v>
      </c>
      <c r="AP77" s="83" t="n">
        <f aca="false">AP58+AP76</f>
        <v>378.883701477586</v>
      </c>
      <c r="AQ77" s="83" t="n">
        <f aca="false">AQ58+AQ76</f>
        <v>378.883701477586</v>
      </c>
      <c r="AR77" s="83" t="n">
        <f aca="false">AR58+AR76</f>
        <v>378.883701477586</v>
      </c>
      <c r="AS77" s="83" t="n">
        <f aca="false">AS58+AS76</f>
        <v>378.883701477586</v>
      </c>
      <c r="AT77" s="83" t="n">
        <f aca="false">AT58+AT76</f>
        <v>378.883701477586</v>
      </c>
      <c r="AU77" s="83" t="n">
        <f aca="false">AU58+AU76</f>
        <v>378.883701477586</v>
      </c>
      <c r="AV77" s="83" t="n">
        <f aca="false">AV58+AV76</f>
        <v>378.883701477586</v>
      </c>
      <c r="AW77" s="83" t="n">
        <f aca="false">AW58+AW76</f>
        <v>378.883701477586</v>
      </c>
      <c r="AX77" s="83" t="n">
        <f aca="false">AX58+AX76</f>
        <v>378.883701477586</v>
      </c>
      <c r="AY77" s="83" t="n">
        <f aca="false">AY58+AY76</f>
        <v>378.883701477586</v>
      </c>
      <c r="AZ77" s="83" t="n">
        <f aca="false">AZ58+AZ76</f>
        <v>378.883701477586</v>
      </c>
      <c r="BA77" s="83" t="n">
        <f aca="false">BA58+BA76</f>
        <v>378.883701477586</v>
      </c>
      <c r="BB77" s="65" t="n">
        <f aca="false">SUM(BC77:BN77)</f>
        <v>5556.51444523784</v>
      </c>
      <c r="BC77" s="83" t="n">
        <f aca="false">BC58+BC76</f>
        <v>463.042870436487</v>
      </c>
      <c r="BD77" s="83" t="n">
        <f aca="false">BD58+BD76</f>
        <v>463.042870436487</v>
      </c>
      <c r="BE77" s="83" t="n">
        <f aca="false">BE58+BE76</f>
        <v>463.042870436487</v>
      </c>
      <c r="BF77" s="83" t="n">
        <f aca="false">BF58+BF76</f>
        <v>463.042870436487</v>
      </c>
      <c r="BG77" s="83" t="n">
        <f aca="false">BG58+BG76</f>
        <v>463.042870436487</v>
      </c>
      <c r="BH77" s="83" t="n">
        <f aca="false">BH58+BH76</f>
        <v>463.042870436487</v>
      </c>
      <c r="BI77" s="83" t="n">
        <f aca="false">BI58+BI76</f>
        <v>463.042870436487</v>
      </c>
      <c r="BJ77" s="83" t="n">
        <f aca="false">BJ58+BJ76</f>
        <v>463.042870436487</v>
      </c>
      <c r="BK77" s="83" t="n">
        <f aca="false">BK58+BK76</f>
        <v>463.042870436487</v>
      </c>
      <c r="BL77" s="83" t="n">
        <f aca="false">BL58+BL76</f>
        <v>463.042870436487</v>
      </c>
      <c r="BM77" s="83" t="n">
        <f aca="false">BM58+BM76</f>
        <v>463.042870436487</v>
      </c>
      <c r="BN77" s="83" t="n">
        <f aca="false">BN58+BN76</f>
        <v>463.042870436487</v>
      </c>
    </row>
    <row r="78" customFormat="false" ht="15" hidden="false" customHeight="false" outlineLevel="0" collapsed="false">
      <c r="A78" s="4" t="s">
        <v>691</v>
      </c>
      <c r="B78" s="65" t="n">
        <f aca="false">SUM(C78:N78)</f>
        <v>151.066987636364</v>
      </c>
      <c r="C78" s="68" t="n">
        <f aca="false">C77*'Assumption Setting'!$C$59*'Assumption Setting'!$D$59</f>
        <v>12.5889156363636</v>
      </c>
      <c r="D78" s="68" t="n">
        <f aca="false">D77*'Assumption Setting'!$C$59*'Assumption Setting'!$D$59</f>
        <v>12.5889156363636</v>
      </c>
      <c r="E78" s="68" t="n">
        <f aca="false">E77*'Assumption Setting'!$C$59*'Assumption Setting'!$D$59</f>
        <v>12.5889156363636</v>
      </c>
      <c r="F78" s="68" t="n">
        <f aca="false">F77*'Assumption Setting'!$C$59*'Assumption Setting'!$D$59</f>
        <v>12.5889156363636</v>
      </c>
      <c r="G78" s="68" t="n">
        <f aca="false">G77*'Assumption Setting'!$C$59*'Assumption Setting'!$D$59</f>
        <v>12.5889156363636</v>
      </c>
      <c r="H78" s="68" t="n">
        <f aca="false">H77*'Assumption Setting'!$C$59*'Assumption Setting'!$D$59</f>
        <v>12.5889156363636</v>
      </c>
      <c r="I78" s="68" t="n">
        <f aca="false">I77*'Assumption Setting'!$C$59*'Assumption Setting'!$D$59</f>
        <v>12.5889156363636</v>
      </c>
      <c r="J78" s="68" t="n">
        <f aca="false">J77*'Assumption Setting'!$C$59*'Assumption Setting'!$D$59</f>
        <v>12.5889156363636</v>
      </c>
      <c r="K78" s="68" t="n">
        <f aca="false">K77*'Assumption Setting'!$C$59*'Assumption Setting'!$D$59</f>
        <v>12.5889156363636</v>
      </c>
      <c r="L78" s="68" t="n">
        <f aca="false">L77*'Assumption Setting'!$C$59*'Assumption Setting'!$D$59</f>
        <v>12.5889156363636</v>
      </c>
      <c r="M78" s="68" t="n">
        <f aca="false">M77*'Assumption Setting'!$C$59*'Assumption Setting'!$D$59</f>
        <v>12.5889156363636</v>
      </c>
      <c r="N78" s="68" t="n">
        <f aca="false">N77*'Assumption Setting'!$C$59*'Assumption Setting'!$D$59</f>
        <v>12.5889156363636</v>
      </c>
      <c r="O78" s="65" t="n">
        <f aca="false">SUM(P78:AA78)</f>
        <v>329.256396694215</v>
      </c>
      <c r="P78" s="68" t="n">
        <f aca="false">P77*'Assumption Setting'!$C$59*'Assumption Setting'!$D$59</f>
        <v>27.4380330578512</v>
      </c>
      <c r="Q78" s="68" t="n">
        <f aca="false">Q77*'Assumption Setting'!$C$59*'Assumption Setting'!$D$59</f>
        <v>27.4380330578512</v>
      </c>
      <c r="R78" s="68" t="n">
        <f aca="false">R77*'Assumption Setting'!$C$59*'Assumption Setting'!$D$59</f>
        <v>27.4380330578512</v>
      </c>
      <c r="S78" s="68" t="n">
        <f aca="false">S77*'Assumption Setting'!$C$59*'Assumption Setting'!$D$59</f>
        <v>27.4380330578512</v>
      </c>
      <c r="T78" s="68" t="n">
        <f aca="false">T77*'Assumption Setting'!$C$59*'Assumption Setting'!$D$59</f>
        <v>27.4380330578512</v>
      </c>
      <c r="U78" s="68" t="n">
        <f aca="false">U77*'Assumption Setting'!$C$59*'Assumption Setting'!$D$59</f>
        <v>27.4380330578512</v>
      </c>
      <c r="V78" s="68" t="n">
        <f aca="false">V77*'Assumption Setting'!$C$59*'Assumption Setting'!$D$59</f>
        <v>27.4380330578512</v>
      </c>
      <c r="W78" s="68" t="n">
        <f aca="false">W77*'Assumption Setting'!$C$59*'Assumption Setting'!$D$59</f>
        <v>27.4380330578512</v>
      </c>
      <c r="X78" s="68" t="n">
        <f aca="false">X77*'Assumption Setting'!$C$59*'Assumption Setting'!$D$59</f>
        <v>27.4380330578512</v>
      </c>
      <c r="Y78" s="68" t="n">
        <f aca="false">Y77*'Assumption Setting'!$C$59*'Assumption Setting'!$D$59</f>
        <v>27.4380330578512</v>
      </c>
      <c r="Z78" s="68" t="n">
        <f aca="false">Z77*'Assumption Setting'!$C$59*'Assumption Setting'!$D$59</f>
        <v>27.4380330578512</v>
      </c>
      <c r="AA78" s="68" t="n">
        <f aca="false">AA77*'Assumption Setting'!$C$59*'Assumption Setting'!$D$59</f>
        <v>27.4380330578512</v>
      </c>
      <c r="AB78" s="65" t="n">
        <f aca="false">SUM(AC78:AN78)</f>
        <v>550.062131930879</v>
      </c>
      <c r="AC78" s="68" t="n">
        <f aca="false">AC77*'Assumption Setting'!$C$59*'Assumption Setting'!$D$59</f>
        <v>45.8385109942399</v>
      </c>
      <c r="AD78" s="68" t="n">
        <f aca="false">AD77*'Assumption Setting'!$C$59*'Assumption Setting'!$D$59</f>
        <v>45.8385109942399</v>
      </c>
      <c r="AE78" s="68" t="n">
        <f aca="false">AE77*'Assumption Setting'!$C$59*'Assumption Setting'!$D$59</f>
        <v>45.8385109942399</v>
      </c>
      <c r="AF78" s="68" t="n">
        <f aca="false">AF77*'Assumption Setting'!$C$59*'Assumption Setting'!$D$59</f>
        <v>45.8385109942399</v>
      </c>
      <c r="AG78" s="68" t="n">
        <f aca="false">AG77*'Assumption Setting'!$C$59*'Assumption Setting'!$D$59</f>
        <v>45.8385109942399</v>
      </c>
      <c r="AH78" s="68" t="n">
        <f aca="false">AH77*'Assumption Setting'!$C$59*'Assumption Setting'!$D$59</f>
        <v>45.8385109942399</v>
      </c>
      <c r="AI78" s="68" t="n">
        <f aca="false">AI77*'Assumption Setting'!$C$59*'Assumption Setting'!$D$59</f>
        <v>45.8385109942399</v>
      </c>
      <c r="AJ78" s="68" t="n">
        <f aca="false">AJ77*'Assumption Setting'!$C$59*'Assumption Setting'!$D$59</f>
        <v>45.8385109942399</v>
      </c>
      <c r="AK78" s="68" t="n">
        <f aca="false">AK77*'Assumption Setting'!$C$59*'Assumption Setting'!$D$59</f>
        <v>45.8385109942399</v>
      </c>
      <c r="AL78" s="68" t="n">
        <f aca="false">AL77*'Assumption Setting'!$C$59*'Assumption Setting'!$D$59</f>
        <v>45.8385109942399</v>
      </c>
      <c r="AM78" s="68" t="n">
        <f aca="false">AM77*'Assumption Setting'!$C$59*'Assumption Setting'!$D$59</f>
        <v>45.8385109942399</v>
      </c>
      <c r="AN78" s="68" t="n">
        <f aca="false">AN77*'Assumption Setting'!$C$59*'Assumption Setting'!$D$59</f>
        <v>45.8385109942399</v>
      </c>
      <c r="AO78" s="65" t="n">
        <f aca="false">SUM(AP78:BA78)</f>
        <v>727.456706836965</v>
      </c>
      <c r="AP78" s="68" t="n">
        <f aca="false">AP77*'Assumption Setting'!$C$59*'Assumption Setting'!$D$59</f>
        <v>60.6213922364137</v>
      </c>
      <c r="AQ78" s="68" t="n">
        <f aca="false">AQ77*'Assumption Setting'!$C$59*'Assumption Setting'!$D$59</f>
        <v>60.6213922364137</v>
      </c>
      <c r="AR78" s="68" t="n">
        <f aca="false">AR77*'Assumption Setting'!$C$59*'Assumption Setting'!$D$59</f>
        <v>60.6213922364137</v>
      </c>
      <c r="AS78" s="68" t="n">
        <f aca="false">AS77*'Assumption Setting'!$C$59*'Assumption Setting'!$D$59</f>
        <v>60.6213922364137</v>
      </c>
      <c r="AT78" s="68" t="n">
        <f aca="false">AT77*'Assumption Setting'!$C$59*'Assumption Setting'!$D$59</f>
        <v>60.6213922364137</v>
      </c>
      <c r="AU78" s="68" t="n">
        <f aca="false">AU77*'Assumption Setting'!$C$59*'Assumption Setting'!$D$59</f>
        <v>60.6213922364137</v>
      </c>
      <c r="AV78" s="68" t="n">
        <f aca="false">AV77*'Assumption Setting'!$C$59*'Assumption Setting'!$D$59</f>
        <v>60.6213922364137</v>
      </c>
      <c r="AW78" s="68" t="n">
        <f aca="false">AW77*'Assumption Setting'!$C$59*'Assumption Setting'!$D$59</f>
        <v>60.6213922364137</v>
      </c>
      <c r="AX78" s="68" t="n">
        <f aca="false">AX77*'Assumption Setting'!$C$59*'Assumption Setting'!$D$59</f>
        <v>60.6213922364137</v>
      </c>
      <c r="AY78" s="68" t="n">
        <f aca="false">AY77*'Assumption Setting'!$C$59*'Assumption Setting'!$D$59</f>
        <v>60.6213922364137</v>
      </c>
      <c r="AZ78" s="68" t="n">
        <f aca="false">AZ77*'Assumption Setting'!$C$59*'Assumption Setting'!$D$59</f>
        <v>60.6213922364137</v>
      </c>
      <c r="BA78" s="68" t="n">
        <f aca="false">BA77*'Assumption Setting'!$C$59*'Assumption Setting'!$D$59</f>
        <v>60.6213922364137</v>
      </c>
      <c r="BB78" s="65" t="n">
        <f aca="false">SUM(BC78:BN78)</f>
        <v>889.042311238055</v>
      </c>
      <c r="BC78" s="68" t="n">
        <f aca="false">BC77*'Assumption Setting'!$C$59*'Assumption Setting'!$D$59</f>
        <v>74.0868592698379</v>
      </c>
      <c r="BD78" s="68" t="n">
        <f aca="false">BD77*'Assumption Setting'!$C$59*'Assumption Setting'!$D$59</f>
        <v>74.0868592698379</v>
      </c>
      <c r="BE78" s="68" t="n">
        <f aca="false">BE77*'Assumption Setting'!$C$59*'Assumption Setting'!$D$59</f>
        <v>74.0868592698379</v>
      </c>
      <c r="BF78" s="68" t="n">
        <f aca="false">BF77*'Assumption Setting'!$C$59*'Assumption Setting'!$D$59</f>
        <v>74.0868592698379</v>
      </c>
      <c r="BG78" s="68" t="n">
        <f aca="false">BG77*'Assumption Setting'!$C$59*'Assumption Setting'!$D$59</f>
        <v>74.0868592698379</v>
      </c>
      <c r="BH78" s="68" t="n">
        <f aca="false">BH77*'Assumption Setting'!$C$59*'Assumption Setting'!$D$59</f>
        <v>74.0868592698379</v>
      </c>
      <c r="BI78" s="68" t="n">
        <f aca="false">BI77*'Assumption Setting'!$C$59*'Assumption Setting'!$D$59</f>
        <v>74.0868592698379</v>
      </c>
      <c r="BJ78" s="68" t="n">
        <f aca="false">BJ77*'Assumption Setting'!$C$59*'Assumption Setting'!$D$59</f>
        <v>74.0868592698379</v>
      </c>
      <c r="BK78" s="68" t="n">
        <f aca="false">BK77*'Assumption Setting'!$C$59*'Assumption Setting'!$D$59</f>
        <v>74.0868592698379</v>
      </c>
      <c r="BL78" s="68" t="n">
        <f aca="false">BL77*'Assumption Setting'!$C$59*'Assumption Setting'!$D$59</f>
        <v>74.0868592698379</v>
      </c>
      <c r="BM78" s="68" t="n">
        <f aca="false">BM77*'Assumption Setting'!$C$59*'Assumption Setting'!$D$59</f>
        <v>74.0868592698379</v>
      </c>
      <c r="BN78" s="68" t="n">
        <f aca="false">BN77*'Assumption Setting'!$C$59*'Assumption Setting'!$D$59</f>
        <v>74.0868592698379</v>
      </c>
    </row>
    <row r="79" customFormat="false" ht="15" hidden="false" customHeight="false" outlineLevel="0" collapsed="false">
      <c r="A79" s="4" t="s">
        <v>692</v>
      </c>
      <c r="B79" s="65" t="n">
        <f aca="false">SUM(C79:N79)</f>
        <v>100.459546778182</v>
      </c>
      <c r="C79" s="68" t="n">
        <f aca="false">C77*'Assumption Setting'!$C$60*'Assumption Setting'!$D$60</f>
        <v>8.37162889818182</v>
      </c>
      <c r="D79" s="68" t="n">
        <f aca="false">D77*'Assumption Setting'!$C$60*'Assumption Setting'!$D$60</f>
        <v>8.37162889818182</v>
      </c>
      <c r="E79" s="68" t="n">
        <f aca="false">E77*'Assumption Setting'!$C$60*'Assumption Setting'!$D$60</f>
        <v>8.37162889818182</v>
      </c>
      <c r="F79" s="68" t="n">
        <f aca="false">F77*'Assumption Setting'!$C$60*'Assumption Setting'!$D$60</f>
        <v>8.37162889818182</v>
      </c>
      <c r="G79" s="68" t="n">
        <f aca="false">G77*'Assumption Setting'!$C$60*'Assumption Setting'!$D$60</f>
        <v>8.37162889818182</v>
      </c>
      <c r="H79" s="68" t="n">
        <f aca="false">H77*'Assumption Setting'!$C$60*'Assumption Setting'!$D$60</f>
        <v>8.37162889818182</v>
      </c>
      <c r="I79" s="68" t="n">
        <f aca="false">I77*'Assumption Setting'!$C$60*'Assumption Setting'!$D$60</f>
        <v>8.37162889818182</v>
      </c>
      <c r="J79" s="68" t="n">
        <f aca="false">J77*'Assumption Setting'!$C$60*'Assumption Setting'!$D$60</f>
        <v>8.37162889818182</v>
      </c>
      <c r="K79" s="68" t="n">
        <f aca="false">K77*'Assumption Setting'!$C$60*'Assumption Setting'!$D$60</f>
        <v>8.37162889818182</v>
      </c>
      <c r="L79" s="68" t="n">
        <f aca="false">L77*'Assumption Setting'!$C$60*'Assumption Setting'!$D$60</f>
        <v>8.37162889818182</v>
      </c>
      <c r="M79" s="68" t="n">
        <f aca="false">M77*'Assumption Setting'!$C$60*'Assumption Setting'!$D$60</f>
        <v>8.37162889818182</v>
      </c>
      <c r="N79" s="68" t="n">
        <f aca="false">N77*'Assumption Setting'!$C$60*'Assumption Setting'!$D$60</f>
        <v>8.37162889818182</v>
      </c>
      <c r="O79" s="65" t="n">
        <f aca="false">SUM(P79:AA79)</f>
        <v>218.955503801653</v>
      </c>
      <c r="P79" s="68" t="n">
        <f aca="false">P77*'Assumption Setting'!$C$60*'Assumption Setting'!$D$60</f>
        <v>18.2462919834711</v>
      </c>
      <c r="Q79" s="68" t="n">
        <f aca="false">Q77*'Assumption Setting'!$C$60*'Assumption Setting'!$D$60</f>
        <v>18.2462919834711</v>
      </c>
      <c r="R79" s="68" t="n">
        <f aca="false">R77*'Assumption Setting'!$C$60*'Assumption Setting'!$D$60</f>
        <v>18.2462919834711</v>
      </c>
      <c r="S79" s="68" t="n">
        <f aca="false">S77*'Assumption Setting'!$C$60*'Assumption Setting'!$D$60</f>
        <v>18.2462919834711</v>
      </c>
      <c r="T79" s="68" t="n">
        <f aca="false">T77*'Assumption Setting'!$C$60*'Assumption Setting'!$D$60</f>
        <v>18.2462919834711</v>
      </c>
      <c r="U79" s="68" t="n">
        <f aca="false">U77*'Assumption Setting'!$C$60*'Assumption Setting'!$D$60</f>
        <v>18.2462919834711</v>
      </c>
      <c r="V79" s="68" t="n">
        <f aca="false">V77*'Assumption Setting'!$C$60*'Assumption Setting'!$D$60</f>
        <v>18.2462919834711</v>
      </c>
      <c r="W79" s="68" t="n">
        <f aca="false">W77*'Assumption Setting'!$C$60*'Assumption Setting'!$D$60</f>
        <v>18.2462919834711</v>
      </c>
      <c r="X79" s="68" t="n">
        <f aca="false">X77*'Assumption Setting'!$C$60*'Assumption Setting'!$D$60</f>
        <v>18.2462919834711</v>
      </c>
      <c r="Y79" s="68" t="n">
        <f aca="false">Y77*'Assumption Setting'!$C$60*'Assumption Setting'!$D$60</f>
        <v>18.2462919834711</v>
      </c>
      <c r="Z79" s="68" t="n">
        <f aca="false">Z77*'Assumption Setting'!$C$60*'Assumption Setting'!$D$60</f>
        <v>18.2462919834711</v>
      </c>
      <c r="AA79" s="68" t="n">
        <f aca="false">AA77*'Assumption Setting'!$C$60*'Assumption Setting'!$D$60</f>
        <v>18.2462919834711</v>
      </c>
      <c r="AB79" s="65" t="n">
        <f aca="false">SUM(AC79:AN79)</f>
        <v>365.791317734035</v>
      </c>
      <c r="AC79" s="68" t="n">
        <f aca="false">AC77*'Assumption Setting'!$C$60*'Assumption Setting'!$D$60</f>
        <v>30.4826098111695</v>
      </c>
      <c r="AD79" s="68" t="n">
        <f aca="false">AD77*'Assumption Setting'!$C$60*'Assumption Setting'!$D$60</f>
        <v>30.4826098111695</v>
      </c>
      <c r="AE79" s="68" t="n">
        <f aca="false">AE77*'Assumption Setting'!$C$60*'Assumption Setting'!$D$60</f>
        <v>30.4826098111695</v>
      </c>
      <c r="AF79" s="68" t="n">
        <f aca="false">AF77*'Assumption Setting'!$C$60*'Assumption Setting'!$D$60</f>
        <v>30.4826098111695</v>
      </c>
      <c r="AG79" s="68" t="n">
        <f aca="false">AG77*'Assumption Setting'!$C$60*'Assumption Setting'!$D$60</f>
        <v>30.4826098111695</v>
      </c>
      <c r="AH79" s="68" t="n">
        <f aca="false">AH77*'Assumption Setting'!$C$60*'Assumption Setting'!$D$60</f>
        <v>30.4826098111695</v>
      </c>
      <c r="AI79" s="68" t="n">
        <f aca="false">AI77*'Assumption Setting'!$C$60*'Assumption Setting'!$D$60</f>
        <v>30.4826098111695</v>
      </c>
      <c r="AJ79" s="68" t="n">
        <f aca="false">AJ77*'Assumption Setting'!$C$60*'Assumption Setting'!$D$60</f>
        <v>30.4826098111695</v>
      </c>
      <c r="AK79" s="68" t="n">
        <f aca="false">AK77*'Assumption Setting'!$C$60*'Assumption Setting'!$D$60</f>
        <v>30.4826098111695</v>
      </c>
      <c r="AL79" s="68" t="n">
        <f aca="false">AL77*'Assumption Setting'!$C$60*'Assumption Setting'!$D$60</f>
        <v>30.4826098111695</v>
      </c>
      <c r="AM79" s="68" t="n">
        <f aca="false">AM77*'Assumption Setting'!$C$60*'Assumption Setting'!$D$60</f>
        <v>30.4826098111695</v>
      </c>
      <c r="AN79" s="68" t="n">
        <f aca="false">AN77*'Assumption Setting'!$C$60*'Assumption Setting'!$D$60</f>
        <v>30.4826098111695</v>
      </c>
      <c r="AO79" s="65" t="n">
        <f aca="false">SUM(AP79:BA79)</f>
        <v>483.758710046582</v>
      </c>
      <c r="AP79" s="68" t="n">
        <f aca="false">AP77*'Assumption Setting'!$C$60*'Assumption Setting'!$D$60</f>
        <v>40.3132258372151</v>
      </c>
      <c r="AQ79" s="68" t="n">
        <f aca="false">AQ77*'Assumption Setting'!$C$60*'Assumption Setting'!$D$60</f>
        <v>40.3132258372151</v>
      </c>
      <c r="AR79" s="68" t="n">
        <f aca="false">AR77*'Assumption Setting'!$C$60*'Assumption Setting'!$D$60</f>
        <v>40.3132258372151</v>
      </c>
      <c r="AS79" s="68" t="n">
        <f aca="false">AS77*'Assumption Setting'!$C$60*'Assumption Setting'!$D$60</f>
        <v>40.3132258372151</v>
      </c>
      <c r="AT79" s="68" t="n">
        <f aca="false">AT77*'Assumption Setting'!$C$60*'Assumption Setting'!$D$60</f>
        <v>40.3132258372151</v>
      </c>
      <c r="AU79" s="68" t="n">
        <f aca="false">AU77*'Assumption Setting'!$C$60*'Assumption Setting'!$D$60</f>
        <v>40.3132258372151</v>
      </c>
      <c r="AV79" s="68" t="n">
        <f aca="false">AV77*'Assumption Setting'!$C$60*'Assumption Setting'!$D$60</f>
        <v>40.3132258372151</v>
      </c>
      <c r="AW79" s="68" t="n">
        <f aca="false">AW77*'Assumption Setting'!$C$60*'Assumption Setting'!$D$60</f>
        <v>40.3132258372151</v>
      </c>
      <c r="AX79" s="68" t="n">
        <f aca="false">AX77*'Assumption Setting'!$C$60*'Assumption Setting'!$D$60</f>
        <v>40.3132258372151</v>
      </c>
      <c r="AY79" s="68" t="n">
        <f aca="false">AY77*'Assumption Setting'!$C$60*'Assumption Setting'!$D$60</f>
        <v>40.3132258372151</v>
      </c>
      <c r="AZ79" s="68" t="n">
        <f aca="false">AZ77*'Assumption Setting'!$C$60*'Assumption Setting'!$D$60</f>
        <v>40.3132258372151</v>
      </c>
      <c r="BA79" s="68" t="n">
        <f aca="false">BA77*'Assumption Setting'!$C$60*'Assumption Setting'!$D$60</f>
        <v>40.3132258372151</v>
      </c>
      <c r="BB79" s="65" t="n">
        <f aca="false">SUM(BC79:BN79)</f>
        <v>591.213136973307</v>
      </c>
      <c r="BC79" s="68" t="n">
        <f aca="false">BC77*'Assumption Setting'!$C$60*'Assumption Setting'!$D$60</f>
        <v>49.2677614144422</v>
      </c>
      <c r="BD79" s="68" t="n">
        <f aca="false">BD77*'Assumption Setting'!$C$60*'Assumption Setting'!$D$60</f>
        <v>49.2677614144422</v>
      </c>
      <c r="BE79" s="68" t="n">
        <f aca="false">BE77*'Assumption Setting'!$C$60*'Assumption Setting'!$D$60</f>
        <v>49.2677614144422</v>
      </c>
      <c r="BF79" s="68" t="n">
        <f aca="false">BF77*'Assumption Setting'!$C$60*'Assumption Setting'!$D$60</f>
        <v>49.2677614144422</v>
      </c>
      <c r="BG79" s="68" t="n">
        <f aca="false">BG77*'Assumption Setting'!$C$60*'Assumption Setting'!$D$60</f>
        <v>49.2677614144422</v>
      </c>
      <c r="BH79" s="68" t="n">
        <f aca="false">BH77*'Assumption Setting'!$C$60*'Assumption Setting'!$D$60</f>
        <v>49.2677614144422</v>
      </c>
      <c r="BI79" s="68" t="n">
        <f aca="false">BI77*'Assumption Setting'!$C$60*'Assumption Setting'!$D$60</f>
        <v>49.2677614144422</v>
      </c>
      <c r="BJ79" s="68" t="n">
        <f aca="false">BJ77*'Assumption Setting'!$C$60*'Assumption Setting'!$D$60</f>
        <v>49.2677614144422</v>
      </c>
      <c r="BK79" s="68" t="n">
        <f aca="false">BK77*'Assumption Setting'!$C$60*'Assumption Setting'!$D$60</f>
        <v>49.2677614144422</v>
      </c>
      <c r="BL79" s="68" t="n">
        <f aca="false">BL77*'Assumption Setting'!$C$60*'Assumption Setting'!$D$60</f>
        <v>49.2677614144422</v>
      </c>
      <c r="BM79" s="68" t="n">
        <f aca="false">BM77*'Assumption Setting'!$C$60*'Assumption Setting'!$D$60</f>
        <v>49.2677614144422</v>
      </c>
      <c r="BN79" s="68" t="n">
        <f aca="false">BN77*'Assumption Setting'!$C$60*'Assumption Setting'!$D$60</f>
        <v>49.2677614144422</v>
      </c>
    </row>
    <row r="80" customFormat="false" ht="15" hidden="false" customHeight="false" outlineLevel="0" collapsed="false">
      <c r="A80" s="4" t="s">
        <v>693</v>
      </c>
      <c r="B80" s="65" t="n">
        <f aca="false">SUM(C80:N80)</f>
        <v>20.3940433309091</v>
      </c>
      <c r="C80" s="68" t="n">
        <f aca="false">C77*'Assumption Setting'!$C$61*'Assumption Setting'!$D$61</f>
        <v>1.69950361090909</v>
      </c>
      <c r="D80" s="68" t="n">
        <f aca="false">D77*'Assumption Setting'!$C$61*'Assumption Setting'!$D$61</f>
        <v>1.69950361090909</v>
      </c>
      <c r="E80" s="68" t="n">
        <f aca="false">E77*'Assumption Setting'!$C$61*'Assumption Setting'!$D$61</f>
        <v>1.69950361090909</v>
      </c>
      <c r="F80" s="68" t="n">
        <f aca="false">F77*'Assumption Setting'!$C$61*'Assumption Setting'!$D$61</f>
        <v>1.69950361090909</v>
      </c>
      <c r="G80" s="68" t="n">
        <f aca="false">G77*'Assumption Setting'!$C$61*'Assumption Setting'!$D$61</f>
        <v>1.69950361090909</v>
      </c>
      <c r="H80" s="68" t="n">
        <f aca="false">H77*'Assumption Setting'!$C$61*'Assumption Setting'!$D$61</f>
        <v>1.69950361090909</v>
      </c>
      <c r="I80" s="68" t="n">
        <f aca="false">I77*'Assumption Setting'!$C$61*'Assumption Setting'!$D$61</f>
        <v>1.69950361090909</v>
      </c>
      <c r="J80" s="68" t="n">
        <f aca="false">J77*'Assumption Setting'!$C$61*'Assumption Setting'!$D$61</f>
        <v>1.69950361090909</v>
      </c>
      <c r="K80" s="68" t="n">
        <f aca="false">K77*'Assumption Setting'!$C$61*'Assumption Setting'!$D$61</f>
        <v>1.69950361090909</v>
      </c>
      <c r="L80" s="68" t="n">
        <f aca="false">L77*'Assumption Setting'!$C$61*'Assumption Setting'!$D$61</f>
        <v>1.69950361090909</v>
      </c>
      <c r="M80" s="68" t="n">
        <f aca="false">M77*'Assumption Setting'!$C$61*'Assumption Setting'!$D$61</f>
        <v>1.69950361090909</v>
      </c>
      <c r="N80" s="68" t="n">
        <f aca="false">N77*'Assumption Setting'!$C$61*'Assumption Setting'!$D$61</f>
        <v>1.69950361090909</v>
      </c>
      <c r="O80" s="65" t="n">
        <f aca="false">SUM(P80:AA80)</f>
        <v>44.449613553719</v>
      </c>
      <c r="P80" s="68" t="n">
        <f aca="false">P77*'Assumption Setting'!$C$61*'Assumption Setting'!$D$61</f>
        <v>3.70413446280992</v>
      </c>
      <c r="Q80" s="68" t="n">
        <f aca="false">Q77*'Assumption Setting'!$C$61*'Assumption Setting'!$D$61</f>
        <v>3.70413446280992</v>
      </c>
      <c r="R80" s="68" t="n">
        <f aca="false">R77*'Assumption Setting'!$C$61*'Assumption Setting'!$D$61</f>
        <v>3.70413446280992</v>
      </c>
      <c r="S80" s="68" t="n">
        <f aca="false">S77*'Assumption Setting'!$C$61*'Assumption Setting'!$D$61</f>
        <v>3.70413446280992</v>
      </c>
      <c r="T80" s="68" t="n">
        <f aca="false">T77*'Assumption Setting'!$C$61*'Assumption Setting'!$D$61</f>
        <v>3.70413446280992</v>
      </c>
      <c r="U80" s="68" t="n">
        <f aca="false">U77*'Assumption Setting'!$C$61*'Assumption Setting'!$D$61</f>
        <v>3.70413446280992</v>
      </c>
      <c r="V80" s="68" t="n">
        <f aca="false">V77*'Assumption Setting'!$C$61*'Assumption Setting'!$D$61</f>
        <v>3.70413446280992</v>
      </c>
      <c r="W80" s="68" t="n">
        <f aca="false">W77*'Assumption Setting'!$C$61*'Assumption Setting'!$D$61</f>
        <v>3.70413446280992</v>
      </c>
      <c r="X80" s="68" t="n">
        <f aca="false">X77*'Assumption Setting'!$C$61*'Assumption Setting'!$D$61</f>
        <v>3.70413446280992</v>
      </c>
      <c r="Y80" s="68" t="n">
        <f aca="false">Y77*'Assumption Setting'!$C$61*'Assumption Setting'!$D$61</f>
        <v>3.70413446280992</v>
      </c>
      <c r="Z80" s="68" t="n">
        <f aca="false">Z77*'Assumption Setting'!$C$61*'Assumption Setting'!$D$61</f>
        <v>3.70413446280992</v>
      </c>
      <c r="AA80" s="68" t="n">
        <f aca="false">AA77*'Assumption Setting'!$C$61*'Assumption Setting'!$D$61</f>
        <v>3.70413446280992</v>
      </c>
      <c r="AB80" s="65" t="n">
        <f aca="false">SUM(AC80:AN80)</f>
        <v>74.2583878106687</v>
      </c>
      <c r="AC80" s="68" t="n">
        <f aca="false">AC77*'Assumption Setting'!$C$61*'Assumption Setting'!$D$61</f>
        <v>6.18819898422239</v>
      </c>
      <c r="AD80" s="68" t="n">
        <f aca="false">AD77*'Assumption Setting'!$C$61*'Assumption Setting'!$D$61</f>
        <v>6.18819898422239</v>
      </c>
      <c r="AE80" s="68" t="n">
        <f aca="false">AE77*'Assumption Setting'!$C$61*'Assumption Setting'!$D$61</f>
        <v>6.18819898422239</v>
      </c>
      <c r="AF80" s="68" t="n">
        <f aca="false">AF77*'Assumption Setting'!$C$61*'Assumption Setting'!$D$61</f>
        <v>6.18819898422239</v>
      </c>
      <c r="AG80" s="68" t="n">
        <f aca="false">AG77*'Assumption Setting'!$C$61*'Assumption Setting'!$D$61</f>
        <v>6.18819898422239</v>
      </c>
      <c r="AH80" s="68" t="n">
        <f aca="false">AH77*'Assumption Setting'!$C$61*'Assumption Setting'!$D$61</f>
        <v>6.18819898422239</v>
      </c>
      <c r="AI80" s="68" t="n">
        <f aca="false">AI77*'Assumption Setting'!$C$61*'Assumption Setting'!$D$61</f>
        <v>6.18819898422239</v>
      </c>
      <c r="AJ80" s="68" t="n">
        <f aca="false">AJ77*'Assumption Setting'!$C$61*'Assumption Setting'!$D$61</f>
        <v>6.18819898422239</v>
      </c>
      <c r="AK80" s="68" t="n">
        <f aca="false">AK77*'Assumption Setting'!$C$61*'Assumption Setting'!$D$61</f>
        <v>6.18819898422239</v>
      </c>
      <c r="AL80" s="68" t="n">
        <f aca="false">AL77*'Assumption Setting'!$C$61*'Assumption Setting'!$D$61</f>
        <v>6.18819898422239</v>
      </c>
      <c r="AM80" s="68" t="n">
        <f aca="false">AM77*'Assumption Setting'!$C$61*'Assumption Setting'!$D$61</f>
        <v>6.18819898422239</v>
      </c>
      <c r="AN80" s="68" t="n">
        <f aca="false">AN77*'Assumption Setting'!$C$61*'Assumption Setting'!$D$61</f>
        <v>6.18819898422239</v>
      </c>
      <c r="AO80" s="65" t="n">
        <f aca="false">SUM(AP80:BA80)</f>
        <v>98.2066554229902</v>
      </c>
      <c r="AP80" s="68" t="n">
        <f aca="false">AP77*'Assumption Setting'!$C$61*'Assumption Setting'!$D$61</f>
        <v>8.18388795191585</v>
      </c>
      <c r="AQ80" s="68" t="n">
        <f aca="false">AQ77*'Assumption Setting'!$C$61*'Assumption Setting'!$D$61</f>
        <v>8.18388795191585</v>
      </c>
      <c r="AR80" s="68" t="n">
        <f aca="false">AR77*'Assumption Setting'!$C$61*'Assumption Setting'!$D$61</f>
        <v>8.18388795191585</v>
      </c>
      <c r="AS80" s="68" t="n">
        <f aca="false">AS77*'Assumption Setting'!$C$61*'Assumption Setting'!$D$61</f>
        <v>8.18388795191585</v>
      </c>
      <c r="AT80" s="68" t="n">
        <f aca="false">AT77*'Assumption Setting'!$C$61*'Assumption Setting'!$D$61</f>
        <v>8.18388795191585</v>
      </c>
      <c r="AU80" s="68" t="n">
        <f aca="false">AU77*'Assumption Setting'!$C$61*'Assumption Setting'!$D$61</f>
        <v>8.18388795191585</v>
      </c>
      <c r="AV80" s="68" t="n">
        <f aca="false">AV77*'Assumption Setting'!$C$61*'Assumption Setting'!$D$61</f>
        <v>8.18388795191585</v>
      </c>
      <c r="AW80" s="68" t="n">
        <f aca="false">AW77*'Assumption Setting'!$C$61*'Assumption Setting'!$D$61</f>
        <v>8.18388795191585</v>
      </c>
      <c r="AX80" s="68" t="n">
        <f aca="false">AX77*'Assumption Setting'!$C$61*'Assumption Setting'!$D$61</f>
        <v>8.18388795191585</v>
      </c>
      <c r="AY80" s="68" t="n">
        <f aca="false">AY77*'Assumption Setting'!$C$61*'Assumption Setting'!$D$61</f>
        <v>8.18388795191585</v>
      </c>
      <c r="AZ80" s="68" t="n">
        <f aca="false">AZ77*'Assumption Setting'!$C$61*'Assumption Setting'!$D$61</f>
        <v>8.18388795191585</v>
      </c>
      <c r="BA80" s="68" t="n">
        <f aca="false">BA77*'Assumption Setting'!$C$61*'Assumption Setting'!$D$61</f>
        <v>8.18388795191585</v>
      </c>
      <c r="BB80" s="65" t="n">
        <f aca="false">SUM(BC80:BN80)</f>
        <v>120.020712017137</v>
      </c>
      <c r="BC80" s="68" t="n">
        <f aca="false">BC77*'Assumption Setting'!$C$61*'Assumption Setting'!$D$61</f>
        <v>10.0017260014281</v>
      </c>
      <c r="BD80" s="68" t="n">
        <f aca="false">BD77*'Assumption Setting'!$C$61*'Assumption Setting'!$D$61</f>
        <v>10.0017260014281</v>
      </c>
      <c r="BE80" s="68" t="n">
        <f aca="false">BE77*'Assumption Setting'!$C$61*'Assumption Setting'!$D$61</f>
        <v>10.0017260014281</v>
      </c>
      <c r="BF80" s="68" t="n">
        <f aca="false">BF77*'Assumption Setting'!$C$61*'Assumption Setting'!$D$61</f>
        <v>10.0017260014281</v>
      </c>
      <c r="BG80" s="68" t="n">
        <f aca="false">BG77*'Assumption Setting'!$C$61*'Assumption Setting'!$D$61</f>
        <v>10.0017260014281</v>
      </c>
      <c r="BH80" s="68" t="n">
        <f aca="false">BH77*'Assumption Setting'!$C$61*'Assumption Setting'!$D$61</f>
        <v>10.0017260014281</v>
      </c>
      <c r="BI80" s="68" t="n">
        <f aca="false">BI77*'Assumption Setting'!$C$61*'Assumption Setting'!$D$61</f>
        <v>10.0017260014281</v>
      </c>
      <c r="BJ80" s="68" t="n">
        <f aca="false">BJ77*'Assumption Setting'!$C$61*'Assumption Setting'!$D$61</f>
        <v>10.0017260014281</v>
      </c>
      <c r="BK80" s="68" t="n">
        <f aca="false">BK77*'Assumption Setting'!$C$61*'Assumption Setting'!$D$61</f>
        <v>10.0017260014281</v>
      </c>
      <c r="BL80" s="68" t="n">
        <f aca="false">BL77*'Assumption Setting'!$C$61*'Assumption Setting'!$D$61</f>
        <v>10.0017260014281</v>
      </c>
      <c r="BM80" s="68" t="n">
        <f aca="false">BM77*'Assumption Setting'!$C$61*'Assumption Setting'!$D$61</f>
        <v>10.0017260014281</v>
      </c>
      <c r="BN80" s="68" t="n">
        <f aca="false">BN77*'Assumption Setting'!$C$61*'Assumption Setting'!$D$61</f>
        <v>10.0017260014281</v>
      </c>
    </row>
    <row r="81" customFormat="false" ht="15" hidden="false" customHeight="false" outlineLevel="0" collapsed="false">
      <c r="A81" s="13" t="s">
        <v>694</v>
      </c>
      <c r="B81" s="65" t="n">
        <f aca="false">SUM(C81:N81)</f>
        <v>271.920577745455</v>
      </c>
      <c r="C81" s="83" t="n">
        <f aca="false">SUM(C78:C80)</f>
        <v>22.6600481454545</v>
      </c>
      <c r="D81" s="83" t="n">
        <f aca="false">SUM(D78:D80)</f>
        <v>22.6600481454545</v>
      </c>
      <c r="E81" s="83" t="n">
        <f aca="false">SUM(E78:E80)</f>
        <v>22.6600481454545</v>
      </c>
      <c r="F81" s="83" t="n">
        <f aca="false">SUM(F78:F80)</f>
        <v>22.6600481454545</v>
      </c>
      <c r="G81" s="83" t="n">
        <f aca="false">SUM(G78:G80)</f>
        <v>22.6600481454545</v>
      </c>
      <c r="H81" s="83" t="n">
        <f aca="false">SUM(H78:H80)</f>
        <v>22.6600481454545</v>
      </c>
      <c r="I81" s="83" t="n">
        <f aca="false">SUM(I78:I80)</f>
        <v>22.6600481454545</v>
      </c>
      <c r="J81" s="83" t="n">
        <f aca="false">SUM(J78:J80)</f>
        <v>22.6600481454545</v>
      </c>
      <c r="K81" s="83" t="n">
        <f aca="false">SUM(K78:K80)</f>
        <v>22.6600481454545</v>
      </c>
      <c r="L81" s="83" t="n">
        <f aca="false">SUM(L78:L80)</f>
        <v>22.6600481454545</v>
      </c>
      <c r="M81" s="83" t="n">
        <f aca="false">SUM(M78:M80)</f>
        <v>22.6600481454545</v>
      </c>
      <c r="N81" s="83" t="n">
        <f aca="false">SUM(N78:N80)</f>
        <v>22.6600481454545</v>
      </c>
      <c r="O81" s="65" t="n">
        <f aca="false">SUM(P81:AA81)</f>
        <v>592.661514049587</v>
      </c>
      <c r="P81" s="83" t="n">
        <f aca="false">SUM(P78:P80)</f>
        <v>49.3884595041322</v>
      </c>
      <c r="Q81" s="83" t="n">
        <f aca="false">SUM(Q78:Q80)</f>
        <v>49.3884595041322</v>
      </c>
      <c r="R81" s="83" t="n">
        <f aca="false">SUM(R78:R80)</f>
        <v>49.3884595041322</v>
      </c>
      <c r="S81" s="83" t="n">
        <f aca="false">SUM(S78:S80)</f>
        <v>49.3884595041322</v>
      </c>
      <c r="T81" s="83" t="n">
        <f aca="false">SUM(T78:T80)</f>
        <v>49.3884595041322</v>
      </c>
      <c r="U81" s="83" t="n">
        <f aca="false">SUM(U78:U80)</f>
        <v>49.3884595041322</v>
      </c>
      <c r="V81" s="83" t="n">
        <f aca="false">SUM(V78:V80)</f>
        <v>49.3884595041322</v>
      </c>
      <c r="W81" s="83" t="n">
        <f aca="false">SUM(W78:W80)</f>
        <v>49.3884595041322</v>
      </c>
      <c r="X81" s="83" t="n">
        <f aca="false">SUM(X78:X80)</f>
        <v>49.3884595041322</v>
      </c>
      <c r="Y81" s="83" t="n">
        <f aca="false">SUM(Y78:Y80)</f>
        <v>49.3884595041322</v>
      </c>
      <c r="Z81" s="83" t="n">
        <f aca="false">SUM(Z78:Z80)</f>
        <v>49.3884595041322</v>
      </c>
      <c r="AA81" s="83" t="n">
        <f aca="false">SUM(AA78:AA80)</f>
        <v>49.3884595041322</v>
      </c>
      <c r="AB81" s="65" t="n">
        <f aca="false">SUM(AC81:AN81)</f>
        <v>990.111837475582</v>
      </c>
      <c r="AC81" s="83" t="n">
        <f aca="false">SUM(AC78:AC80)</f>
        <v>82.5093197896319</v>
      </c>
      <c r="AD81" s="83" t="n">
        <f aca="false">SUM(AD78:AD80)</f>
        <v>82.5093197896319</v>
      </c>
      <c r="AE81" s="83" t="n">
        <f aca="false">SUM(AE78:AE80)</f>
        <v>82.5093197896319</v>
      </c>
      <c r="AF81" s="83" t="n">
        <f aca="false">SUM(AF78:AF80)</f>
        <v>82.5093197896319</v>
      </c>
      <c r="AG81" s="83" t="n">
        <f aca="false">SUM(AG78:AG80)</f>
        <v>82.5093197896319</v>
      </c>
      <c r="AH81" s="83" t="n">
        <f aca="false">SUM(AH78:AH80)</f>
        <v>82.5093197896319</v>
      </c>
      <c r="AI81" s="83" t="n">
        <f aca="false">SUM(AI78:AI80)</f>
        <v>82.5093197896319</v>
      </c>
      <c r="AJ81" s="83" t="n">
        <f aca="false">SUM(AJ78:AJ80)</f>
        <v>82.5093197896319</v>
      </c>
      <c r="AK81" s="83" t="n">
        <f aca="false">SUM(AK78:AK80)</f>
        <v>82.5093197896319</v>
      </c>
      <c r="AL81" s="83" t="n">
        <f aca="false">SUM(AL78:AL80)</f>
        <v>82.5093197896319</v>
      </c>
      <c r="AM81" s="83" t="n">
        <f aca="false">SUM(AM78:AM80)</f>
        <v>82.5093197896319</v>
      </c>
      <c r="AN81" s="83" t="n">
        <f aca="false">SUM(AN78:AN80)</f>
        <v>82.5093197896319</v>
      </c>
      <c r="AO81" s="65" t="n">
        <f aca="false">SUM(AP81:BA81)</f>
        <v>1309.42207230654</v>
      </c>
      <c r="AP81" s="83" t="n">
        <f aca="false">SUM(AP78:AP80)</f>
        <v>109.118506025545</v>
      </c>
      <c r="AQ81" s="83" t="n">
        <f aca="false">SUM(AQ78:AQ80)</f>
        <v>109.118506025545</v>
      </c>
      <c r="AR81" s="83" t="n">
        <f aca="false">SUM(AR78:AR80)</f>
        <v>109.118506025545</v>
      </c>
      <c r="AS81" s="83" t="n">
        <f aca="false">SUM(AS78:AS80)</f>
        <v>109.118506025545</v>
      </c>
      <c r="AT81" s="83" t="n">
        <f aca="false">SUM(AT78:AT80)</f>
        <v>109.118506025545</v>
      </c>
      <c r="AU81" s="83" t="n">
        <f aca="false">SUM(AU78:AU80)</f>
        <v>109.118506025545</v>
      </c>
      <c r="AV81" s="83" t="n">
        <f aca="false">SUM(AV78:AV80)</f>
        <v>109.118506025545</v>
      </c>
      <c r="AW81" s="83" t="n">
        <f aca="false">SUM(AW78:AW80)</f>
        <v>109.118506025545</v>
      </c>
      <c r="AX81" s="83" t="n">
        <f aca="false">SUM(AX78:AX80)</f>
        <v>109.118506025545</v>
      </c>
      <c r="AY81" s="83" t="n">
        <f aca="false">SUM(AY78:AY80)</f>
        <v>109.118506025545</v>
      </c>
      <c r="AZ81" s="83" t="n">
        <f aca="false">SUM(AZ78:AZ80)</f>
        <v>109.118506025545</v>
      </c>
      <c r="BA81" s="83" t="n">
        <f aca="false">SUM(BA78:BA80)</f>
        <v>109.118506025545</v>
      </c>
      <c r="BB81" s="65" t="n">
        <f aca="false">SUM(BC81:BN81)</f>
        <v>1600.2761602285</v>
      </c>
      <c r="BC81" s="83" t="n">
        <f aca="false">SUM(BC78:BC80)</f>
        <v>133.356346685708</v>
      </c>
      <c r="BD81" s="83" t="n">
        <f aca="false">SUM(BD78:BD80)</f>
        <v>133.356346685708</v>
      </c>
      <c r="BE81" s="83" t="n">
        <f aca="false">SUM(BE78:BE80)</f>
        <v>133.356346685708</v>
      </c>
      <c r="BF81" s="83" t="n">
        <f aca="false">SUM(BF78:BF80)</f>
        <v>133.356346685708</v>
      </c>
      <c r="BG81" s="83" t="n">
        <f aca="false">SUM(BG78:BG80)</f>
        <v>133.356346685708</v>
      </c>
      <c r="BH81" s="83" t="n">
        <f aca="false">SUM(BH78:BH80)</f>
        <v>133.356346685708</v>
      </c>
      <c r="BI81" s="83" t="n">
        <f aca="false">SUM(BI78:BI80)</f>
        <v>133.356346685708</v>
      </c>
      <c r="BJ81" s="83" t="n">
        <f aca="false">SUM(BJ78:BJ80)</f>
        <v>133.356346685708</v>
      </c>
      <c r="BK81" s="83" t="n">
        <f aca="false">SUM(BK78:BK80)</f>
        <v>133.356346685708</v>
      </c>
      <c r="BL81" s="83" t="n">
        <f aca="false">SUM(BL78:BL80)</f>
        <v>133.356346685708</v>
      </c>
      <c r="BM81" s="83" t="n">
        <f aca="false">SUM(BM78:BM80)</f>
        <v>133.356346685708</v>
      </c>
      <c r="BN81" s="83" t="n">
        <f aca="false">SUM(BN78:BN80)</f>
        <v>133.356346685708</v>
      </c>
    </row>
    <row r="82" customFormat="false" ht="15" hidden="false" customHeight="false" outlineLevel="0" collapsed="false">
      <c r="A82" s="4" t="s">
        <v>695</v>
      </c>
      <c r="B82" s="65" t="n">
        <f aca="false">SUM(C82:N82)</f>
        <v>41.5434216</v>
      </c>
      <c r="C82" s="68" t="n">
        <f aca="false">SUMPRODUCT(($C$3:$BN$3=1-'Assumption Setting'!$F$59)*($C$78:$BN$78))*'Assumption Setting'!$E$59*'Assumption Setting'!$C$65</f>
        <v>0</v>
      </c>
      <c r="D82" s="68" t="n">
        <f aca="false">SUMPRODUCT(($C$3:$BN$3=2-'Assumption Setting'!$F$59)*($C$78:$BN$78))*'Assumption Setting'!$E$59*'Assumption Setting'!$C$65</f>
        <v>3.77667469090909</v>
      </c>
      <c r="E82" s="68" t="n">
        <f aca="false">SUMPRODUCT(($C$3:$BN$3=3-'Assumption Setting'!$F$59)*($C$78:$BN$78))*'Assumption Setting'!$E$59*'Assumption Setting'!$C$65</f>
        <v>3.77667469090909</v>
      </c>
      <c r="F82" s="68" t="n">
        <f aca="false">SUMPRODUCT(($C$3:$BN$3=4-'Assumption Setting'!$F$59)*($C$78:$BN$78))*'Assumption Setting'!$E$59*'Assumption Setting'!$C$65</f>
        <v>3.77667469090909</v>
      </c>
      <c r="G82" s="68" t="n">
        <f aca="false">SUMPRODUCT(($C$3:$BN$3=5-'Assumption Setting'!$F$59)*($C$78:$BN$78))*'Assumption Setting'!$E$59*'Assumption Setting'!$C$65</f>
        <v>3.77667469090909</v>
      </c>
      <c r="H82" s="68" t="n">
        <f aca="false">SUMPRODUCT(($C$3:$BN$3=6-'Assumption Setting'!$F$59)*($C$78:$BN$78))*'Assumption Setting'!$E$59*'Assumption Setting'!$C$65</f>
        <v>3.77667469090909</v>
      </c>
      <c r="I82" s="68" t="n">
        <f aca="false">SUMPRODUCT(($C$3:$BN$3=7-'Assumption Setting'!$F$59)*($C$78:$BN$78))*'Assumption Setting'!$E$59*'Assumption Setting'!$C$65</f>
        <v>3.77667469090909</v>
      </c>
      <c r="J82" s="68" t="n">
        <f aca="false">SUMPRODUCT(($C$3:$BN$3=8-'Assumption Setting'!$F$59)*($C$78:$BN$78))*'Assumption Setting'!$E$59*'Assumption Setting'!$C$65</f>
        <v>3.77667469090909</v>
      </c>
      <c r="K82" s="68" t="n">
        <f aca="false">SUMPRODUCT(($C$3:$BN$3=9-'Assumption Setting'!$F$59)*($C$78:$BN$78))*'Assumption Setting'!$E$59*'Assumption Setting'!$C$65</f>
        <v>3.77667469090909</v>
      </c>
      <c r="L82" s="68" t="n">
        <f aca="false">SUMPRODUCT(($C$3:$BN$3=10-'Assumption Setting'!$F$59)*($C$78:$BN$78))*'Assumption Setting'!$E$59*'Assumption Setting'!$C$65</f>
        <v>3.77667469090909</v>
      </c>
      <c r="M82" s="68" t="n">
        <f aca="false">SUMPRODUCT(($C$3:$BN$3=11-'Assumption Setting'!$F$59)*($C$78:$BN$78))*'Assumption Setting'!$E$59*'Assumption Setting'!$C$65</f>
        <v>3.77667469090909</v>
      </c>
      <c r="N82" s="68" t="n">
        <f aca="false">SUMPRODUCT(($C$3:$BN$3=12-'Assumption Setting'!$F$59)*($C$78:$BN$78))*'Assumption Setting'!$E$59*'Assumption Setting'!$C$65</f>
        <v>3.77667469090909</v>
      </c>
      <c r="O82" s="65" t="n">
        <f aca="false">SUM(P82:AA82)</f>
        <v>103.75440216</v>
      </c>
      <c r="P82" s="68" t="n">
        <f aca="false">SUMPRODUCT(($C$3:$BN$3=13-'Assumption Setting'!$F$59)*($C$78:$BN$78))*'Assumption Setting'!$E$59*'Assumption Setting'!$D$65</f>
        <v>4.15434216</v>
      </c>
      <c r="Q82" s="68" t="n">
        <f aca="false">SUMPRODUCT(($C$3:$BN$3=14-'Assumption Setting'!$F$59)*($C$78:$BN$78))*'Assumption Setting'!$E$59*'Assumption Setting'!$D$65</f>
        <v>9.05455090909091</v>
      </c>
      <c r="R82" s="68" t="n">
        <f aca="false">SUMPRODUCT(($C$3:$BN$3=15-'Assumption Setting'!$F$59)*($C$78:$BN$78))*'Assumption Setting'!$E$59*'Assumption Setting'!$D$65</f>
        <v>9.05455090909091</v>
      </c>
      <c r="S82" s="68" t="n">
        <f aca="false">SUMPRODUCT(($C$3:$BN$3=16-'Assumption Setting'!$F$59)*($C$78:$BN$78))*'Assumption Setting'!$E$59*'Assumption Setting'!$D$65</f>
        <v>9.05455090909091</v>
      </c>
      <c r="T82" s="68" t="n">
        <f aca="false">SUMPRODUCT(($C$3:$BN$3=17-'Assumption Setting'!$F$59)*($C$78:$BN$78))*'Assumption Setting'!$E$59*'Assumption Setting'!$D$65</f>
        <v>9.05455090909091</v>
      </c>
      <c r="U82" s="68" t="n">
        <f aca="false">SUMPRODUCT(($C$3:$BN$3=18-'Assumption Setting'!$F$59)*($C$78:$BN$78))*'Assumption Setting'!$E$59*'Assumption Setting'!$D$65</f>
        <v>9.05455090909091</v>
      </c>
      <c r="V82" s="68" t="n">
        <f aca="false">SUMPRODUCT(($C$3:$BN$3=19-'Assumption Setting'!$F$59)*($C$78:$BN$78))*'Assumption Setting'!$E$59*'Assumption Setting'!$D$65</f>
        <v>9.05455090909091</v>
      </c>
      <c r="W82" s="68" t="n">
        <f aca="false">SUMPRODUCT(($C$3:$BN$3=20-'Assumption Setting'!$F$59)*($C$78:$BN$78))*'Assumption Setting'!$E$59*'Assumption Setting'!$D$65</f>
        <v>9.05455090909091</v>
      </c>
      <c r="X82" s="68" t="n">
        <f aca="false">SUMPRODUCT(($C$3:$BN$3=21-'Assumption Setting'!$F$59)*($C$78:$BN$78))*'Assumption Setting'!$E$59*'Assumption Setting'!$D$65</f>
        <v>9.05455090909091</v>
      </c>
      <c r="Y82" s="68" t="n">
        <f aca="false">SUMPRODUCT(($C$3:$BN$3=22-'Assumption Setting'!$F$59)*($C$78:$BN$78))*'Assumption Setting'!$E$59*'Assumption Setting'!$D$65</f>
        <v>9.05455090909091</v>
      </c>
      <c r="Z82" s="68" t="n">
        <f aca="false">SUMPRODUCT(($C$3:$BN$3=23-'Assumption Setting'!$F$59)*($C$78:$BN$78))*'Assumption Setting'!$E$59*'Assumption Setting'!$D$65</f>
        <v>9.05455090909091</v>
      </c>
      <c r="AA82" s="68" t="n">
        <f aca="false">SUMPRODUCT(($C$3:$BN$3=24-'Assumption Setting'!$F$59)*($C$78:$BN$78))*'Assumption Setting'!$E$59*'Assumption Setting'!$D$65</f>
        <v>9.05455090909091</v>
      </c>
      <c r="AB82" s="65" t="n">
        <f aca="false">SUM(AC82:AN82)</f>
        <v>188.20822551405</v>
      </c>
      <c r="AC82" s="68" t="n">
        <f aca="false">SUMPRODUCT(($C$3:$BN$3=25-'Assumption Setting'!$F$59)*($C$78:$BN$78))*'Assumption Setting'!$E$59*'Assumption Setting'!$E$65</f>
        <v>9.71306370247934</v>
      </c>
      <c r="AD82" s="68" t="n">
        <f aca="false">SUMPRODUCT(($C$3:$BN$3=26-'Assumption Setting'!$F$59)*($C$78:$BN$78))*'Assumption Setting'!$E$59*'Assumption Setting'!$E$65</f>
        <v>16.2268328919609</v>
      </c>
      <c r="AE82" s="68" t="n">
        <f aca="false">SUMPRODUCT(($C$3:$BN$3=27-'Assumption Setting'!$F$59)*($C$78:$BN$78))*'Assumption Setting'!$E$59*'Assumption Setting'!$E$65</f>
        <v>16.2268328919609</v>
      </c>
      <c r="AF82" s="68" t="n">
        <f aca="false">SUMPRODUCT(($C$3:$BN$3=28-'Assumption Setting'!$F$59)*($C$78:$BN$78))*'Assumption Setting'!$E$59*'Assumption Setting'!$E$65</f>
        <v>16.2268328919609</v>
      </c>
      <c r="AG82" s="68" t="n">
        <f aca="false">SUMPRODUCT(($C$3:$BN$3=29-'Assumption Setting'!$F$59)*($C$78:$BN$78))*'Assumption Setting'!$E$59*'Assumption Setting'!$E$65</f>
        <v>16.2268328919609</v>
      </c>
      <c r="AH82" s="68" t="n">
        <f aca="false">SUMPRODUCT(($C$3:$BN$3=30-'Assumption Setting'!$F$59)*($C$78:$BN$78))*'Assumption Setting'!$E$59*'Assumption Setting'!$E$65</f>
        <v>16.2268328919609</v>
      </c>
      <c r="AI82" s="68" t="n">
        <f aca="false">SUMPRODUCT(($C$3:$BN$3=31-'Assumption Setting'!$F$59)*($C$78:$BN$78))*'Assumption Setting'!$E$59*'Assumption Setting'!$E$65</f>
        <v>16.2268328919609</v>
      </c>
      <c r="AJ82" s="68" t="n">
        <f aca="false">SUMPRODUCT(($C$3:$BN$3=32-'Assumption Setting'!$F$59)*($C$78:$BN$78))*'Assumption Setting'!$E$59*'Assumption Setting'!$E$65</f>
        <v>16.2268328919609</v>
      </c>
      <c r="AK82" s="68" t="n">
        <f aca="false">SUMPRODUCT(($C$3:$BN$3=33-'Assumption Setting'!$F$59)*($C$78:$BN$78))*'Assumption Setting'!$E$59*'Assumption Setting'!$E$65</f>
        <v>16.2268328919609</v>
      </c>
      <c r="AL82" s="68" t="n">
        <f aca="false">SUMPRODUCT(($C$3:$BN$3=34-'Assumption Setting'!$F$59)*($C$78:$BN$78))*'Assumption Setting'!$E$59*'Assumption Setting'!$E$65</f>
        <v>16.2268328919609</v>
      </c>
      <c r="AM82" s="68" t="n">
        <f aca="false">SUMPRODUCT(($C$3:$BN$3=35-'Assumption Setting'!$F$59)*($C$78:$BN$78))*'Assumption Setting'!$E$59*'Assumption Setting'!$E$65</f>
        <v>16.2268328919609</v>
      </c>
      <c r="AN82" s="68" t="n">
        <f aca="false">SUMPRODUCT(($C$3:$BN$3=36-'Assumption Setting'!$F$59)*($C$78:$BN$78))*'Assumption Setting'!$E$59*'Assumption Setting'!$E$65</f>
        <v>16.2268328919609</v>
      </c>
      <c r="AO82" s="65" t="n">
        <f aca="false">SUM(AP82:BA82)</f>
        <v>265.114663121262</v>
      </c>
      <c r="AP82" s="68" t="n">
        <f aca="false">SUMPRODUCT(($C$3:$BN$3=37-'Assumption Setting'!$F$59)*($C$78:$BN$78))*'Assumption Setting'!$E$59*'Assumption Setting'!$F$65</f>
        <v>17.0519260898573</v>
      </c>
      <c r="AQ82" s="68" t="n">
        <f aca="false">SUMPRODUCT(($C$3:$BN$3=38-'Assumption Setting'!$F$59)*($C$78:$BN$78))*'Assumption Setting'!$E$59*'Assumption Setting'!$F$65</f>
        <v>22.5511579119459</v>
      </c>
      <c r="AR82" s="68" t="n">
        <f aca="false">SUMPRODUCT(($C$3:$BN$3=39-'Assumption Setting'!$F$59)*($C$78:$BN$78))*'Assumption Setting'!$E$59*'Assumption Setting'!$F$65</f>
        <v>22.5511579119459</v>
      </c>
      <c r="AS82" s="68" t="n">
        <f aca="false">SUMPRODUCT(($C$3:$BN$3=40-'Assumption Setting'!$F$59)*($C$78:$BN$78))*'Assumption Setting'!$E$59*'Assumption Setting'!$F$65</f>
        <v>22.5511579119459</v>
      </c>
      <c r="AT82" s="68" t="n">
        <f aca="false">SUMPRODUCT(($C$3:$BN$3=41-'Assumption Setting'!$F$59)*($C$78:$BN$78))*'Assumption Setting'!$E$59*'Assumption Setting'!$F$65</f>
        <v>22.5511579119459</v>
      </c>
      <c r="AU82" s="68" t="n">
        <f aca="false">SUMPRODUCT(($C$3:$BN$3=42-'Assumption Setting'!$F$59)*($C$78:$BN$78))*'Assumption Setting'!$E$59*'Assumption Setting'!$F$65</f>
        <v>22.5511579119459</v>
      </c>
      <c r="AV82" s="68" t="n">
        <f aca="false">SUMPRODUCT(($C$3:$BN$3=43-'Assumption Setting'!$F$59)*($C$78:$BN$78))*'Assumption Setting'!$E$59*'Assumption Setting'!$F$65</f>
        <v>22.5511579119459</v>
      </c>
      <c r="AW82" s="68" t="n">
        <f aca="false">SUMPRODUCT(($C$3:$BN$3=44-'Assumption Setting'!$F$59)*($C$78:$BN$78))*'Assumption Setting'!$E$59*'Assumption Setting'!$F$65</f>
        <v>22.5511579119459</v>
      </c>
      <c r="AX82" s="68" t="n">
        <f aca="false">SUMPRODUCT(($C$3:$BN$3=45-'Assumption Setting'!$F$59)*($C$78:$BN$78))*'Assumption Setting'!$E$59*'Assumption Setting'!$F$65</f>
        <v>22.5511579119459</v>
      </c>
      <c r="AY82" s="68" t="n">
        <f aca="false">SUMPRODUCT(($C$3:$BN$3=46-'Assumption Setting'!$F$59)*($C$78:$BN$78))*'Assumption Setting'!$E$59*'Assumption Setting'!$F$65</f>
        <v>22.5511579119459</v>
      </c>
      <c r="AZ82" s="68" t="n">
        <f aca="false">SUMPRODUCT(($C$3:$BN$3=47-'Assumption Setting'!$F$59)*($C$78:$BN$78))*'Assumption Setting'!$E$59*'Assumption Setting'!$F$65</f>
        <v>22.5511579119459</v>
      </c>
      <c r="BA82" s="68" t="n">
        <f aca="false">SUMPRODUCT(($C$3:$BN$3=48-'Assumption Setting'!$F$59)*($C$78:$BN$78))*'Assumption Setting'!$E$59*'Assumption Setting'!$F$65</f>
        <v>22.5511579119459</v>
      </c>
      <c r="BB82" s="65" t="n">
        <f aca="false">SUM(BC82:BN82)</f>
        <v>336.221508174578</v>
      </c>
      <c r="BC82" s="68" t="n">
        <f aca="false">SUMPRODUCT(($C$3:$BN$3=49-'Assumption Setting'!$F$59)*($C$78:$BN$78))*'Assumption Setting'!$E$59*'Assumption Setting'!$G$65</f>
        <v>23.2786146187829</v>
      </c>
      <c r="BD82" s="68" t="n">
        <f aca="false">SUMPRODUCT(($C$3:$BN$3=50-'Assumption Setting'!$F$59)*($C$78:$BN$78))*'Assumption Setting'!$E$59*'Assumption Setting'!$G$65</f>
        <v>28.4493539596178</v>
      </c>
      <c r="BE82" s="68" t="n">
        <f aca="false">SUMPRODUCT(($C$3:$BN$3=51-'Assumption Setting'!$F$59)*($C$78:$BN$78))*'Assumption Setting'!$E$59*'Assumption Setting'!$G$65</f>
        <v>28.4493539596178</v>
      </c>
      <c r="BF82" s="68" t="n">
        <f aca="false">SUMPRODUCT(($C$3:$BN$3=52-'Assumption Setting'!$F$59)*($C$78:$BN$78))*'Assumption Setting'!$E$59*'Assumption Setting'!$G$65</f>
        <v>28.4493539596178</v>
      </c>
      <c r="BG82" s="68" t="n">
        <f aca="false">SUMPRODUCT(($C$3:$BN$3=53-'Assumption Setting'!$F$59)*($C$78:$BN$78))*'Assumption Setting'!$E$59*'Assumption Setting'!$G$65</f>
        <v>28.4493539596178</v>
      </c>
      <c r="BH82" s="68" t="n">
        <f aca="false">SUMPRODUCT(($C$3:$BN$3=54-'Assumption Setting'!$F$59)*($C$78:$BN$78))*'Assumption Setting'!$E$59*'Assumption Setting'!$G$65</f>
        <v>28.4493539596178</v>
      </c>
      <c r="BI82" s="68" t="n">
        <f aca="false">SUMPRODUCT(($C$3:$BN$3=55-'Assumption Setting'!$F$59)*($C$78:$BN$78))*'Assumption Setting'!$E$59*'Assumption Setting'!$G$65</f>
        <v>28.4493539596178</v>
      </c>
      <c r="BJ82" s="68" t="n">
        <f aca="false">SUMPRODUCT(($C$3:$BN$3=56-'Assumption Setting'!$F$59)*($C$78:$BN$78))*'Assumption Setting'!$E$59*'Assumption Setting'!$G$65</f>
        <v>28.4493539596178</v>
      </c>
      <c r="BK82" s="68" t="n">
        <f aca="false">SUMPRODUCT(($C$3:$BN$3=57-'Assumption Setting'!$F$59)*($C$78:$BN$78))*'Assumption Setting'!$E$59*'Assumption Setting'!$G$65</f>
        <v>28.4493539596178</v>
      </c>
      <c r="BL82" s="68" t="n">
        <f aca="false">SUMPRODUCT(($C$3:$BN$3=58-'Assumption Setting'!$F$59)*($C$78:$BN$78))*'Assumption Setting'!$E$59*'Assumption Setting'!$G$65</f>
        <v>28.4493539596178</v>
      </c>
      <c r="BM82" s="68" t="n">
        <f aca="false">SUMPRODUCT(($C$3:$BN$3=59-'Assumption Setting'!$F$59)*($C$78:$BN$78))*'Assumption Setting'!$E$59*'Assumption Setting'!$G$65</f>
        <v>28.4493539596178</v>
      </c>
      <c r="BN82" s="68" t="n">
        <f aca="false">SUMPRODUCT(($C$3:$BN$3=60-'Assumption Setting'!$F$59)*($C$78:$BN$78))*'Assumption Setting'!$E$59*'Assumption Setting'!$G$65</f>
        <v>28.4493539596178</v>
      </c>
    </row>
    <row r="83" customFormat="false" ht="15" hidden="false" customHeight="false" outlineLevel="0" collapsed="false">
      <c r="A83" s="4" t="s">
        <v>696</v>
      </c>
      <c r="B83" s="65" t="n">
        <f aca="false">SUM(C83:N83)</f>
        <v>23.9428586488</v>
      </c>
      <c r="C83" s="68" t="n">
        <f aca="false">SUMPRODUCT(($C$3:$BN$3=1-'Assumption Setting'!$F$60)*($C$79:$BN$79))*'Assumption Setting'!$E$60*'Assumption Setting'!$C$65</f>
        <v>0</v>
      </c>
      <c r="D83" s="68" t="n">
        <f aca="false">SUMPRODUCT(($C$3:$BN$3=2-'Assumption Setting'!$F$60)*($C$79:$BN$79))*'Assumption Setting'!$E$60*'Assumption Setting'!$C$65</f>
        <v>2.17662351352727</v>
      </c>
      <c r="E83" s="68" t="n">
        <f aca="false">SUMPRODUCT(($C$3:$BN$3=3-'Assumption Setting'!$F$60)*($C$79:$BN$79))*'Assumption Setting'!$E$60*'Assumption Setting'!$C$65</f>
        <v>2.17662351352727</v>
      </c>
      <c r="F83" s="68" t="n">
        <f aca="false">SUMPRODUCT(($C$3:$BN$3=4-'Assumption Setting'!$F$60)*($C$79:$BN$79))*'Assumption Setting'!$E$60*'Assumption Setting'!$C$65</f>
        <v>2.17662351352727</v>
      </c>
      <c r="G83" s="68" t="n">
        <f aca="false">SUMPRODUCT(($C$3:$BN$3=5-'Assumption Setting'!$F$60)*($C$79:$BN$79))*'Assumption Setting'!$E$60*'Assumption Setting'!$C$65</f>
        <v>2.17662351352727</v>
      </c>
      <c r="H83" s="68" t="n">
        <f aca="false">SUMPRODUCT(($C$3:$BN$3=6-'Assumption Setting'!$F$60)*($C$79:$BN$79))*'Assumption Setting'!$E$60*'Assumption Setting'!$C$65</f>
        <v>2.17662351352727</v>
      </c>
      <c r="I83" s="68" t="n">
        <f aca="false">SUMPRODUCT(($C$3:$BN$3=7-'Assumption Setting'!$F$60)*($C$79:$BN$79))*'Assumption Setting'!$E$60*'Assumption Setting'!$C$65</f>
        <v>2.17662351352727</v>
      </c>
      <c r="J83" s="68" t="n">
        <f aca="false">SUMPRODUCT(($C$3:$BN$3=8-'Assumption Setting'!$F$60)*($C$79:$BN$79))*'Assumption Setting'!$E$60*'Assumption Setting'!$C$65</f>
        <v>2.17662351352727</v>
      </c>
      <c r="K83" s="68" t="n">
        <f aca="false">SUMPRODUCT(($C$3:$BN$3=9-'Assumption Setting'!$F$60)*($C$79:$BN$79))*'Assumption Setting'!$E$60*'Assumption Setting'!$C$65</f>
        <v>2.17662351352727</v>
      </c>
      <c r="L83" s="68" t="n">
        <f aca="false">SUMPRODUCT(($C$3:$BN$3=10-'Assumption Setting'!$F$60)*($C$79:$BN$79))*'Assumption Setting'!$E$60*'Assumption Setting'!$C$65</f>
        <v>2.17662351352727</v>
      </c>
      <c r="M83" s="68" t="n">
        <f aca="false">SUMPRODUCT(($C$3:$BN$3=11-'Assumption Setting'!$F$60)*($C$79:$BN$79))*'Assumption Setting'!$E$60*'Assumption Setting'!$C$65</f>
        <v>2.17662351352727</v>
      </c>
      <c r="N83" s="68" t="n">
        <f aca="false">SUMPRODUCT(($C$3:$BN$3=12-'Assumption Setting'!$F$60)*($C$79:$BN$79))*'Assumption Setting'!$E$60*'Assumption Setting'!$C$65</f>
        <v>2.17662351352727</v>
      </c>
      <c r="O83" s="65" t="n">
        <f aca="false">SUM(P83:AA83)</f>
        <v>59.79712044488</v>
      </c>
      <c r="P83" s="68" t="n">
        <f aca="false">SUMPRODUCT(($C$3:$BN$3=13-'Assumption Setting'!$F$60)*($C$79:$BN$79))*'Assumption Setting'!$E$60*'Assumption Setting'!$D$65</f>
        <v>2.39428586488</v>
      </c>
      <c r="Q83" s="68" t="n">
        <f aca="false">SUMPRODUCT(($C$3:$BN$3=14-'Assumption Setting'!$F$60)*($C$79:$BN$79))*'Assumption Setting'!$E$60*'Assumption Setting'!$D$65</f>
        <v>5.21843950727273</v>
      </c>
      <c r="R83" s="68" t="n">
        <f aca="false">SUMPRODUCT(($C$3:$BN$3=15-'Assumption Setting'!$F$60)*($C$79:$BN$79))*'Assumption Setting'!$E$60*'Assumption Setting'!$D$65</f>
        <v>5.21843950727273</v>
      </c>
      <c r="S83" s="68" t="n">
        <f aca="false">SUMPRODUCT(($C$3:$BN$3=16-'Assumption Setting'!$F$60)*($C$79:$BN$79))*'Assumption Setting'!$E$60*'Assumption Setting'!$D$65</f>
        <v>5.21843950727273</v>
      </c>
      <c r="T83" s="68" t="n">
        <f aca="false">SUMPRODUCT(($C$3:$BN$3=17-'Assumption Setting'!$F$60)*($C$79:$BN$79))*'Assumption Setting'!$E$60*'Assumption Setting'!$D$65</f>
        <v>5.21843950727273</v>
      </c>
      <c r="U83" s="68" t="n">
        <f aca="false">SUMPRODUCT(($C$3:$BN$3=18-'Assumption Setting'!$F$60)*($C$79:$BN$79))*'Assumption Setting'!$E$60*'Assumption Setting'!$D$65</f>
        <v>5.21843950727273</v>
      </c>
      <c r="V83" s="68" t="n">
        <f aca="false">SUMPRODUCT(($C$3:$BN$3=19-'Assumption Setting'!$F$60)*($C$79:$BN$79))*'Assumption Setting'!$E$60*'Assumption Setting'!$D$65</f>
        <v>5.21843950727273</v>
      </c>
      <c r="W83" s="68" t="n">
        <f aca="false">SUMPRODUCT(($C$3:$BN$3=20-'Assumption Setting'!$F$60)*($C$79:$BN$79))*'Assumption Setting'!$E$60*'Assumption Setting'!$D$65</f>
        <v>5.21843950727273</v>
      </c>
      <c r="X83" s="68" t="n">
        <f aca="false">SUMPRODUCT(($C$3:$BN$3=21-'Assumption Setting'!$F$60)*($C$79:$BN$79))*'Assumption Setting'!$E$60*'Assumption Setting'!$D$65</f>
        <v>5.21843950727273</v>
      </c>
      <c r="Y83" s="68" t="n">
        <f aca="false">SUMPRODUCT(($C$3:$BN$3=22-'Assumption Setting'!$F$60)*($C$79:$BN$79))*'Assumption Setting'!$E$60*'Assumption Setting'!$D$65</f>
        <v>5.21843950727273</v>
      </c>
      <c r="Z83" s="68" t="n">
        <f aca="false">SUMPRODUCT(($C$3:$BN$3=23-'Assumption Setting'!$F$60)*($C$79:$BN$79))*'Assumption Setting'!$E$60*'Assumption Setting'!$D$65</f>
        <v>5.21843950727273</v>
      </c>
      <c r="AA83" s="68" t="n">
        <f aca="false">SUMPRODUCT(($C$3:$BN$3=24-'Assumption Setting'!$F$60)*($C$79:$BN$79))*'Assumption Setting'!$E$60*'Assumption Setting'!$D$65</f>
        <v>5.21843950727273</v>
      </c>
      <c r="AB83" s="65" t="n">
        <f aca="false">SUM(AC83:AN83)</f>
        <v>108.470673971264</v>
      </c>
      <c r="AC83" s="68" t="n">
        <f aca="false">SUMPRODUCT(($C$3:$BN$3=25-'Assumption Setting'!$F$60)*($C$79:$BN$79))*'Assumption Setting'!$E$60*'Assumption Setting'!$E$65</f>
        <v>5.59796238052893</v>
      </c>
      <c r="AD83" s="68" t="n">
        <f aca="false">SUMPRODUCT(($C$3:$BN$3=26-'Assumption Setting'!$F$60)*($C$79:$BN$79))*'Assumption Setting'!$E$60*'Assumption Setting'!$E$65</f>
        <v>9.35206469006682</v>
      </c>
      <c r="AE83" s="68" t="n">
        <f aca="false">SUMPRODUCT(($C$3:$BN$3=27-'Assumption Setting'!$F$60)*($C$79:$BN$79))*'Assumption Setting'!$E$60*'Assumption Setting'!$E$65</f>
        <v>9.35206469006682</v>
      </c>
      <c r="AF83" s="68" t="n">
        <f aca="false">SUMPRODUCT(($C$3:$BN$3=28-'Assumption Setting'!$F$60)*($C$79:$BN$79))*'Assumption Setting'!$E$60*'Assumption Setting'!$E$65</f>
        <v>9.35206469006682</v>
      </c>
      <c r="AG83" s="68" t="n">
        <f aca="false">SUMPRODUCT(($C$3:$BN$3=29-'Assumption Setting'!$F$60)*($C$79:$BN$79))*'Assumption Setting'!$E$60*'Assumption Setting'!$E$65</f>
        <v>9.35206469006682</v>
      </c>
      <c r="AH83" s="68" t="n">
        <f aca="false">SUMPRODUCT(($C$3:$BN$3=30-'Assumption Setting'!$F$60)*($C$79:$BN$79))*'Assumption Setting'!$E$60*'Assumption Setting'!$E$65</f>
        <v>9.35206469006682</v>
      </c>
      <c r="AI83" s="68" t="n">
        <f aca="false">SUMPRODUCT(($C$3:$BN$3=31-'Assumption Setting'!$F$60)*($C$79:$BN$79))*'Assumption Setting'!$E$60*'Assumption Setting'!$E$65</f>
        <v>9.35206469006682</v>
      </c>
      <c r="AJ83" s="68" t="n">
        <f aca="false">SUMPRODUCT(($C$3:$BN$3=32-'Assumption Setting'!$F$60)*($C$79:$BN$79))*'Assumption Setting'!$E$60*'Assumption Setting'!$E$65</f>
        <v>9.35206469006682</v>
      </c>
      <c r="AK83" s="68" t="n">
        <f aca="false">SUMPRODUCT(($C$3:$BN$3=33-'Assumption Setting'!$F$60)*($C$79:$BN$79))*'Assumption Setting'!$E$60*'Assumption Setting'!$E$65</f>
        <v>9.35206469006682</v>
      </c>
      <c r="AL83" s="68" t="n">
        <f aca="false">SUMPRODUCT(($C$3:$BN$3=34-'Assumption Setting'!$F$60)*($C$79:$BN$79))*'Assumption Setting'!$E$60*'Assumption Setting'!$E$65</f>
        <v>9.35206469006682</v>
      </c>
      <c r="AM83" s="68" t="n">
        <f aca="false">SUMPRODUCT(($C$3:$BN$3=35-'Assumption Setting'!$F$60)*($C$79:$BN$79))*'Assumption Setting'!$E$60*'Assumption Setting'!$E$65</f>
        <v>9.35206469006682</v>
      </c>
      <c r="AN83" s="68" t="n">
        <f aca="false">SUMPRODUCT(($C$3:$BN$3=36-'Assumption Setting'!$F$60)*($C$79:$BN$79))*'Assumption Setting'!$E$60*'Assumption Setting'!$E$65</f>
        <v>9.35206469006682</v>
      </c>
      <c r="AO83" s="65" t="n">
        <f aca="false">SUM(AP83:BA83)</f>
        <v>152.794417512221</v>
      </c>
      <c r="AP83" s="68" t="n">
        <f aca="false">SUMPRODUCT(($C$3:$BN$3=37-'Assumption Setting'!$F$60)*($C$79:$BN$79))*'Assumption Setting'!$E$60*'Assumption Setting'!$F$65</f>
        <v>9.82759340312106</v>
      </c>
      <c r="AQ83" s="68" t="n">
        <f aca="false">SUMPRODUCT(($C$3:$BN$3=38-'Assumption Setting'!$F$60)*($C$79:$BN$79))*'Assumption Setting'!$E$60*'Assumption Setting'!$F$65</f>
        <v>12.9969840099182</v>
      </c>
      <c r="AR83" s="68" t="n">
        <f aca="false">SUMPRODUCT(($C$3:$BN$3=39-'Assumption Setting'!$F$60)*($C$79:$BN$79))*'Assumption Setting'!$E$60*'Assumption Setting'!$F$65</f>
        <v>12.9969840099182</v>
      </c>
      <c r="AS83" s="68" t="n">
        <f aca="false">SUMPRODUCT(($C$3:$BN$3=40-'Assumption Setting'!$F$60)*($C$79:$BN$79))*'Assumption Setting'!$E$60*'Assumption Setting'!$F$65</f>
        <v>12.9969840099182</v>
      </c>
      <c r="AT83" s="68" t="n">
        <f aca="false">SUMPRODUCT(($C$3:$BN$3=41-'Assumption Setting'!$F$60)*($C$79:$BN$79))*'Assumption Setting'!$E$60*'Assumption Setting'!$F$65</f>
        <v>12.9969840099182</v>
      </c>
      <c r="AU83" s="68" t="n">
        <f aca="false">SUMPRODUCT(($C$3:$BN$3=42-'Assumption Setting'!$F$60)*($C$79:$BN$79))*'Assumption Setting'!$E$60*'Assumption Setting'!$F$65</f>
        <v>12.9969840099182</v>
      </c>
      <c r="AV83" s="68" t="n">
        <f aca="false">SUMPRODUCT(($C$3:$BN$3=43-'Assumption Setting'!$F$60)*($C$79:$BN$79))*'Assumption Setting'!$E$60*'Assumption Setting'!$F$65</f>
        <v>12.9969840099182</v>
      </c>
      <c r="AW83" s="68" t="n">
        <f aca="false">SUMPRODUCT(($C$3:$BN$3=44-'Assumption Setting'!$F$60)*($C$79:$BN$79))*'Assumption Setting'!$E$60*'Assumption Setting'!$F$65</f>
        <v>12.9969840099182</v>
      </c>
      <c r="AX83" s="68" t="n">
        <f aca="false">SUMPRODUCT(($C$3:$BN$3=45-'Assumption Setting'!$F$60)*($C$79:$BN$79))*'Assumption Setting'!$E$60*'Assumption Setting'!$F$65</f>
        <v>12.9969840099182</v>
      </c>
      <c r="AY83" s="68" t="n">
        <f aca="false">SUMPRODUCT(($C$3:$BN$3=46-'Assumption Setting'!$F$60)*($C$79:$BN$79))*'Assumption Setting'!$E$60*'Assumption Setting'!$F$65</f>
        <v>12.9969840099182</v>
      </c>
      <c r="AZ83" s="68" t="n">
        <f aca="false">SUMPRODUCT(($C$3:$BN$3=47-'Assumption Setting'!$F$60)*($C$79:$BN$79))*'Assumption Setting'!$E$60*'Assumption Setting'!$F$65</f>
        <v>12.9969840099182</v>
      </c>
      <c r="BA83" s="68" t="n">
        <f aca="false">SUMPRODUCT(($C$3:$BN$3=48-'Assumption Setting'!$F$60)*($C$79:$BN$79))*'Assumption Setting'!$E$60*'Assumption Setting'!$F$65</f>
        <v>12.9969840099182</v>
      </c>
      <c r="BB83" s="65" t="n">
        <f aca="false">SUM(BC83:BN83)</f>
        <v>193.775662544615</v>
      </c>
      <c r="BC83" s="68" t="n">
        <f aca="false">SUMPRODUCT(($C$3:$BN$3=49-'Assumption Setting'!$F$60)*($C$79:$BN$79))*'Assumption Setting'!$E$60*'Assumption Setting'!$G$65</f>
        <v>13.4162415586252</v>
      </c>
      <c r="BD83" s="68" t="n">
        <f aca="false">SUMPRODUCT(($C$3:$BN$3=50-'Assumption Setting'!$F$60)*($C$79:$BN$79))*'Assumption Setting'!$E$60*'Assumption Setting'!$G$65</f>
        <v>16.3963109987264</v>
      </c>
      <c r="BE83" s="68" t="n">
        <f aca="false">SUMPRODUCT(($C$3:$BN$3=51-'Assumption Setting'!$F$60)*($C$79:$BN$79))*'Assumption Setting'!$E$60*'Assumption Setting'!$G$65</f>
        <v>16.3963109987264</v>
      </c>
      <c r="BF83" s="68" t="n">
        <f aca="false">SUMPRODUCT(($C$3:$BN$3=52-'Assumption Setting'!$F$60)*($C$79:$BN$79))*'Assumption Setting'!$E$60*'Assumption Setting'!$G$65</f>
        <v>16.3963109987264</v>
      </c>
      <c r="BG83" s="68" t="n">
        <f aca="false">SUMPRODUCT(($C$3:$BN$3=53-'Assumption Setting'!$F$60)*($C$79:$BN$79))*'Assumption Setting'!$E$60*'Assumption Setting'!$G$65</f>
        <v>16.3963109987264</v>
      </c>
      <c r="BH83" s="68" t="n">
        <f aca="false">SUMPRODUCT(($C$3:$BN$3=54-'Assumption Setting'!$F$60)*($C$79:$BN$79))*'Assumption Setting'!$E$60*'Assumption Setting'!$G$65</f>
        <v>16.3963109987264</v>
      </c>
      <c r="BI83" s="68" t="n">
        <f aca="false">SUMPRODUCT(($C$3:$BN$3=55-'Assumption Setting'!$F$60)*($C$79:$BN$79))*'Assumption Setting'!$E$60*'Assumption Setting'!$G$65</f>
        <v>16.3963109987264</v>
      </c>
      <c r="BJ83" s="68" t="n">
        <f aca="false">SUMPRODUCT(($C$3:$BN$3=56-'Assumption Setting'!$F$60)*($C$79:$BN$79))*'Assumption Setting'!$E$60*'Assumption Setting'!$G$65</f>
        <v>16.3963109987264</v>
      </c>
      <c r="BK83" s="68" t="n">
        <f aca="false">SUMPRODUCT(($C$3:$BN$3=57-'Assumption Setting'!$F$60)*($C$79:$BN$79))*'Assumption Setting'!$E$60*'Assumption Setting'!$G$65</f>
        <v>16.3963109987264</v>
      </c>
      <c r="BL83" s="68" t="n">
        <f aca="false">SUMPRODUCT(($C$3:$BN$3=58-'Assumption Setting'!$F$60)*($C$79:$BN$79))*'Assumption Setting'!$E$60*'Assumption Setting'!$G$65</f>
        <v>16.3963109987264</v>
      </c>
      <c r="BM83" s="68" t="n">
        <f aca="false">SUMPRODUCT(($C$3:$BN$3=59-'Assumption Setting'!$F$60)*($C$79:$BN$79))*'Assumption Setting'!$E$60*'Assumption Setting'!$G$65</f>
        <v>16.3963109987264</v>
      </c>
      <c r="BN83" s="68" t="n">
        <f aca="false">SUMPRODUCT(($C$3:$BN$3=60-'Assumption Setting'!$F$60)*($C$79:$BN$79))*'Assumption Setting'!$E$60*'Assumption Setting'!$G$65</f>
        <v>16.3963109987264</v>
      </c>
    </row>
    <row r="84" customFormat="false" ht="15" hidden="false" customHeight="false" outlineLevel="0" collapsed="false">
      <c r="A84" s="4" t="s">
        <v>697</v>
      </c>
      <c r="B84" s="65" t="n">
        <f aca="false">SUM(C84:N84)</f>
        <v>2.44728519970909</v>
      </c>
      <c r="C84" s="68" t="n">
        <f aca="false">SUMPRODUCT(($C$3:$BN$3=1-'Assumption Setting'!$F$61)*($C$80:$BN$80))*'Assumption Setting'!$E$61*'Assumption Setting'!$C$65</f>
        <v>0</v>
      </c>
      <c r="D84" s="68" t="n">
        <f aca="false">SUMPRODUCT(($C$3:$BN$3=2-'Assumption Setting'!$F$61)*($C$80:$BN$80))*'Assumption Setting'!$E$61*'Assumption Setting'!$C$65</f>
        <v>0</v>
      </c>
      <c r="E84" s="68" t="n">
        <f aca="false">SUMPRODUCT(($C$3:$BN$3=3-'Assumption Setting'!$F$61)*($C$80:$BN$80))*'Assumption Setting'!$E$61*'Assumption Setting'!$C$65</f>
        <v>0</v>
      </c>
      <c r="F84" s="68" t="n">
        <f aca="false">SUMPRODUCT(($C$3:$BN$3=4-'Assumption Setting'!$F$61)*($C$80:$BN$80))*'Assumption Setting'!$E$61*'Assumption Setting'!$C$65</f>
        <v>0.271920577745455</v>
      </c>
      <c r="G84" s="68" t="n">
        <f aca="false">SUMPRODUCT(($C$3:$BN$3=5-'Assumption Setting'!$F$61)*($C$80:$BN$80))*'Assumption Setting'!$E$61*'Assumption Setting'!$C$65</f>
        <v>0.271920577745455</v>
      </c>
      <c r="H84" s="68" t="n">
        <f aca="false">SUMPRODUCT(($C$3:$BN$3=6-'Assumption Setting'!$F$61)*($C$80:$BN$80))*'Assumption Setting'!$E$61*'Assumption Setting'!$C$65</f>
        <v>0.271920577745455</v>
      </c>
      <c r="I84" s="68" t="n">
        <f aca="false">SUMPRODUCT(($C$3:$BN$3=7-'Assumption Setting'!$F$61)*($C$80:$BN$80))*'Assumption Setting'!$E$61*'Assumption Setting'!$C$65</f>
        <v>0.271920577745455</v>
      </c>
      <c r="J84" s="68" t="n">
        <f aca="false">SUMPRODUCT(($C$3:$BN$3=8-'Assumption Setting'!$F$61)*($C$80:$BN$80))*'Assumption Setting'!$E$61*'Assumption Setting'!$C$65</f>
        <v>0.271920577745455</v>
      </c>
      <c r="K84" s="68" t="n">
        <f aca="false">SUMPRODUCT(($C$3:$BN$3=9-'Assumption Setting'!$F$61)*($C$80:$BN$80))*'Assumption Setting'!$E$61*'Assumption Setting'!$C$65</f>
        <v>0.271920577745455</v>
      </c>
      <c r="L84" s="68" t="n">
        <f aca="false">SUMPRODUCT(($C$3:$BN$3=10-'Assumption Setting'!$F$61)*($C$80:$BN$80))*'Assumption Setting'!$E$61*'Assumption Setting'!$C$65</f>
        <v>0.271920577745455</v>
      </c>
      <c r="M84" s="68" t="n">
        <f aca="false">SUMPRODUCT(($C$3:$BN$3=11-'Assumption Setting'!$F$61)*($C$80:$BN$80))*'Assumption Setting'!$E$61*'Assumption Setting'!$C$65</f>
        <v>0.271920577745455</v>
      </c>
      <c r="N84" s="68" t="n">
        <f aca="false">SUMPRODUCT(($C$3:$BN$3=12-'Assumption Setting'!$F$61)*($C$80:$BN$80))*'Assumption Setting'!$E$61*'Assumption Setting'!$C$65</f>
        <v>0.271920577745455</v>
      </c>
      <c r="O84" s="65" t="n">
        <f aca="false">SUM(P84:AA84)</f>
        <v>6.76468689565091</v>
      </c>
      <c r="P84" s="68" t="n">
        <f aca="false">SUMPRODUCT(($C$3:$BN$3=13-'Assumption Setting'!$F$61)*($C$80:$BN$80))*'Assumption Setting'!$E$61*'Assumption Setting'!$D$65</f>
        <v>0.29911263552</v>
      </c>
      <c r="Q84" s="68" t="n">
        <f aca="false">SUMPRODUCT(($C$3:$BN$3=14-'Assumption Setting'!$F$61)*($C$80:$BN$80))*'Assumption Setting'!$E$61*'Assumption Setting'!$D$65</f>
        <v>0.29911263552</v>
      </c>
      <c r="R84" s="68" t="n">
        <f aca="false">SUMPRODUCT(($C$3:$BN$3=15-'Assumption Setting'!$F$61)*($C$80:$BN$80))*'Assumption Setting'!$E$61*'Assumption Setting'!$D$65</f>
        <v>0.29911263552</v>
      </c>
      <c r="S84" s="68" t="n">
        <f aca="false">SUMPRODUCT(($C$3:$BN$3=16-'Assumption Setting'!$F$61)*($C$80:$BN$80))*'Assumption Setting'!$E$61*'Assumption Setting'!$D$65</f>
        <v>0.651927665454546</v>
      </c>
      <c r="T84" s="68" t="n">
        <f aca="false">SUMPRODUCT(($C$3:$BN$3=17-'Assumption Setting'!$F$61)*($C$80:$BN$80))*'Assumption Setting'!$E$61*'Assumption Setting'!$D$65</f>
        <v>0.651927665454546</v>
      </c>
      <c r="U84" s="68" t="n">
        <f aca="false">SUMPRODUCT(($C$3:$BN$3=18-'Assumption Setting'!$F$61)*($C$80:$BN$80))*'Assumption Setting'!$E$61*'Assumption Setting'!$D$65</f>
        <v>0.651927665454546</v>
      </c>
      <c r="V84" s="68" t="n">
        <f aca="false">SUMPRODUCT(($C$3:$BN$3=19-'Assumption Setting'!$F$61)*($C$80:$BN$80))*'Assumption Setting'!$E$61*'Assumption Setting'!$D$65</f>
        <v>0.651927665454546</v>
      </c>
      <c r="W84" s="68" t="n">
        <f aca="false">SUMPRODUCT(($C$3:$BN$3=20-'Assumption Setting'!$F$61)*($C$80:$BN$80))*'Assumption Setting'!$E$61*'Assumption Setting'!$D$65</f>
        <v>0.651927665454546</v>
      </c>
      <c r="X84" s="68" t="n">
        <f aca="false">SUMPRODUCT(($C$3:$BN$3=21-'Assumption Setting'!$F$61)*($C$80:$BN$80))*'Assumption Setting'!$E$61*'Assumption Setting'!$D$65</f>
        <v>0.651927665454546</v>
      </c>
      <c r="Y84" s="68" t="n">
        <f aca="false">SUMPRODUCT(($C$3:$BN$3=22-'Assumption Setting'!$F$61)*($C$80:$BN$80))*'Assumption Setting'!$E$61*'Assumption Setting'!$D$65</f>
        <v>0.651927665454546</v>
      </c>
      <c r="Z84" s="68" t="n">
        <f aca="false">SUMPRODUCT(($C$3:$BN$3=23-'Assumption Setting'!$F$61)*($C$80:$BN$80))*'Assumption Setting'!$E$61*'Assumption Setting'!$D$65</f>
        <v>0.651927665454546</v>
      </c>
      <c r="AA84" s="68" t="n">
        <f aca="false">SUMPRODUCT(($C$3:$BN$3=24-'Assumption Setting'!$F$61)*($C$80:$BN$80))*'Assumption Setting'!$E$61*'Assumption Setting'!$D$65</f>
        <v>0.651927665454546</v>
      </c>
      <c r="AB84" s="65" t="n">
        <f aca="false">SUM(AC84:AN84)</f>
        <v>12.6130094737262</v>
      </c>
      <c r="AC84" s="68" t="n">
        <f aca="false">SUMPRODUCT(($C$3:$BN$3=25-'Assumption Setting'!$F$61)*($C$80:$BN$80))*'Assumption Setting'!$E$61*'Assumption Setting'!$E$65</f>
        <v>0.699340586578513</v>
      </c>
      <c r="AD84" s="68" t="n">
        <f aca="false">SUMPRODUCT(($C$3:$BN$3=26-'Assumption Setting'!$F$61)*($C$80:$BN$80))*'Assumption Setting'!$E$61*'Assumption Setting'!$E$65</f>
        <v>0.699340586578513</v>
      </c>
      <c r="AE84" s="68" t="n">
        <f aca="false">SUMPRODUCT(($C$3:$BN$3=27-'Assumption Setting'!$F$61)*($C$80:$BN$80))*'Assumption Setting'!$E$61*'Assumption Setting'!$E$65</f>
        <v>0.699340586578513</v>
      </c>
      <c r="AF84" s="68" t="n">
        <f aca="false">SUMPRODUCT(($C$3:$BN$3=28-'Assumption Setting'!$F$61)*($C$80:$BN$80))*'Assumption Setting'!$E$61*'Assumption Setting'!$E$65</f>
        <v>1.16833196822119</v>
      </c>
      <c r="AG84" s="68" t="n">
        <f aca="false">SUMPRODUCT(($C$3:$BN$3=29-'Assumption Setting'!$F$61)*($C$80:$BN$80))*'Assumption Setting'!$E$61*'Assumption Setting'!$E$65</f>
        <v>1.16833196822119</v>
      </c>
      <c r="AH84" s="68" t="n">
        <f aca="false">SUMPRODUCT(($C$3:$BN$3=30-'Assumption Setting'!$F$61)*($C$80:$BN$80))*'Assumption Setting'!$E$61*'Assumption Setting'!$E$65</f>
        <v>1.16833196822119</v>
      </c>
      <c r="AI84" s="68" t="n">
        <f aca="false">SUMPRODUCT(($C$3:$BN$3=31-'Assumption Setting'!$F$61)*($C$80:$BN$80))*'Assumption Setting'!$E$61*'Assumption Setting'!$E$65</f>
        <v>1.16833196822119</v>
      </c>
      <c r="AJ84" s="68" t="n">
        <f aca="false">SUMPRODUCT(($C$3:$BN$3=32-'Assumption Setting'!$F$61)*($C$80:$BN$80))*'Assumption Setting'!$E$61*'Assumption Setting'!$E$65</f>
        <v>1.16833196822119</v>
      </c>
      <c r="AK84" s="68" t="n">
        <f aca="false">SUMPRODUCT(($C$3:$BN$3=33-'Assumption Setting'!$F$61)*($C$80:$BN$80))*'Assumption Setting'!$E$61*'Assumption Setting'!$E$65</f>
        <v>1.16833196822119</v>
      </c>
      <c r="AL84" s="68" t="n">
        <f aca="false">SUMPRODUCT(($C$3:$BN$3=34-'Assumption Setting'!$F$61)*($C$80:$BN$80))*'Assumption Setting'!$E$61*'Assumption Setting'!$E$65</f>
        <v>1.16833196822119</v>
      </c>
      <c r="AM84" s="68" t="n">
        <f aca="false">SUMPRODUCT(($C$3:$BN$3=35-'Assumption Setting'!$F$61)*($C$80:$BN$80))*'Assumption Setting'!$E$61*'Assumption Setting'!$E$65</f>
        <v>1.16833196822119</v>
      </c>
      <c r="AN84" s="68" t="n">
        <f aca="false">SUMPRODUCT(($C$3:$BN$3=36-'Assumption Setting'!$F$61)*($C$80:$BN$80))*'Assumption Setting'!$E$61*'Assumption Setting'!$E$65</f>
        <v>1.16833196822119</v>
      </c>
      <c r="AO84" s="65" t="n">
        <f aca="false">SUM(AP84:BA84)</f>
        <v>18.2963663623501</v>
      </c>
      <c r="AP84" s="68" t="n">
        <f aca="false">SUMPRODUCT(($C$3:$BN$3=37-'Assumption Setting'!$F$61)*($C$80:$BN$80))*'Assumption Setting'!$E$61*'Assumption Setting'!$F$65</f>
        <v>1.22773867846972</v>
      </c>
      <c r="AQ84" s="68" t="n">
        <f aca="false">SUMPRODUCT(($C$3:$BN$3=38-'Assumption Setting'!$F$61)*($C$80:$BN$80))*'Assumption Setting'!$E$61*'Assumption Setting'!$F$65</f>
        <v>1.22773867846972</v>
      </c>
      <c r="AR84" s="68" t="n">
        <f aca="false">SUMPRODUCT(($C$3:$BN$3=39-'Assumption Setting'!$F$61)*($C$80:$BN$80))*'Assumption Setting'!$E$61*'Assumption Setting'!$F$65</f>
        <v>1.22773867846972</v>
      </c>
      <c r="AS84" s="68" t="n">
        <f aca="false">SUMPRODUCT(($C$3:$BN$3=40-'Assumption Setting'!$F$61)*($C$80:$BN$80))*'Assumption Setting'!$E$61*'Assumption Setting'!$F$65</f>
        <v>1.62368336966011</v>
      </c>
      <c r="AT84" s="68" t="n">
        <f aca="false">SUMPRODUCT(($C$3:$BN$3=41-'Assumption Setting'!$F$61)*($C$80:$BN$80))*'Assumption Setting'!$E$61*'Assumption Setting'!$F$65</f>
        <v>1.62368336966011</v>
      </c>
      <c r="AU84" s="68" t="n">
        <f aca="false">SUMPRODUCT(($C$3:$BN$3=42-'Assumption Setting'!$F$61)*($C$80:$BN$80))*'Assumption Setting'!$E$61*'Assumption Setting'!$F$65</f>
        <v>1.62368336966011</v>
      </c>
      <c r="AV84" s="68" t="n">
        <f aca="false">SUMPRODUCT(($C$3:$BN$3=43-'Assumption Setting'!$F$61)*($C$80:$BN$80))*'Assumption Setting'!$E$61*'Assumption Setting'!$F$65</f>
        <v>1.62368336966011</v>
      </c>
      <c r="AW84" s="68" t="n">
        <f aca="false">SUMPRODUCT(($C$3:$BN$3=44-'Assumption Setting'!$F$61)*($C$80:$BN$80))*'Assumption Setting'!$E$61*'Assumption Setting'!$F$65</f>
        <v>1.62368336966011</v>
      </c>
      <c r="AX84" s="68" t="n">
        <f aca="false">SUMPRODUCT(($C$3:$BN$3=45-'Assumption Setting'!$F$61)*($C$80:$BN$80))*'Assumption Setting'!$E$61*'Assumption Setting'!$F$65</f>
        <v>1.62368336966011</v>
      </c>
      <c r="AY84" s="68" t="n">
        <f aca="false">SUMPRODUCT(($C$3:$BN$3=46-'Assumption Setting'!$F$61)*($C$80:$BN$80))*'Assumption Setting'!$E$61*'Assumption Setting'!$F$65</f>
        <v>1.62368336966011</v>
      </c>
      <c r="AZ84" s="68" t="n">
        <f aca="false">SUMPRODUCT(($C$3:$BN$3=47-'Assumption Setting'!$F$61)*($C$80:$BN$80))*'Assumption Setting'!$E$61*'Assumption Setting'!$F$65</f>
        <v>1.62368336966011</v>
      </c>
      <c r="BA84" s="68" t="n">
        <f aca="false">SUMPRODUCT(($C$3:$BN$3=48-'Assumption Setting'!$F$61)*($C$80:$BN$80))*'Assumption Setting'!$E$61*'Assumption Setting'!$F$65</f>
        <v>1.62368336966011</v>
      </c>
      <c r="BB84" s="65" t="n">
        <f aca="false">SUM(BC84:BN84)</f>
        <v>23.4633621234894</v>
      </c>
      <c r="BC84" s="68" t="n">
        <f aca="false">SUMPRODUCT(($C$3:$BN$3=49-'Assumption Setting'!$F$61)*($C$80:$BN$80))*'Assumption Setting'!$E$61*'Assumption Setting'!$G$65</f>
        <v>1.67606025255237</v>
      </c>
      <c r="BD84" s="68" t="n">
        <f aca="false">SUMPRODUCT(($C$3:$BN$3=50-'Assumption Setting'!$F$61)*($C$80:$BN$80))*'Assumption Setting'!$E$61*'Assumption Setting'!$G$65</f>
        <v>1.67606025255237</v>
      </c>
      <c r="BE84" s="68" t="n">
        <f aca="false">SUMPRODUCT(($C$3:$BN$3=51-'Assumption Setting'!$F$61)*($C$80:$BN$80))*'Assumption Setting'!$E$61*'Assumption Setting'!$G$65</f>
        <v>1.67606025255237</v>
      </c>
      <c r="BF84" s="68" t="n">
        <f aca="false">SUMPRODUCT(($C$3:$BN$3=52-'Assumption Setting'!$F$61)*($C$80:$BN$80))*'Assumption Setting'!$E$61*'Assumption Setting'!$G$65</f>
        <v>2.04835348509248</v>
      </c>
      <c r="BG84" s="68" t="n">
        <f aca="false">SUMPRODUCT(($C$3:$BN$3=53-'Assumption Setting'!$F$61)*($C$80:$BN$80))*'Assumption Setting'!$E$61*'Assumption Setting'!$G$65</f>
        <v>2.04835348509248</v>
      </c>
      <c r="BH84" s="68" t="n">
        <f aca="false">SUMPRODUCT(($C$3:$BN$3=54-'Assumption Setting'!$F$61)*($C$80:$BN$80))*'Assumption Setting'!$E$61*'Assumption Setting'!$G$65</f>
        <v>2.04835348509248</v>
      </c>
      <c r="BI84" s="68" t="n">
        <f aca="false">SUMPRODUCT(($C$3:$BN$3=55-'Assumption Setting'!$F$61)*($C$80:$BN$80))*'Assumption Setting'!$E$61*'Assumption Setting'!$G$65</f>
        <v>2.04835348509248</v>
      </c>
      <c r="BJ84" s="68" t="n">
        <f aca="false">SUMPRODUCT(($C$3:$BN$3=56-'Assumption Setting'!$F$61)*($C$80:$BN$80))*'Assumption Setting'!$E$61*'Assumption Setting'!$G$65</f>
        <v>2.04835348509248</v>
      </c>
      <c r="BK84" s="68" t="n">
        <f aca="false">SUMPRODUCT(($C$3:$BN$3=57-'Assumption Setting'!$F$61)*($C$80:$BN$80))*'Assumption Setting'!$E$61*'Assumption Setting'!$G$65</f>
        <v>2.04835348509248</v>
      </c>
      <c r="BL84" s="68" t="n">
        <f aca="false">SUMPRODUCT(($C$3:$BN$3=58-'Assumption Setting'!$F$61)*($C$80:$BN$80))*'Assumption Setting'!$E$61*'Assumption Setting'!$G$65</f>
        <v>2.04835348509248</v>
      </c>
      <c r="BM84" s="68" t="n">
        <f aca="false">SUMPRODUCT(($C$3:$BN$3=59-'Assumption Setting'!$F$61)*($C$80:$BN$80))*'Assumption Setting'!$E$61*'Assumption Setting'!$G$65</f>
        <v>2.04835348509248</v>
      </c>
      <c r="BN84" s="68" t="n">
        <f aca="false">SUMPRODUCT(($C$3:$BN$3=60-'Assumption Setting'!$F$61)*($C$80:$BN$80))*'Assumption Setting'!$E$61*'Assumption Setting'!$G$65</f>
        <v>2.04835348509248</v>
      </c>
    </row>
    <row r="85" customFormat="false" ht="15" hidden="false" customHeight="false" outlineLevel="0" collapsed="false">
      <c r="A85" s="4" t="s">
        <v>698</v>
      </c>
      <c r="B85" s="65" t="n">
        <f aca="false">SUM(C85:N85)</f>
        <v>42.5439256702</v>
      </c>
      <c r="C85" s="68" t="n">
        <f aca="false">C82*'Assumption Setting'!$G$59+C83*'Assumption Setting'!$G$60+C84*'Assumption Setting'!$G$61</f>
        <v>0</v>
      </c>
      <c r="D85" s="68" t="n">
        <f aca="false">D82*'Assumption Setting'!$G$59+D83*'Assumption Setting'!$G$60+D84*'Assumption Setting'!$G$61</f>
        <v>3.86762960638182</v>
      </c>
      <c r="E85" s="68" t="n">
        <f aca="false">E82*'Assumption Setting'!$G$59+E83*'Assumption Setting'!$G$60+E84*'Assumption Setting'!$G$61</f>
        <v>3.86762960638182</v>
      </c>
      <c r="F85" s="68" t="n">
        <f aca="false">F82*'Assumption Setting'!$G$59+F83*'Assumption Setting'!$G$60+F84*'Assumption Setting'!$G$61</f>
        <v>3.86762960638182</v>
      </c>
      <c r="G85" s="68" t="n">
        <f aca="false">G82*'Assumption Setting'!$G$59+G83*'Assumption Setting'!$G$60+G84*'Assumption Setting'!$G$61</f>
        <v>3.86762960638182</v>
      </c>
      <c r="H85" s="68" t="n">
        <f aca="false">H82*'Assumption Setting'!$G$59+H83*'Assumption Setting'!$G$60+H84*'Assumption Setting'!$G$61</f>
        <v>3.86762960638182</v>
      </c>
      <c r="I85" s="68" t="n">
        <f aca="false">I82*'Assumption Setting'!$G$59+I83*'Assumption Setting'!$G$60+I84*'Assumption Setting'!$G$61</f>
        <v>3.86762960638182</v>
      </c>
      <c r="J85" s="68" t="n">
        <f aca="false">J82*'Assumption Setting'!$G$59+J83*'Assumption Setting'!$G$60+J84*'Assumption Setting'!$G$61</f>
        <v>3.86762960638182</v>
      </c>
      <c r="K85" s="68" t="n">
        <f aca="false">K82*'Assumption Setting'!$G$59+K83*'Assumption Setting'!$G$60+K84*'Assumption Setting'!$G$61</f>
        <v>3.86762960638182</v>
      </c>
      <c r="L85" s="68" t="n">
        <f aca="false">L82*'Assumption Setting'!$G$59+L83*'Assumption Setting'!$G$60+L84*'Assumption Setting'!$G$61</f>
        <v>3.86762960638182</v>
      </c>
      <c r="M85" s="68" t="n">
        <f aca="false">M82*'Assumption Setting'!$G$59+M83*'Assumption Setting'!$G$60+M84*'Assumption Setting'!$G$61</f>
        <v>3.86762960638182</v>
      </c>
      <c r="N85" s="68" t="n">
        <f aca="false">N82*'Assumption Setting'!$G$59+N83*'Assumption Setting'!$G$60+N84*'Assumption Setting'!$G$61</f>
        <v>3.86762960638182</v>
      </c>
      <c r="O85" s="65" t="n">
        <f aca="false">SUM(P85:AA85)</f>
        <v>106.25315401202</v>
      </c>
      <c r="P85" s="68" t="n">
        <f aca="false">P82*'Assumption Setting'!$G$59+P83*'Assumption Setting'!$G$60+P84*'Assumption Setting'!$G$61</f>
        <v>4.25439256702</v>
      </c>
      <c r="Q85" s="68" t="n">
        <f aca="false">Q82*'Assumption Setting'!$G$59+Q83*'Assumption Setting'!$G$60+Q84*'Assumption Setting'!$G$61</f>
        <v>9.27261467681819</v>
      </c>
      <c r="R85" s="68" t="n">
        <f aca="false">R82*'Assumption Setting'!$G$59+R83*'Assumption Setting'!$G$60+R84*'Assumption Setting'!$G$61</f>
        <v>9.27261467681819</v>
      </c>
      <c r="S85" s="68" t="n">
        <f aca="false">S82*'Assumption Setting'!$G$59+S83*'Assumption Setting'!$G$60+S84*'Assumption Setting'!$G$61</f>
        <v>9.27261467681819</v>
      </c>
      <c r="T85" s="68" t="n">
        <f aca="false">T82*'Assumption Setting'!$G$59+T83*'Assumption Setting'!$G$60+T84*'Assumption Setting'!$G$61</f>
        <v>9.27261467681819</v>
      </c>
      <c r="U85" s="68" t="n">
        <f aca="false">U82*'Assumption Setting'!$G$59+U83*'Assumption Setting'!$G$60+U84*'Assumption Setting'!$G$61</f>
        <v>9.27261467681819</v>
      </c>
      <c r="V85" s="68" t="n">
        <f aca="false">V82*'Assumption Setting'!$G$59+V83*'Assumption Setting'!$G$60+V84*'Assumption Setting'!$G$61</f>
        <v>9.27261467681819</v>
      </c>
      <c r="W85" s="68" t="n">
        <f aca="false">W82*'Assumption Setting'!$G$59+W83*'Assumption Setting'!$G$60+W84*'Assumption Setting'!$G$61</f>
        <v>9.27261467681819</v>
      </c>
      <c r="X85" s="68" t="n">
        <f aca="false">X82*'Assumption Setting'!$G$59+X83*'Assumption Setting'!$G$60+X84*'Assumption Setting'!$G$61</f>
        <v>9.27261467681819</v>
      </c>
      <c r="Y85" s="68" t="n">
        <f aca="false">Y82*'Assumption Setting'!$G$59+Y83*'Assumption Setting'!$G$60+Y84*'Assumption Setting'!$G$61</f>
        <v>9.27261467681819</v>
      </c>
      <c r="Z85" s="68" t="n">
        <f aca="false">Z82*'Assumption Setting'!$G$59+Z83*'Assumption Setting'!$G$60+Z84*'Assumption Setting'!$G$61</f>
        <v>9.27261467681819</v>
      </c>
      <c r="AA85" s="68" t="n">
        <f aca="false">AA82*'Assumption Setting'!$G$59+AA83*'Assumption Setting'!$G$60+AA84*'Assumption Setting'!$G$61</f>
        <v>9.27261467681819</v>
      </c>
      <c r="AB85" s="65" t="n">
        <f aca="false">SUM(AC85:AN85)</f>
        <v>192.74090694518</v>
      </c>
      <c r="AC85" s="68" t="n">
        <f aca="false">AC82*'Assumption Setting'!$G$59+AC83*'Assumption Setting'!$G$60+AC84*'Assumption Setting'!$G$61</f>
        <v>9.94698665331405</v>
      </c>
      <c r="AD85" s="68" t="n">
        <f aca="false">AD82*'Assumption Setting'!$G$59+AD83*'Assumption Setting'!$G$60+AD84*'Assumption Setting'!$G$61</f>
        <v>16.6176291174423</v>
      </c>
      <c r="AE85" s="68" t="n">
        <f aca="false">AE82*'Assumption Setting'!$G$59+AE83*'Assumption Setting'!$G$60+AE84*'Assumption Setting'!$G$61</f>
        <v>16.6176291174423</v>
      </c>
      <c r="AF85" s="68" t="n">
        <f aca="false">AF82*'Assumption Setting'!$G$59+AF83*'Assumption Setting'!$G$60+AF84*'Assumption Setting'!$G$61</f>
        <v>16.6176291174423</v>
      </c>
      <c r="AG85" s="68" t="n">
        <f aca="false">AG82*'Assumption Setting'!$G$59+AG83*'Assumption Setting'!$G$60+AG84*'Assumption Setting'!$G$61</f>
        <v>16.6176291174423</v>
      </c>
      <c r="AH85" s="68" t="n">
        <f aca="false">AH82*'Assumption Setting'!$G$59+AH83*'Assumption Setting'!$G$60+AH84*'Assumption Setting'!$G$61</f>
        <v>16.6176291174423</v>
      </c>
      <c r="AI85" s="68" t="n">
        <f aca="false">AI82*'Assumption Setting'!$G$59+AI83*'Assumption Setting'!$G$60+AI84*'Assumption Setting'!$G$61</f>
        <v>16.6176291174423</v>
      </c>
      <c r="AJ85" s="68" t="n">
        <f aca="false">AJ82*'Assumption Setting'!$G$59+AJ83*'Assumption Setting'!$G$60+AJ84*'Assumption Setting'!$G$61</f>
        <v>16.6176291174423</v>
      </c>
      <c r="AK85" s="68" t="n">
        <f aca="false">AK82*'Assumption Setting'!$G$59+AK83*'Assumption Setting'!$G$60+AK84*'Assumption Setting'!$G$61</f>
        <v>16.6176291174423</v>
      </c>
      <c r="AL85" s="68" t="n">
        <f aca="false">AL82*'Assumption Setting'!$G$59+AL83*'Assumption Setting'!$G$60+AL84*'Assumption Setting'!$G$61</f>
        <v>16.6176291174423</v>
      </c>
      <c r="AM85" s="68" t="n">
        <f aca="false">AM82*'Assumption Setting'!$G$59+AM83*'Assumption Setting'!$G$60+AM84*'Assumption Setting'!$G$61</f>
        <v>16.6176291174423</v>
      </c>
      <c r="AN85" s="68" t="n">
        <f aca="false">AN82*'Assumption Setting'!$G$59+AN83*'Assumption Setting'!$G$60+AN84*'Assumption Setting'!$G$61</f>
        <v>16.6176291174423</v>
      </c>
      <c r="AO85" s="65" t="n">
        <f aca="false">SUM(AP85:BA85)</f>
        <v>271.499507924766</v>
      </c>
      <c r="AP85" s="68" t="n">
        <f aca="false">AP82*'Assumption Setting'!$G$59+AP83*'Assumption Setting'!$G$60+AP84*'Assumption Setting'!$G$61</f>
        <v>17.4625933098546</v>
      </c>
      <c r="AQ85" s="68" t="n">
        <f aca="false">AQ82*'Assumption Setting'!$G$59+AQ83*'Assumption Setting'!$G$60+AQ84*'Assumption Setting'!$G$61</f>
        <v>23.0942649649919</v>
      </c>
      <c r="AR85" s="68" t="n">
        <f aca="false">AR82*'Assumption Setting'!$G$59+AR83*'Assumption Setting'!$G$60+AR84*'Assumption Setting'!$G$61</f>
        <v>23.0942649649919</v>
      </c>
      <c r="AS85" s="68" t="n">
        <f aca="false">AS82*'Assumption Setting'!$G$59+AS83*'Assumption Setting'!$G$60+AS84*'Assumption Setting'!$G$61</f>
        <v>23.0942649649919</v>
      </c>
      <c r="AT85" s="68" t="n">
        <f aca="false">AT82*'Assumption Setting'!$G$59+AT83*'Assumption Setting'!$G$60+AT84*'Assumption Setting'!$G$61</f>
        <v>23.0942649649919</v>
      </c>
      <c r="AU85" s="68" t="n">
        <f aca="false">AU82*'Assumption Setting'!$G$59+AU83*'Assumption Setting'!$G$60+AU84*'Assumption Setting'!$G$61</f>
        <v>23.0942649649919</v>
      </c>
      <c r="AV85" s="68" t="n">
        <f aca="false">AV82*'Assumption Setting'!$G$59+AV83*'Assumption Setting'!$G$60+AV84*'Assumption Setting'!$G$61</f>
        <v>23.0942649649919</v>
      </c>
      <c r="AW85" s="68" t="n">
        <f aca="false">AW82*'Assumption Setting'!$G$59+AW83*'Assumption Setting'!$G$60+AW84*'Assumption Setting'!$G$61</f>
        <v>23.0942649649919</v>
      </c>
      <c r="AX85" s="68" t="n">
        <f aca="false">AX82*'Assumption Setting'!$G$59+AX83*'Assumption Setting'!$G$60+AX84*'Assumption Setting'!$G$61</f>
        <v>23.0942649649919</v>
      </c>
      <c r="AY85" s="68" t="n">
        <f aca="false">AY82*'Assumption Setting'!$G$59+AY83*'Assumption Setting'!$G$60+AY84*'Assumption Setting'!$G$61</f>
        <v>23.0942649649919</v>
      </c>
      <c r="AZ85" s="68" t="n">
        <f aca="false">AZ82*'Assumption Setting'!$G$59+AZ83*'Assumption Setting'!$G$60+AZ84*'Assumption Setting'!$G$61</f>
        <v>23.0942649649919</v>
      </c>
      <c r="BA85" s="68" t="n">
        <f aca="false">BA82*'Assumption Setting'!$G$59+BA83*'Assumption Setting'!$G$60+BA84*'Assumption Setting'!$G$61</f>
        <v>23.0942649649919</v>
      </c>
      <c r="BB85" s="65" t="n">
        <f aca="false">SUM(BC85:BN85)</f>
        <v>344.318842829783</v>
      </c>
      <c r="BC85" s="68" t="n">
        <f aca="false">BC82*'Assumption Setting'!$G$59+BC83*'Assumption Setting'!$G$60+BC84*'Assumption Setting'!$G$61</f>
        <v>23.8392412541852</v>
      </c>
      <c r="BD85" s="68" t="n">
        <f aca="false">BD82*'Assumption Setting'!$G$59+BD83*'Assumption Setting'!$G$60+BD84*'Assumption Setting'!$G$61</f>
        <v>29.1345092341452</v>
      </c>
      <c r="BE85" s="68" t="n">
        <f aca="false">BE82*'Assumption Setting'!$G$59+BE83*'Assumption Setting'!$G$60+BE84*'Assumption Setting'!$G$61</f>
        <v>29.1345092341452</v>
      </c>
      <c r="BF85" s="68" t="n">
        <f aca="false">BF82*'Assumption Setting'!$G$59+BF83*'Assumption Setting'!$G$60+BF84*'Assumption Setting'!$G$61</f>
        <v>29.1345092341452</v>
      </c>
      <c r="BG85" s="68" t="n">
        <f aca="false">BG82*'Assumption Setting'!$G$59+BG83*'Assumption Setting'!$G$60+BG84*'Assumption Setting'!$G$61</f>
        <v>29.1345092341452</v>
      </c>
      <c r="BH85" s="68" t="n">
        <f aca="false">BH82*'Assumption Setting'!$G$59+BH83*'Assumption Setting'!$G$60+BH84*'Assumption Setting'!$G$61</f>
        <v>29.1345092341452</v>
      </c>
      <c r="BI85" s="68" t="n">
        <f aca="false">BI82*'Assumption Setting'!$G$59+BI83*'Assumption Setting'!$G$60+BI84*'Assumption Setting'!$G$61</f>
        <v>29.1345092341452</v>
      </c>
      <c r="BJ85" s="68" t="n">
        <f aca="false">BJ82*'Assumption Setting'!$G$59+BJ83*'Assumption Setting'!$G$60+BJ84*'Assumption Setting'!$G$61</f>
        <v>29.1345092341452</v>
      </c>
      <c r="BK85" s="68" t="n">
        <f aca="false">BK82*'Assumption Setting'!$G$59+BK83*'Assumption Setting'!$G$60+BK84*'Assumption Setting'!$G$61</f>
        <v>29.1345092341452</v>
      </c>
      <c r="BL85" s="68" t="n">
        <f aca="false">BL82*'Assumption Setting'!$G$59+BL83*'Assumption Setting'!$G$60+BL84*'Assumption Setting'!$G$61</f>
        <v>29.1345092341452</v>
      </c>
      <c r="BM85" s="68" t="n">
        <f aca="false">BM82*'Assumption Setting'!$G$59+BM83*'Assumption Setting'!$G$60+BM84*'Assumption Setting'!$G$61</f>
        <v>29.1345092341452</v>
      </c>
      <c r="BN85" s="68" t="n">
        <f aca="false">BN82*'Assumption Setting'!$G$59+BN83*'Assumption Setting'!$G$60+BN84*'Assumption Setting'!$G$61</f>
        <v>29.1345092341452</v>
      </c>
    </row>
    <row r="86" customFormat="false" ht="15" hidden="false" customHeight="false" outlineLevel="0" collapsed="false">
      <c r="A86" s="4" t="s">
        <v>699</v>
      </c>
      <c r="B86" s="65" t="n">
        <f aca="false">SUM(C86:N86)</f>
        <v>23.1976829655367</v>
      </c>
      <c r="C86" s="68" t="n">
        <f aca="false">C82*'Assumption Setting'!$H$59+C83*'Assumption Setting'!$H$60+C84*'Assumption Setting'!$H$61</f>
        <v>0</v>
      </c>
      <c r="D86" s="68" t="n">
        <f aca="false">D82*'Assumption Setting'!$H$59+D83*'Assumption Setting'!$H$60+D84*'Assumption Setting'!$H$61</f>
        <v>2.042136127784</v>
      </c>
      <c r="E86" s="68" t="n">
        <f aca="false">E82*'Assumption Setting'!$H$59+E83*'Assumption Setting'!$H$60+E84*'Assumption Setting'!$H$61</f>
        <v>2.042136127784</v>
      </c>
      <c r="F86" s="68" t="n">
        <f aca="false">F82*'Assumption Setting'!$H$59+F83*'Assumption Setting'!$H$60+F84*'Assumption Setting'!$H$61</f>
        <v>2.12371230110764</v>
      </c>
      <c r="G86" s="68" t="n">
        <f aca="false">G82*'Assumption Setting'!$H$59+G83*'Assumption Setting'!$H$60+G84*'Assumption Setting'!$H$61</f>
        <v>2.12371230110764</v>
      </c>
      <c r="H86" s="68" t="n">
        <f aca="false">H82*'Assumption Setting'!$H$59+H83*'Assumption Setting'!$H$60+H84*'Assumption Setting'!$H$61</f>
        <v>2.12371230110764</v>
      </c>
      <c r="I86" s="68" t="n">
        <f aca="false">I82*'Assumption Setting'!$H$59+I83*'Assumption Setting'!$H$60+I84*'Assumption Setting'!$H$61</f>
        <v>2.12371230110764</v>
      </c>
      <c r="J86" s="68" t="n">
        <f aca="false">J82*'Assumption Setting'!$H$59+J83*'Assumption Setting'!$H$60+J84*'Assumption Setting'!$H$61</f>
        <v>2.12371230110764</v>
      </c>
      <c r="K86" s="68" t="n">
        <f aca="false">K82*'Assumption Setting'!$H$59+K83*'Assumption Setting'!$H$60+K84*'Assumption Setting'!$H$61</f>
        <v>2.12371230110764</v>
      </c>
      <c r="L86" s="68" t="n">
        <f aca="false">L82*'Assumption Setting'!$H$59+L83*'Assumption Setting'!$H$60+L84*'Assumption Setting'!$H$61</f>
        <v>2.12371230110764</v>
      </c>
      <c r="M86" s="68" t="n">
        <f aca="false">M82*'Assumption Setting'!$H$59+M83*'Assumption Setting'!$H$60+M84*'Assumption Setting'!$H$61</f>
        <v>2.12371230110764</v>
      </c>
      <c r="N86" s="68" t="n">
        <f aca="false">N82*'Assumption Setting'!$H$59+N83*'Assumption Setting'!$H$60+N84*'Assumption Setting'!$H$61</f>
        <v>2.12371230110764</v>
      </c>
      <c r="O86" s="65" t="n">
        <f aca="false">SUM(P86:AA86)</f>
        <v>58.1318322526577</v>
      </c>
      <c r="P86" s="68" t="n">
        <f aca="false">P82*'Assumption Setting'!$H$59+P83*'Assumption Setting'!$H$60+P84*'Assumption Setting'!$H$61</f>
        <v>2.3360835312184</v>
      </c>
      <c r="Q86" s="68" t="n">
        <f aca="false">Q82*'Assumption Setting'!$H$59+Q83*'Assumption Setting'!$H$60+Q84*'Assumption Setting'!$H$61</f>
        <v>4.985740740056</v>
      </c>
      <c r="R86" s="68" t="n">
        <f aca="false">R82*'Assumption Setting'!$H$59+R83*'Assumption Setting'!$H$60+R84*'Assumption Setting'!$H$61</f>
        <v>4.985740740056</v>
      </c>
      <c r="S86" s="68" t="n">
        <f aca="false">S82*'Assumption Setting'!$H$59+S83*'Assumption Setting'!$H$60+S84*'Assumption Setting'!$H$61</f>
        <v>5.09158524903637</v>
      </c>
      <c r="T86" s="68" t="n">
        <f aca="false">T82*'Assumption Setting'!$H$59+T83*'Assumption Setting'!$H$60+T84*'Assumption Setting'!$H$61</f>
        <v>5.09158524903637</v>
      </c>
      <c r="U86" s="68" t="n">
        <f aca="false">U82*'Assumption Setting'!$H$59+U83*'Assumption Setting'!$H$60+U84*'Assumption Setting'!$H$61</f>
        <v>5.09158524903637</v>
      </c>
      <c r="V86" s="68" t="n">
        <f aca="false">V82*'Assumption Setting'!$H$59+V83*'Assumption Setting'!$H$60+V84*'Assumption Setting'!$H$61</f>
        <v>5.09158524903637</v>
      </c>
      <c r="W86" s="68" t="n">
        <f aca="false">W82*'Assumption Setting'!$H$59+W83*'Assumption Setting'!$H$60+W84*'Assumption Setting'!$H$61</f>
        <v>5.09158524903637</v>
      </c>
      <c r="X86" s="68" t="n">
        <f aca="false">X82*'Assumption Setting'!$H$59+X83*'Assumption Setting'!$H$60+X84*'Assumption Setting'!$H$61</f>
        <v>5.09158524903637</v>
      </c>
      <c r="Y86" s="68" t="n">
        <f aca="false">Y82*'Assumption Setting'!$H$59+Y83*'Assumption Setting'!$H$60+Y84*'Assumption Setting'!$H$61</f>
        <v>5.09158524903637</v>
      </c>
      <c r="Z86" s="68" t="n">
        <f aca="false">Z82*'Assumption Setting'!$H$59+Z83*'Assumption Setting'!$H$60+Z84*'Assumption Setting'!$H$61</f>
        <v>5.09158524903637</v>
      </c>
      <c r="AA86" s="68" t="n">
        <f aca="false">AA82*'Assumption Setting'!$H$59+AA83*'Assumption Setting'!$H$60+AA84*'Assumption Setting'!$H$61</f>
        <v>5.09158524903637</v>
      </c>
      <c r="AB86" s="65" t="n">
        <f aca="false">SUM(AC86:AN86)</f>
        <v>105.552481902826</v>
      </c>
      <c r="AC86" s="68" t="n">
        <f aca="false">AC82*'Assumption Setting'!$H$59+AC83*'Assumption Setting'!$H$60+AC84*'Assumption Setting'!$H$61</f>
        <v>5.46188235805719</v>
      </c>
      <c r="AD86" s="68" t="n">
        <f aca="false">AD82*'Assumption Setting'!$H$59+AD83*'Assumption Setting'!$H$60+AD84*'Assumption Setting'!$H$61</f>
        <v>8.98402934675764</v>
      </c>
      <c r="AE86" s="68" t="n">
        <f aca="false">AE82*'Assumption Setting'!$H$59+AE83*'Assumption Setting'!$H$60+AE84*'Assumption Setting'!$H$61</f>
        <v>8.98402934675764</v>
      </c>
      <c r="AF86" s="68" t="n">
        <f aca="false">AF82*'Assumption Setting'!$H$59+AF83*'Assumption Setting'!$H$60+AF84*'Assumption Setting'!$H$61</f>
        <v>9.12472676125044</v>
      </c>
      <c r="AG86" s="68" t="n">
        <f aca="false">AG82*'Assumption Setting'!$H$59+AG83*'Assumption Setting'!$H$60+AG84*'Assumption Setting'!$H$61</f>
        <v>9.12472676125044</v>
      </c>
      <c r="AH86" s="68" t="n">
        <f aca="false">AH82*'Assumption Setting'!$H$59+AH83*'Assumption Setting'!$H$60+AH84*'Assumption Setting'!$H$61</f>
        <v>9.12472676125044</v>
      </c>
      <c r="AI86" s="68" t="n">
        <f aca="false">AI82*'Assumption Setting'!$H$59+AI83*'Assumption Setting'!$H$60+AI84*'Assumption Setting'!$H$61</f>
        <v>9.12472676125044</v>
      </c>
      <c r="AJ86" s="68" t="n">
        <f aca="false">AJ82*'Assumption Setting'!$H$59+AJ83*'Assumption Setting'!$H$60+AJ84*'Assumption Setting'!$H$61</f>
        <v>9.12472676125044</v>
      </c>
      <c r="AK86" s="68" t="n">
        <f aca="false">AK82*'Assumption Setting'!$H$59+AK83*'Assumption Setting'!$H$60+AK84*'Assumption Setting'!$H$61</f>
        <v>9.12472676125044</v>
      </c>
      <c r="AL86" s="68" t="n">
        <f aca="false">AL82*'Assumption Setting'!$H$59+AL83*'Assumption Setting'!$H$60+AL84*'Assumption Setting'!$H$61</f>
        <v>9.12472676125044</v>
      </c>
      <c r="AM86" s="68" t="n">
        <f aca="false">AM82*'Assumption Setting'!$H$59+AM83*'Assumption Setting'!$H$60+AM84*'Assumption Setting'!$H$61</f>
        <v>9.12472676125044</v>
      </c>
      <c r="AN86" s="68" t="n">
        <f aca="false">AN82*'Assumption Setting'!$H$59+AN83*'Assumption Setting'!$H$60+AN84*'Assumption Setting'!$H$61</f>
        <v>9.12472676125044</v>
      </c>
      <c r="AO86" s="65" t="n">
        <f aca="false">SUM(AP86:BA86)</f>
        <v>148.842594267178</v>
      </c>
      <c r="AP86" s="68" t="n">
        <f aca="false">AP82*'Assumption Setting'!$H$59+AP83*'Assumption Setting'!$H$60+AP84*'Assumption Setting'!$H$61</f>
        <v>9.58869591860216</v>
      </c>
      <c r="AQ86" s="68" t="n">
        <f aca="false">AQ82*'Assumption Setting'!$H$59+AQ83*'Assumption Setting'!$H$60+AQ84*'Assumption Setting'!$H$61</f>
        <v>12.5622588802147</v>
      </c>
      <c r="AR86" s="68" t="n">
        <f aca="false">AR82*'Assumption Setting'!$H$59+AR83*'Assumption Setting'!$H$60+AR84*'Assumption Setting'!$H$61</f>
        <v>12.5622588802147</v>
      </c>
      <c r="AS86" s="68" t="n">
        <f aca="false">AS82*'Assumption Setting'!$H$59+AS83*'Assumption Setting'!$H$60+AS84*'Assumption Setting'!$H$61</f>
        <v>12.6810422875718</v>
      </c>
      <c r="AT86" s="68" t="n">
        <f aca="false">AT82*'Assumption Setting'!$H$59+AT83*'Assumption Setting'!$H$60+AT84*'Assumption Setting'!$H$61</f>
        <v>12.6810422875718</v>
      </c>
      <c r="AU86" s="68" t="n">
        <f aca="false">AU82*'Assumption Setting'!$H$59+AU83*'Assumption Setting'!$H$60+AU84*'Assumption Setting'!$H$61</f>
        <v>12.6810422875718</v>
      </c>
      <c r="AV86" s="68" t="n">
        <f aca="false">AV82*'Assumption Setting'!$H$59+AV83*'Assumption Setting'!$H$60+AV84*'Assumption Setting'!$H$61</f>
        <v>12.6810422875718</v>
      </c>
      <c r="AW86" s="68" t="n">
        <f aca="false">AW82*'Assumption Setting'!$H$59+AW83*'Assumption Setting'!$H$60+AW84*'Assumption Setting'!$H$61</f>
        <v>12.6810422875718</v>
      </c>
      <c r="AX86" s="68" t="n">
        <f aca="false">AX82*'Assumption Setting'!$H$59+AX83*'Assumption Setting'!$H$60+AX84*'Assumption Setting'!$H$61</f>
        <v>12.6810422875718</v>
      </c>
      <c r="AY86" s="68" t="n">
        <f aca="false">AY82*'Assumption Setting'!$H$59+AY83*'Assumption Setting'!$H$60+AY84*'Assumption Setting'!$H$61</f>
        <v>12.6810422875718</v>
      </c>
      <c r="AZ86" s="68" t="n">
        <f aca="false">AZ82*'Assumption Setting'!$H$59+AZ83*'Assumption Setting'!$H$60+AZ84*'Assumption Setting'!$H$61</f>
        <v>12.6810422875718</v>
      </c>
      <c r="BA86" s="68" t="n">
        <f aca="false">BA82*'Assumption Setting'!$H$59+BA83*'Assumption Setting'!$H$60+BA84*'Assumption Setting'!$H$61</f>
        <v>12.6810422875718</v>
      </c>
      <c r="BB86" s="65" t="n">
        <f aca="false">SUM(BC86:BN86)</f>
        <v>188.841823275565</v>
      </c>
      <c r="BC86" s="68" t="n">
        <f aca="false">BC82*'Assumption Setting'!$H$59+BC83*'Assumption Setting'!$H$60+BC84*'Assumption Setting'!$H$61</f>
        <v>13.090108167816</v>
      </c>
      <c r="BD86" s="68" t="n">
        <f aca="false">BD82*'Assumption Setting'!$H$59+BD83*'Assumption Setting'!$H$60+BD84*'Assumption Setting'!$H$61</f>
        <v>15.8860475799901</v>
      </c>
      <c r="BE86" s="68" t="n">
        <f aca="false">BE82*'Assumption Setting'!$H$59+BE83*'Assumption Setting'!$H$60+BE84*'Assumption Setting'!$H$61</f>
        <v>15.8860475799901</v>
      </c>
      <c r="BF86" s="68" t="n">
        <f aca="false">BF82*'Assumption Setting'!$H$59+BF83*'Assumption Setting'!$H$60+BF84*'Assumption Setting'!$H$61</f>
        <v>15.9977355497521</v>
      </c>
      <c r="BG86" s="68" t="n">
        <f aca="false">BG82*'Assumption Setting'!$H$59+BG83*'Assumption Setting'!$H$60+BG84*'Assumption Setting'!$H$61</f>
        <v>15.9977355497521</v>
      </c>
      <c r="BH86" s="68" t="n">
        <f aca="false">BH82*'Assumption Setting'!$H$59+BH83*'Assumption Setting'!$H$60+BH84*'Assumption Setting'!$H$61</f>
        <v>15.9977355497521</v>
      </c>
      <c r="BI86" s="68" t="n">
        <f aca="false">BI82*'Assumption Setting'!$H$59+BI83*'Assumption Setting'!$H$60+BI84*'Assumption Setting'!$H$61</f>
        <v>15.9977355497521</v>
      </c>
      <c r="BJ86" s="68" t="n">
        <f aca="false">BJ82*'Assumption Setting'!$H$59+BJ83*'Assumption Setting'!$H$60+BJ84*'Assumption Setting'!$H$61</f>
        <v>15.9977355497521</v>
      </c>
      <c r="BK86" s="68" t="n">
        <f aca="false">BK82*'Assumption Setting'!$H$59+BK83*'Assumption Setting'!$H$60+BK84*'Assumption Setting'!$H$61</f>
        <v>15.9977355497521</v>
      </c>
      <c r="BL86" s="68" t="n">
        <f aca="false">BL82*'Assumption Setting'!$H$59+BL83*'Assumption Setting'!$H$60+BL84*'Assumption Setting'!$H$61</f>
        <v>15.9977355497521</v>
      </c>
      <c r="BM86" s="68" t="n">
        <f aca="false">BM82*'Assumption Setting'!$H$59+BM83*'Assumption Setting'!$H$60+BM84*'Assumption Setting'!$H$61</f>
        <v>15.9977355497521</v>
      </c>
      <c r="BN86" s="68" t="n">
        <f aca="false">BN82*'Assumption Setting'!$H$59+BN83*'Assumption Setting'!$H$60+BN84*'Assumption Setting'!$H$61</f>
        <v>15.9977355497521</v>
      </c>
    </row>
    <row r="87" customFormat="false" ht="15" hidden="false" customHeight="false" outlineLevel="0" collapsed="false">
      <c r="A87" s="4" t="s">
        <v>700</v>
      </c>
      <c r="B87" s="65" t="n">
        <f aca="false">SUM(C87:N87)</f>
        <v>2.19195681277236</v>
      </c>
      <c r="C87" s="68" t="n">
        <f aca="false">C82*'Assumption Setting'!$I$59+C83*'Assumption Setting'!$I$60+C84*'Assumption Setting'!$I$61</f>
        <v>0</v>
      </c>
      <c r="D87" s="68" t="n">
        <f aca="false">D82*'Assumption Setting'!$I$59+D83*'Assumption Setting'!$I$60+D84*'Assumption Setting'!$I$61</f>
        <v>0.0435324702705455</v>
      </c>
      <c r="E87" s="68" t="n">
        <f aca="false">E82*'Assumption Setting'!$I$59+E83*'Assumption Setting'!$I$60+E84*'Assumption Setting'!$I$61</f>
        <v>0.0435324702705455</v>
      </c>
      <c r="F87" s="68" t="n">
        <f aca="false">F82*'Assumption Setting'!$I$59+F83*'Assumption Setting'!$I$60+F84*'Assumption Setting'!$I$61</f>
        <v>0.233876874692364</v>
      </c>
      <c r="G87" s="68" t="n">
        <f aca="false">G82*'Assumption Setting'!$I$59+G83*'Assumption Setting'!$I$60+G84*'Assumption Setting'!$I$61</f>
        <v>0.233876874692364</v>
      </c>
      <c r="H87" s="68" t="n">
        <f aca="false">H82*'Assumption Setting'!$I$59+H83*'Assumption Setting'!$I$60+H84*'Assumption Setting'!$I$61</f>
        <v>0.233876874692364</v>
      </c>
      <c r="I87" s="68" t="n">
        <f aca="false">I82*'Assumption Setting'!$I$59+I83*'Assumption Setting'!$I$60+I84*'Assumption Setting'!$I$61</f>
        <v>0.233876874692364</v>
      </c>
      <c r="J87" s="68" t="n">
        <f aca="false">J82*'Assumption Setting'!$I$59+J83*'Assumption Setting'!$I$60+J84*'Assumption Setting'!$I$61</f>
        <v>0.233876874692364</v>
      </c>
      <c r="K87" s="68" t="n">
        <f aca="false">K82*'Assumption Setting'!$I$59+K83*'Assumption Setting'!$I$60+K84*'Assumption Setting'!$I$61</f>
        <v>0.233876874692364</v>
      </c>
      <c r="L87" s="68" t="n">
        <f aca="false">L82*'Assumption Setting'!$I$59+L83*'Assumption Setting'!$I$60+L84*'Assumption Setting'!$I$61</f>
        <v>0.233876874692364</v>
      </c>
      <c r="M87" s="68" t="n">
        <f aca="false">M82*'Assumption Setting'!$I$59+M83*'Assumption Setting'!$I$60+M84*'Assumption Setting'!$I$61</f>
        <v>0.233876874692364</v>
      </c>
      <c r="N87" s="68" t="n">
        <f aca="false">N82*'Assumption Setting'!$I$59+N83*'Assumption Setting'!$I$60+N84*'Assumption Setting'!$I$61</f>
        <v>0.233876874692364</v>
      </c>
      <c r="O87" s="65" t="n">
        <f aca="false">SUM(P87:AA87)</f>
        <v>5.93122323585324</v>
      </c>
      <c r="P87" s="68" t="n">
        <f aca="false">P82*'Assumption Setting'!$I$59+P83*'Assumption Setting'!$I$60+P84*'Assumption Setting'!$I$61</f>
        <v>0.2572645621616</v>
      </c>
      <c r="Q87" s="68" t="n">
        <f aca="false">Q82*'Assumption Setting'!$I$59+Q83*'Assumption Setting'!$I$60+Q84*'Assumption Setting'!$I$61</f>
        <v>0.313747635009455</v>
      </c>
      <c r="R87" s="68" t="n">
        <f aca="false">R82*'Assumption Setting'!$I$59+R83*'Assumption Setting'!$I$60+R84*'Assumption Setting'!$I$61</f>
        <v>0.313747635009455</v>
      </c>
      <c r="S87" s="68" t="n">
        <f aca="false">S82*'Assumption Setting'!$I$59+S83*'Assumption Setting'!$I$60+S84*'Assumption Setting'!$I$61</f>
        <v>0.560718155963637</v>
      </c>
      <c r="T87" s="68" t="n">
        <f aca="false">T82*'Assumption Setting'!$I$59+T83*'Assumption Setting'!$I$60+T84*'Assumption Setting'!$I$61</f>
        <v>0.560718155963637</v>
      </c>
      <c r="U87" s="68" t="n">
        <f aca="false">U82*'Assumption Setting'!$I$59+U83*'Assumption Setting'!$I$60+U84*'Assumption Setting'!$I$61</f>
        <v>0.560718155963637</v>
      </c>
      <c r="V87" s="68" t="n">
        <f aca="false">V82*'Assumption Setting'!$I$59+V83*'Assumption Setting'!$I$60+V84*'Assumption Setting'!$I$61</f>
        <v>0.560718155963637</v>
      </c>
      <c r="W87" s="68" t="n">
        <f aca="false">W82*'Assumption Setting'!$I$59+W83*'Assumption Setting'!$I$60+W84*'Assumption Setting'!$I$61</f>
        <v>0.560718155963637</v>
      </c>
      <c r="X87" s="68" t="n">
        <f aca="false">X82*'Assumption Setting'!$I$59+X83*'Assumption Setting'!$I$60+X84*'Assumption Setting'!$I$61</f>
        <v>0.560718155963637</v>
      </c>
      <c r="Y87" s="68" t="n">
        <f aca="false">Y82*'Assumption Setting'!$I$59+Y83*'Assumption Setting'!$I$60+Y84*'Assumption Setting'!$I$61</f>
        <v>0.560718155963637</v>
      </c>
      <c r="Z87" s="68" t="n">
        <f aca="false">Z82*'Assumption Setting'!$I$59+Z83*'Assumption Setting'!$I$60+Z84*'Assumption Setting'!$I$61</f>
        <v>0.560718155963637</v>
      </c>
      <c r="AA87" s="68" t="n">
        <f aca="false">AA82*'Assumption Setting'!$I$59+AA83*'Assumption Setting'!$I$60+AA84*'Assumption Setting'!$I$61</f>
        <v>0.560718155963637</v>
      </c>
      <c r="AB87" s="65" t="n">
        <f aca="false">SUM(AC87:AN87)</f>
        <v>10.9985201110336</v>
      </c>
      <c r="AC87" s="68" t="n">
        <f aca="false">AC82*'Assumption Setting'!$I$59+AC83*'Assumption Setting'!$I$60+AC84*'Assumption Setting'!$I$61</f>
        <v>0.601497658215537</v>
      </c>
      <c r="AD87" s="68" t="n">
        <f aca="false">AD82*'Assumption Setting'!$I$59+AD83*'Assumption Setting'!$I$60+AD84*'Assumption Setting'!$I$61</f>
        <v>0.676579704406295</v>
      </c>
      <c r="AE87" s="68" t="n">
        <f aca="false">AE82*'Assumption Setting'!$I$59+AE83*'Assumption Setting'!$I$60+AE84*'Assumption Setting'!$I$61</f>
        <v>0.676579704406295</v>
      </c>
      <c r="AF87" s="68" t="n">
        <f aca="false">AF82*'Assumption Setting'!$I$59+AF83*'Assumption Setting'!$I$60+AF84*'Assumption Setting'!$I$61</f>
        <v>1.00487367155617</v>
      </c>
      <c r="AG87" s="68" t="n">
        <f aca="false">AG82*'Assumption Setting'!$I$59+AG83*'Assumption Setting'!$I$60+AG84*'Assumption Setting'!$I$61</f>
        <v>1.00487367155617</v>
      </c>
      <c r="AH87" s="68" t="n">
        <f aca="false">AH82*'Assumption Setting'!$I$59+AH83*'Assumption Setting'!$I$60+AH84*'Assumption Setting'!$I$61</f>
        <v>1.00487367155617</v>
      </c>
      <c r="AI87" s="68" t="n">
        <f aca="false">AI82*'Assumption Setting'!$I$59+AI83*'Assumption Setting'!$I$60+AI84*'Assumption Setting'!$I$61</f>
        <v>1.00487367155617</v>
      </c>
      <c r="AJ87" s="68" t="n">
        <f aca="false">AJ82*'Assumption Setting'!$I$59+AJ83*'Assumption Setting'!$I$60+AJ84*'Assumption Setting'!$I$61</f>
        <v>1.00487367155617</v>
      </c>
      <c r="AK87" s="68" t="n">
        <f aca="false">AK82*'Assumption Setting'!$I$59+AK83*'Assumption Setting'!$I$60+AK84*'Assumption Setting'!$I$61</f>
        <v>1.00487367155617</v>
      </c>
      <c r="AL87" s="68" t="n">
        <f aca="false">AL82*'Assumption Setting'!$I$59+AL83*'Assumption Setting'!$I$60+AL84*'Assumption Setting'!$I$61</f>
        <v>1.00487367155617</v>
      </c>
      <c r="AM87" s="68" t="n">
        <f aca="false">AM82*'Assumption Setting'!$I$59+AM83*'Assumption Setting'!$I$60+AM84*'Assumption Setting'!$I$61</f>
        <v>1.00487367155617</v>
      </c>
      <c r="AN87" s="68" t="n">
        <f aca="false">AN82*'Assumption Setting'!$I$59+AN83*'Assumption Setting'!$I$60+AN84*'Assumption Setting'!$I$61</f>
        <v>1.00487367155617</v>
      </c>
      <c r="AO87" s="65" t="n">
        <f aca="false">SUM(AP87:BA87)</f>
        <v>15.8633448038895</v>
      </c>
      <c r="AP87" s="68" t="n">
        <f aca="false">AP82*'Assumption Setting'!$I$59+AP83*'Assumption Setting'!$I$60+AP84*'Assumption Setting'!$I$61</f>
        <v>1.05596894299123</v>
      </c>
      <c r="AQ87" s="68" t="n">
        <f aca="false">AQ82*'Assumption Setting'!$I$59+AQ83*'Assumption Setting'!$I$60+AQ84*'Assumption Setting'!$I$61</f>
        <v>1.11935675512717</v>
      </c>
      <c r="AR87" s="68" t="n">
        <f aca="false">AR82*'Assumption Setting'!$I$59+AR83*'Assumption Setting'!$I$60+AR84*'Assumption Setting'!$I$61</f>
        <v>1.11935675512717</v>
      </c>
      <c r="AS87" s="68" t="n">
        <f aca="false">AS82*'Assumption Setting'!$I$59+AS83*'Assumption Setting'!$I$60+AS84*'Assumption Setting'!$I$61</f>
        <v>1.39651803896044</v>
      </c>
      <c r="AT87" s="68" t="n">
        <f aca="false">AT82*'Assumption Setting'!$I$59+AT83*'Assumption Setting'!$I$60+AT84*'Assumption Setting'!$I$61</f>
        <v>1.39651803896044</v>
      </c>
      <c r="AU87" s="68" t="n">
        <f aca="false">AU82*'Assumption Setting'!$I$59+AU83*'Assumption Setting'!$I$60+AU84*'Assumption Setting'!$I$61</f>
        <v>1.39651803896044</v>
      </c>
      <c r="AV87" s="68" t="n">
        <f aca="false">AV82*'Assumption Setting'!$I$59+AV83*'Assumption Setting'!$I$60+AV84*'Assumption Setting'!$I$61</f>
        <v>1.39651803896044</v>
      </c>
      <c r="AW87" s="68" t="n">
        <f aca="false">AW82*'Assumption Setting'!$I$59+AW83*'Assumption Setting'!$I$60+AW84*'Assumption Setting'!$I$61</f>
        <v>1.39651803896044</v>
      </c>
      <c r="AX87" s="68" t="n">
        <f aca="false">AX82*'Assumption Setting'!$I$59+AX83*'Assumption Setting'!$I$60+AX84*'Assumption Setting'!$I$61</f>
        <v>1.39651803896044</v>
      </c>
      <c r="AY87" s="68" t="n">
        <f aca="false">AY82*'Assumption Setting'!$I$59+AY83*'Assumption Setting'!$I$60+AY84*'Assumption Setting'!$I$61</f>
        <v>1.39651803896044</v>
      </c>
      <c r="AZ87" s="68" t="n">
        <f aca="false">AZ82*'Assumption Setting'!$I$59+AZ83*'Assumption Setting'!$I$60+AZ84*'Assumption Setting'!$I$61</f>
        <v>1.39651803896044</v>
      </c>
      <c r="BA87" s="68" t="n">
        <f aca="false">BA82*'Assumption Setting'!$I$59+BA83*'Assumption Setting'!$I$60+BA84*'Assumption Setting'!$I$61</f>
        <v>1.39651803896044</v>
      </c>
      <c r="BB87" s="65" t="n">
        <f aca="false">SUM(BC87:BN87)</f>
        <v>20.2998667373349</v>
      </c>
      <c r="BC87" s="68" t="n">
        <f aca="false">BC82*'Assumption Setting'!$I$59+BC83*'Assumption Setting'!$I$60+BC84*'Assumption Setting'!$I$61</f>
        <v>1.44156700795916</v>
      </c>
      <c r="BD87" s="68" t="n">
        <f aca="false">BD82*'Assumption Setting'!$I$59+BD83*'Assumption Setting'!$I$60+BD84*'Assumption Setting'!$I$61</f>
        <v>1.50116839676118</v>
      </c>
      <c r="BE87" s="68" t="n">
        <f aca="false">BE82*'Assumption Setting'!$I$59+BE83*'Assumption Setting'!$I$60+BE84*'Assumption Setting'!$I$61</f>
        <v>1.50116839676118</v>
      </c>
      <c r="BF87" s="68" t="n">
        <f aca="false">BF82*'Assumption Setting'!$I$59+BF83*'Assumption Setting'!$I$60+BF84*'Assumption Setting'!$I$61</f>
        <v>1.76177365953926</v>
      </c>
      <c r="BG87" s="68" t="n">
        <f aca="false">BG82*'Assumption Setting'!$I$59+BG83*'Assumption Setting'!$I$60+BG84*'Assumption Setting'!$I$61</f>
        <v>1.76177365953926</v>
      </c>
      <c r="BH87" s="68" t="n">
        <f aca="false">BH82*'Assumption Setting'!$I$59+BH83*'Assumption Setting'!$I$60+BH84*'Assumption Setting'!$I$61</f>
        <v>1.76177365953926</v>
      </c>
      <c r="BI87" s="68" t="n">
        <f aca="false">BI82*'Assumption Setting'!$I$59+BI83*'Assumption Setting'!$I$60+BI84*'Assumption Setting'!$I$61</f>
        <v>1.76177365953926</v>
      </c>
      <c r="BJ87" s="68" t="n">
        <f aca="false">BJ82*'Assumption Setting'!$I$59+BJ83*'Assumption Setting'!$I$60+BJ84*'Assumption Setting'!$I$61</f>
        <v>1.76177365953926</v>
      </c>
      <c r="BK87" s="68" t="n">
        <f aca="false">BK82*'Assumption Setting'!$I$59+BK83*'Assumption Setting'!$I$60+BK84*'Assumption Setting'!$I$61</f>
        <v>1.76177365953926</v>
      </c>
      <c r="BL87" s="68" t="n">
        <f aca="false">BL82*'Assumption Setting'!$I$59+BL83*'Assumption Setting'!$I$60+BL84*'Assumption Setting'!$I$61</f>
        <v>1.76177365953926</v>
      </c>
      <c r="BM87" s="68" t="n">
        <f aca="false">BM82*'Assumption Setting'!$I$59+BM83*'Assumption Setting'!$I$60+BM84*'Assumption Setting'!$I$61</f>
        <v>1.76177365953926</v>
      </c>
      <c r="BN87" s="68" t="n">
        <f aca="false">BN82*'Assumption Setting'!$I$59+BN83*'Assumption Setting'!$I$60+BN84*'Assumption Setting'!$I$61</f>
        <v>1.76177365953926</v>
      </c>
    </row>
    <row r="89" customFormat="false" ht="15" hidden="false" customHeight="false" outlineLevel="0" collapsed="false">
      <c r="A89" s="9" t="s">
        <v>701</v>
      </c>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row>
    <row r="90" customFormat="false" ht="15" hidden="false" customHeight="false" outlineLevel="0" collapsed="false">
      <c r="A90" s="56" t="s">
        <v>632</v>
      </c>
      <c r="B90" s="57" t="s">
        <v>87</v>
      </c>
      <c r="C90" s="58" t="s">
        <v>562</v>
      </c>
      <c r="D90" s="58" t="s">
        <v>563</v>
      </c>
      <c r="E90" s="58" t="s">
        <v>564</v>
      </c>
      <c r="F90" s="58" t="s">
        <v>565</v>
      </c>
      <c r="G90" s="58" t="s">
        <v>566</v>
      </c>
      <c r="H90" s="58" t="s">
        <v>567</v>
      </c>
      <c r="I90" s="58" t="s">
        <v>568</v>
      </c>
      <c r="J90" s="58" t="s">
        <v>569</v>
      </c>
      <c r="K90" s="58" t="s">
        <v>570</v>
      </c>
      <c r="L90" s="58" t="s">
        <v>571</v>
      </c>
      <c r="M90" s="58" t="s">
        <v>572</v>
      </c>
      <c r="N90" s="58" t="s">
        <v>573</v>
      </c>
      <c r="O90" s="57" t="s">
        <v>88</v>
      </c>
      <c r="P90" s="58" t="s">
        <v>574</v>
      </c>
      <c r="Q90" s="58" t="s">
        <v>575</v>
      </c>
      <c r="R90" s="58" t="s">
        <v>576</v>
      </c>
      <c r="S90" s="58" t="s">
        <v>577</v>
      </c>
      <c r="T90" s="58" t="s">
        <v>578</v>
      </c>
      <c r="U90" s="58" t="s">
        <v>579</v>
      </c>
      <c r="V90" s="58" t="s">
        <v>580</v>
      </c>
      <c r="W90" s="58" t="s">
        <v>581</v>
      </c>
      <c r="X90" s="58" t="s">
        <v>582</v>
      </c>
      <c r="Y90" s="58" t="s">
        <v>583</v>
      </c>
      <c r="Z90" s="58" t="s">
        <v>584</v>
      </c>
      <c r="AA90" s="58" t="s">
        <v>585</v>
      </c>
      <c r="AB90" s="57" t="s">
        <v>89</v>
      </c>
      <c r="AC90" s="58" t="s">
        <v>586</v>
      </c>
      <c r="AD90" s="58" t="s">
        <v>587</v>
      </c>
      <c r="AE90" s="58" t="s">
        <v>588</v>
      </c>
      <c r="AF90" s="58" t="s">
        <v>589</v>
      </c>
      <c r="AG90" s="58" t="s">
        <v>590</v>
      </c>
      <c r="AH90" s="58" t="s">
        <v>591</v>
      </c>
      <c r="AI90" s="58" t="s">
        <v>592</v>
      </c>
      <c r="AJ90" s="58" t="s">
        <v>593</v>
      </c>
      <c r="AK90" s="58" t="s">
        <v>594</v>
      </c>
      <c r="AL90" s="58" t="s">
        <v>595</v>
      </c>
      <c r="AM90" s="58" t="s">
        <v>596</v>
      </c>
      <c r="AN90" s="58" t="s">
        <v>597</v>
      </c>
      <c r="AO90" s="57" t="s">
        <v>90</v>
      </c>
      <c r="AP90" s="58" t="s">
        <v>598</v>
      </c>
      <c r="AQ90" s="58" t="s">
        <v>599</v>
      </c>
      <c r="AR90" s="58" t="s">
        <v>600</v>
      </c>
      <c r="AS90" s="58" t="s">
        <v>601</v>
      </c>
      <c r="AT90" s="58" t="s">
        <v>602</v>
      </c>
      <c r="AU90" s="58" t="s">
        <v>603</v>
      </c>
      <c r="AV90" s="58" t="s">
        <v>604</v>
      </c>
      <c r="AW90" s="58" t="s">
        <v>605</v>
      </c>
      <c r="AX90" s="58" t="s">
        <v>606</v>
      </c>
      <c r="AY90" s="58" t="s">
        <v>607</v>
      </c>
      <c r="AZ90" s="58" t="s">
        <v>608</v>
      </c>
      <c r="BA90" s="58" t="s">
        <v>609</v>
      </c>
      <c r="BB90" s="57" t="s">
        <v>91</v>
      </c>
      <c r="BC90" s="58" t="s">
        <v>610</v>
      </c>
      <c r="BD90" s="58" t="s">
        <v>611</v>
      </c>
      <c r="BE90" s="58" t="s">
        <v>612</v>
      </c>
      <c r="BF90" s="58" t="s">
        <v>613</v>
      </c>
      <c r="BG90" s="58" t="s">
        <v>614</v>
      </c>
      <c r="BH90" s="58" t="s">
        <v>615</v>
      </c>
      <c r="BI90" s="58" t="s">
        <v>616</v>
      </c>
      <c r="BJ90" s="58" t="s">
        <v>617</v>
      </c>
      <c r="BK90" s="58" t="s">
        <v>618</v>
      </c>
      <c r="BL90" s="58" t="s">
        <v>619</v>
      </c>
      <c r="BM90" s="58" t="s">
        <v>620</v>
      </c>
      <c r="BN90" s="58" t="s">
        <v>621</v>
      </c>
    </row>
    <row r="91" customFormat="false" ht="15" hidden="false" customHeight="false" outlineLevel="0" collapsed="false">
      <c r="A91" s="4" t="s">
        <v>702</v>
      </c>
      <c r="B91" s="69" t="n">
        <f aca="false">C91</f>
        <v>0</v>
      </c>
      <c r="C91" s="70" t="n">
        <f aca="false">'Assumption Setting'!$C$13</f>
        <v>0</v>
      </c>
      <c r="D91" s="72" t="n">
        <f aca="false">C96</f>
        <v>396.154576409091</v>
      </c>
      <c r="E91" s="72" t="n">
        <f aca="false">D96</f>
        <v>814.3538048568</v>
      </c>
      <c r="F91" s="72" t="n">
        <f aca="false">E96</f>
        <v>1216.49418293212</v>
      </c>
      <c r="G91" s="72" t="n">
        <f aca="false">F96</f>
        <v>1603.19237048934</v>
      </c>
      <c r="H91" s="72" t="n">
        <f aca="false">G96</f>
        <v>1975.04134764437</v>
      </c>
      <c r="I91" s="72" t="n">
        <f aca="false">H96</f>
        <v>2332.61132407664</v>
      </c>
      <c r="J91" s="72" t="n">
        <f aca="false">I96</f>
        <v>2676.45061341392</v>
      </c>
      <c r="K91" s="72" t="n">
        <f aca="false">J96</f>
        <v>3007.08647404064</v>
      </c>
      <c r="L91" s="72" t="n">
        <f aca="false">K96</f>
        <v>3325.0259176193</v>
      </c>
      <c r="M91" s="72" t="n">
        <f aca="false">L96</f>
        <v>3630.75648656454</v>
      </c>
      <c r="N91" s="72" t="n">
        <f aca="false">M96</f>
        <v>3924.74700166228</v>
      </c>
      <c r="O91" s="69" t="n">
        <f aca="false">P91</f>
        <v>4207.44828098026</v>
      </c>
      <c r="P91" s="72" t="n">
        <f aca="false">N96</f>
        <v>4207.44828098026</v>
      </c>
      <c r="Q91" s="72" t="n">
        <f aca="false">P96</f>
        <v>4964.55712710806</v>
      </c>
      <c r="R91" s="72" t="n">
        <f aca="false">Q96</f>
        <v>5749.38260214176</v>
      </c>
      <c r="S91" s="72" t="n">
        <f aca="false">R96</f>
        <v>6507.52401102431</v>
      </c>
      <c r="T91" s="72" t="n">
        <f aca="false">S96</f>
        <v>7239.88861200486</v>
      </c>
      <c r="U91" s="72" t="n">
        <f aca="false">T96</f>
        <v>7947.35281655207</v>
      </c>
      <c r="V91" s="72" t="n">
        <f aca="false">U96</f>
        <v>8630.76323814467</v>
      </c>
      <c r="W91" s="72" t="n">
        <f aca="false">V96</f>
        <v>9290.93770540312</v>
      </c>
      <c r="X91" s="72" t="n">
        <f aca="false">W96</f>
        <v>9928.66624077479</v>
      </c>
      <c r="Y91" s="72" t="n">
        <f aca="false">X96</f>
        <v>10544.7120059438</v>
      </c>
      <c r="Z91" s="72" t="n">
        <f aca="false">Y96</f>
        <v>11139.8122150971</v>
      </c>
      <c r="AA91" s="72" t="n">
        <f aca="false">Z96</f>
        <v>11714.6790171392</v>
      </c>
      <c r="AB91" s="69" t="n">
        <f aca="false">AC91</f>
        <v>12270.0003479118</v>
      </c>
      <c r="AC91" s="72" t="n">
        <f aca="false">AA96</f>
        <v>12270.0003479118</v>
      </c>
      <c r="AD91" s="72" t="n">
        <f aca="false">AC96</f>
        <v>13381.9890731312</v>
      </c>
      <c r="AE91" s="72" t="n">
        <f aca="false">AD96</f>
        <v>14530.3220146887</v>
      </c>
      <c r="AF91" s="72" t="n">
        <f aca="false">AE96</f>
        <v>15642.367635293</v>
      </c>
      <c r="AG91" s="72" t="n">
        <f aca="false">AF96</f>
        <v>16719.2726142862</v>
      </c>
      <c r="AH91" s="72" t="n">
        <f aca="false">AG96</f>
        <v>17762.1473959432</v>
      </c>
      <c r="AI91" s="72" t="n">
        <f aca="false">AH96</f>
        <v>18772.0673344999</v>
      </c>
      <c r="AJ91" s="72" t="n">
        <f aca="false">AI96</f>
        <v>19750.0738029982</v>
      </c>
      <c r="AK91" s="72" t="n">
        <f aca="false">AJ96</f>
        <v>20697.1752670919</v>
      </c>
      <c r="AL91" s="72" t="n">
        <f aca="false">AK96</f>
        <v>21614.3483249203</v>
      </c>
      <c r="AM91" s="72" t="n">
        <f aca="false">AL96</f>
        <v>22502.5387141213</v>
      </c>
      <c r="AN91" s="72" t="n">
        <f aca="false">AM96</f>
        <v>23362.6622870235</v>
      </c>
      <c r="AO91" s="69" t="n">
        <f aca="false">AP91</f>
        <v>24195.605955022</v>
      </c>
      <c r="AP91" s="72" t="n">
        <f aca="false">AN96</f>
        <v>24195.605955022</v>
      </c>
      <c r="AQ91" s="72" t="n">
        <f aca="false">AP96</f>
        <v>25467.5751319585</v>
      </c>
      <c r="AR91" s="72" t="n">
        <f aca="false">AQ96</f>
        <v>26774.190713637</v>
      </c>
      <c r="AS91" s="72" t="n">
        <f aca="false">AR96</f>
        <v>28041.3465047488</v>
      </c>
      <c r="AT91" s="72" t="n">
        <f aca="false">AS96</f>
        <v>29270.2341909691</v>
      </c>
      <c r="AU91" s="72" t="n">
        <f aca="false">AT96</f>
        <v>30462.0094690655</v>
      </c>
      <c r="AV91" s="72" t="n">
        <f aca="false">AU96</f>
        <v>31617.7931337633</v>
      </c>
      <c r="AW91" s="72" t="n">
        <f aca="false">AV96</f>
        <v>32738.6721317874</v>
      </c>
      <c r="AX91" s="72" t="n">
        <f aca="false">AW96</f>
        <v>33825.700584071</v>
      </c>
      <c r="AY91" s="72" t="n">
        <f aca="false">AX96</f>
        <v>34879.9007770958</v>
      </c>
      <c r="AZ91" s="72" t="n">
        <f aca="false">AY96</f>
        <v>35902.2641242911</v>
      </c>
      <c r="BA91" s="72" t="n">
        <f aca="false">AZ96</f>
        <v>36893.7520984012</v>
      </c>
      <c r="BB91" s="69" t="n">
        <f aca="false">BC91</f>
        <v>37855.2971356931</v>
      </c>
      <c r="BC91" s="72" t="n">
        <f aca="false">BA96</f>
        <v>37855.2971356931</v>
      </c>
      <c r="BD91" s="72" t="n">
        <f aca="false">BC96</f>
        <v>39220.9955268536</v>
      </c>
      <c r="BE91" s="72" t="n">
        <f aca="false">BD96</f>
        <v>40589.4556713725</v>
      </c>
      <c r="BF91" s="72" t="n">
        <f aca="false">BE96</f>
        <v>41917.9567796715</v>
      </c>
      <c r="BG91" s="72" t="n">
        <f aca="false">BF96</f>
        <v>43207.6656556081</v>
      </c>
      <c r="BH91" s="72" t="n">
        <f aca="false">BG96</f>
        <v>44459.7150323674</v>
      </c>
      <c r="BI91" s="72" t="n">
        <f aca="false">BH96</f>
        <v>45675.2045673253</v>
      </c>
      <c r="BJ91" s="72" t="n">
        <f aca="false">BI96</f>
        <v>46855.2018078625</v>
      </c>
      <c r="BK91" s="72" t="n">
        <f aca="false">BJ96</f>
        <v>48000.743128976</v>
      </c>
      <c r="BL91" s="72" t="n">
        <f aca="false">BK96</f>
        <v>49112.8346435129</v>
      </c>
      <c r="BM91" s="72" t="n">
        <f aca="false">BL96</f>
        <v>50192.4530858254</v>
      </c>
      <c r="BN91" s="72" t="n">
        <f aca="false">BM96</f>
        <v>51240.5466696223</v>
      </c>
    </row>
    <row r="92" customFormat="false" ht="15" hidden="false" customHeight="false" outlineLevel="0" collapsed="false">
      <c r="A92" s="4" t="s">
        <v>703</v>
      </c>
      <c r="B92" s="69" t="n">
        <f aca="false">SUM(C92:N92)</f>
        <v>5163.68178240909</v>
      </c>
      <c r="C92" s="72" t="n">
        <f aca="false">C72</f>
        <v>396.154576409091</v>
      </c>
      <c r="D92" s="72" t="n">
        <f aca="false">D72</f>
        <v>433.411564181818</v>
      </c>
      <c r="E92" s="72" t="n">
        <f aca="false">E72</f>
        <v>433.411564181818</v>
      </c>
      <c r="F92" s="72" t="n">
        <f aca="false">F72</f>
        <v>433.411564181818</v>
      </c>
      <c r="G92" s="72" t="n">
        <f aca="false">G72</f>
        <v>433.411564181818</v>
      </c>
      <c r="H92" s="72" t="n">
        <f aca="false">H72</f>
        <v>433.411564181818</v>
      </c>
      <c r="I92" s="72" t="n">
        <f aca="false">I72</f>
        <v>433.411564181818</v>
      </c>
      <c r="J92" s="72" t="n">
        <f aca="false">J72</f>
        <v>433.411564181818</v>
      </c>
      <c r="K92" s="72" t="n">
        <f aca="false">K72</f>
        <v>433.411564181818</v>
      </c>
      <c r="L92" s="72" t="n">
        <f aca="false">L72</f>
        <v>433.411564181818</v>
      </c>
      <c r="M92" s="72" t="n">
        <f aca="false">M72</f>
        <v>433.411564181818</v>
      </c>
      <c r="N92" s="72" t="n">
        <f aca="false">N72</f>
        <v>433.411564181818</v>
      </c>
      <c r="O92" s="69" t="n">
        <f aca="false">SUM(P92:AA92)</f>
        <v>11389.9866785902</v>
      </c>
      <c r="P92" s="72" t="n">
        <f aca="false">P72</f>
        <v>900.16208768113</v>
      </c>
      <c r="Q92" s="72" t="n">
        <f aca="false">Q72</f>
        <v>953.620417355372</v>
      </c>
      <c r="R92" s="72" t="n">
        <f aca="false">R72</f>
        <v>953.620417355372</v>
      </c>
      <c r="S92" s="72" t="n">
        <f aca="false">S72</f>
        <v>953.620417355372</v>
      </c>
      <c r="T92" s="72" t="n">
        <f aca="false">T72</f>
        <v>953.620417355372</v>
      </c>
      <c r="U92" s="72" t="n">
        <f aca="false">U72</f>
        <v>953.620417355372</v>
      </c>
      <c r="V92" s="72" t="n">
        <f aca="false">V72</f>
        <v>953.620417355372</v>
      </c>
      <c r="W92" s="72" t="n">
        <f aca="false">W72</f>
        <v>953.620417355372</v>
      </c>
      <c r="X92" s="72" t="n">
        <f aca="false">X72</f>
        <v>953.620417355372</v>
      </c>
      <c r="Y92" s="72" t="n">
        <f aca="false">Y72</f>
        <v>953.620417355372</v>
      </c>
      <c r="Z92" s="72" t="n">
        <f aca="false">Z72</f>
        <v>953.620417355372</v>
      </c>
      <c r="AA92" s="72" t="n">
        <f aca="false">AA72</f>
        <v>953.620417355372</v>
      </c>
      <c r="AB92" s="69" t="n">
        <f aca="false">SUM(AC92:AN92)</f>
        <v>18782.9624951665</v>
      </c>
      <c r="AC92" s="72" t="n">
        <f aca="false">AC72</f>
        <v>1499.72073621337</v>
      </c>
      <c r="AD92" s="72" t="n">
        <f aca="false">AD72</f>
        <v>1571.20379626847</v>
      </c>
      <c r="AE92" s="72" t="n">
        <f aca="false">AE72</f>
        <v>1571.20379626847</v>
      </c>
      <c r="AF92" s="72" t="n">
        <f aca="false">AF72</f>
        <v>1571.20379626847</v>
      </c>
      <c r="AG92" s="72" t="n">
        <f aca="false">AG72</f>
        <v>1571.20379626847</v>
      </c>
      <c r="AH92" s="72" t="n">
        <f aca="false">AH72</f>
        <v>1571.20379626847</v>
      </c>
      <c r="AI92" s="72" t="n">
        <f aca="false">AI72</f>
        <v>1571.20379626847</v>
      </c>
      <c r="AJ92" s="72" t="n">
        <f aca="false">AJ72</f>
        <v>1571.20379626847</v>
      </c>
      <c r="AK92" s="72" t="n">
        <f aca="false">AK72</f>
        <v>1571.20379626847</v>
      </c>
      <c r="AL92" s="72" t="n">
        <f aca="false">AL72</f>
        <v>1571.20379626847</v>
      </c>
      <c r="AM92" s="72" t="n">
        <f aca="false">AM72</f>
        <v>1571.20379626847</v>
      </c>
      <c r="AN92" s="72" t="n">
        <f aca="false">AN72</f>
        <v>1571.20379626847</v>
      </c>
      <c r="AO92" s="69" t="n">
        <f aca="false">SUM(AP92:BA92)</f>
        <v>24835.7763340784</v>
      </c>
      <c r="AP92" s="72" t="n">
        <f aca="false">AP72</f>
        <v>2002.67647677811</v>
      </c>
      <c r="AQ92" s="72" t="n">
        <f aca="false">AQ72</f>
        <v>2075.73635066366</v>
      </c>
      <c r="AR92" s="72" t="n">
        <f aca="false">AR72</f>
        <v>2075.73635066366</v>
      </c>
      <c r="AS92" s="72" t="n">
        <f aca="false">AS72</f>
        <v>2075.73635066366</v>
      </c>
      <c r="AT92" s="72" t="n">
        <f aca="false">AT72</f>
        <v>2075.73635066366</v>
      </c>
      <c r="AU92" s="72" t="n">
        <f aca="false">AU72</f>
        <v>2075.73635066366</v>
      </c>
      <c r="AV92" s="72" t="n">
        <f aca="false">AV72</f>
        <v>2075.73635066366</v>
      </c>
      <c r="AW92" s="72" t="n">
        <f aca="false">AW72</f>
        <v>2075.73635066366</v>
      </c>
      <c r="AX92" s="72" t="n">
        <f aca="false">AX72</f>
        <v>2075.73635066366</v>
      </c>
      <c r="AY92" s="72" t="n">
        <f aca="false">AY72</f>
        <v>2075.73635066366</v>
      </c>
      <c r="AZ92" s="72" t="n">
        <f aca="false">AZ72</f>
        <v>2075.73635066366</v>
      </c>
      <c r="BA92" s="72" t="n">
        <f aca="false">BA72</f>
        <v>2075.73635066366</v>
      </c>
      <c r="BB92" s="69" t="n">
        <f aca="false">SUM(BC92:BN92)</f>
        <v>30121.9184204562</v>
      </c>
      <c r="BC92" s="72" t="n">
        <f aca="false">BC72</f>
        <v>2471.07306752271</v>
      </c>
      <c r="BD92" s="72" t="n">
        <f aca="false">BD72</f>
        <v>2513.71321390305</v>
      </c>
      <c r="BE92" s="72" t="n">
        <f aca="false">BE72</f>
        <v>2513.71321390305</v>
      </c>
      <c r="BF92" s="72" t="n">
        <f aca="false">BF72</f>
        <v>2513.71321390305</v>
      </c>
      <c r="BG92" s="72" t="n">
        <f aca="false">BG72</f>
        <v>2513.71321390305</v>
      </c>
      <c r="BH92" s="72" t="n">
        <f aca="false">BH72</f>
        <v>2513.71321390305</v>
      </c>
      <c r="BI92" s="72" t="n">
        <f aca="false">BI72</f>
        <v>2513.71321390305</v>
      </c>
      <c r="BJ92" s="72" t="n">
        <f aca="false">BJ72</f>
        <v>2513.71321390305</v>
      </c>
      <c r="BK92" s="72" t="n">
        <f aca="false">BK72</f>
        <v>2513.71321390305</v>
      </c>
      <c r="BL92" s="72" t="n">
        <f aca="false">BL72</f>
        <v>2513.71321390305</v>
      </c>
      <c r="BM92" s="72" t="n">
        <f aca="false">BM72</f>
        <v>2513.71321390305</v>
      </c>
      <c r="BN92" s="72" t="n">
        <f aca="false">BN72</f>
        <v>2513.71321390305</v>
      </c>
    </row>
    <row r="93" customFormat="false" ht="15" hidden="false" customHeight="false" outlineLevel="0" collapsed="false">
      <c r="A93" s="4" t="s">
        <v>704</v>
      </c>
      <c r="B93" s="69" t="n">
        <f aca="false">SUM(C93:N93)</f>
        <v>-74.7057422991271</v>
      </c>
      <c r="C93" s="72" t="n">
        <f aca="false">-C91*'Assumption Setting'!$C$70</f>
        <v>-0</v>
      </c>
      <c r="D93" s="72" t="n">
        <f aca="false">-D91*'Assumption Setting'!$C$70</f>
        <v>-1.18846372922727</v>
      </c>
      <c r="E93" s="72" t="n">
        <f aca="false">-E91*'Assumption Setting'!$C$70</f>
        <v>-2.4430614145704</v>
      </c>
      <c r="F93" s="72" t="n">
        <f aca="false">-F91*'Assumption Setting'!$C$70</f>
        <v>-3.64948254879635</v>
      </c>
      <c r="G93" s="72" t="n">
        <f aca="false">-G91*'Assumption Setting'!$C$70</f>
        <v>-4.80957711146803</v>
      </c>
      <c r="H93" s="72" t="n">
        <f aca="false">-H91*'Assumption Setting'!$C$70</f>
        <v>-5.92512404293311</v>
      </c>
      <c r="I93" s="72" t="n">
        <f aca="false">-I91*'Assumption Setting'!$C$70</f>
        <v>-6.99783397222993</v>
      </c>
      <c r="J93" s="72" t="n">
        <f aca="false">-J91*'Assumption Setting'!$C$70</f>
        <v>-8.02935184024176</v>
      </c>
      <c r="K93" s="72" t="n">
        <f aca="false">-K91*'Assumption Setting'!$C$70</f>
        <v>-9.02125942212193</v>
      </c>
      <c r="L93" s="72" t="n">
        <f aca="false">-L91*'Assumption Setting'!$C$70</f>
        <v>-9.9750777528579</v>
      </c>
      <c r="M93" s="72" t="n">
        <f aca="false">-M91*'Assumption Setting'!$C$70</f>
        <v>-10.8922694596936</v>
      </c>
      <c r="N93" s="72" t="n">
        <f aca="false">-N91*'Assumption Setting'!$C$70</f>
        <v>-11.7742410049868</v>
      </c>
      <c r="O93" s="69" t="n">
        <f aca="false">SUM(P93:AA93)</f>
        <v>-342.530033553099</v>
      </c>
      <c r="P93" s="72" t="n">
        <f aca="false">-P91*'Assumption Setting'!$D$70</f>
        <v>-14.7260689834309</v>
      </c>
      <c r="Q93" s="72" t="n">
        <f aca="false">-Q91*'Assumption Setting'!$D$70</f>
        <v>-17.3759499448782</v>
      </c>
      <c r="R93" s="72" t="n">
        <f aca="false">-R91*'Assumption Setting'!$D$70</f>
        <v>-20.1228391074962</v>
      </c>
      <c r="S93" s="72" t="n">
        <f aca="false">-S91*'Assumption Setting'!$D$70</f>
        <v>-22.7763340385851</v>
      </c>
      <c r="T93" s="72" t="n">
        <f aca="false">-T91*'Assumption Setting'!$D$70</f>
        <v>-25.339610142017</v>
      </c>
      <c r="U93" s="72" t="n">
        <f aca="false">-U91*'Assumption Setting'!$D$70</f>
        <v>-27.8157348579322</v>
      </c>
      <c r="V93" s="72" t="n">
        <f aca="false">-V91*'Assumption Setting'!$D$70</f>
        <v>-30.2076713335063</v>
      </c>
      <c r="W93" s="72" t="n">
        <f aca="false">-W91*'Assumption Setting'!$D$70</f>
        <v>-32.5182819689109</v>
      </c>
      <c r="X93" s="72" t="n">
        <f aca="false">-X91*'Assumption Setting'!$D$70</f>
        <v>-34.7503318427118</v>
      </c>
      <c r="Y93" s="72" t="n">
        <f aca="false">-Y91*'Assumption Setting'!$D$70</f>
        <v>-36.9064920208034</v>
      </c>
      <c r="Z93" s="72" t="n">
        <f aca="false">-Z91*'Assumption Setting'!$D$70</f>
        <v>-38.9893427528398</v>
      </c>
      <c r="AA93" s="72" t="n">
        <f aca="false">-AA91*'Assumption Setting'!$D$70</f>
        <v>-41.0013765599871</v>
      </c>
      <c r="AB93" s="69" t="n">
        <f aca="false">SUM(AC93:AN93)</f>
        <v>-868.019859247637</v>
      </c>
      <c r="AC93" s="72" t="n">
        <f aca="false">-AC91*'Assumption Setting'!$E$70</f>
        <v>-49.0800013916472</v>
      </c>
      <c r="AD93" s="72" t="n">
        <f aca="false">-AD91*'Assumption Setting'!$E$70</f>
        <v>-53.5279562925247</v>
      </c>
      <c r="AE93" s="72" t="n">
        <f aca="false">-AE91*'Assumption Setting'!$E$70</f>
        <v>-58.1212880587548</v>
      </c>
      <c r="AF93" s="72" t="n">
        <f aca="false">-AF91*'Assumption Setting'!$E$70</f>
        <v>-62.569470541172</v>
      </c>
      <c r="AG93" s="72" t="n">
        <f aca="false">-AG91*'Assumption Setting'!$E$70</f>
        <v>-66.8770904571449</v>
      </c>
      <c r="AH93" s="72" t="n">
        <f aca="false">-AH91*'Assumption Setting'!$E$70</f>
        <v>-71.048589583773</v>
      </c>
      <c r="AI93" s="72" t="n">
        <f aca="false">-AI91*'Assumption Setting'!$E$70</f>
        <v>-75.0882693379996</v>
      </c>
      <c r="AJ93" s="72" t="n">
        <f aca="false">-AJ91*'Assumption Setting'!$E$70</f>
        <v>-79.0002952119927</v>
      </c>
      <c r="AK93" s="72" t="n">
        <f aca="false">-AK91*'Assumption Setting'!$E$70</f>
        <v>-82.7887010683676</v>
      </c>
      <c r="AL93" s="72" t="n">
        <f aca="false">-AL91*'Assumption Setting'!$E$70</f>
        <v>-86.4573932996811</v>
      </c>
      <c r="AM93" s="72" t="n">
        <f aca="false">-AM91*'Assumption Setting'!$E$70</f>
        <v>-90.0101548564851</v>
      </c>
      <c r="AN93" s="72" t="n">
        <f aca="false">-AN91*'Assumption Setting'!$E$70</f>
        <v>-93.450649148094</v>
      </c>
      <c r="AO93" s="69" t="n">
        <f aca="false">SUM(AP93:BA93)</f>
        <v>-1665.31070166665</v>
      </c>
      <c r="AP93" s="72" t="n">
        <f aca="false">-AP91*'Assumption Setting'!$F$70</f>
        <v>-108.880226797599</v>
      </c>
      <c r="AQ93" s="72" t="n">
        <f aca="false">-AQ91*'Assumption Setting'!$F$70</f>
        <v>-114.604088093813</v>
      </c>
      <c r="AR93" s="72" t="n">
        <f aca="false">-AR91*'Assumption Setting'!$F$70</f>
        <v>-120.483858211366</v>
      </c>
      <c r="AS93" s="72" t="n">
        <f aca="false">-AS91*'Assumption Setting'!$F$70</f>
        <v>-126.18605927137</v>
      </c>
      <c r="AT93" s="72" t="n">
        <f aca="false">-AT91*'Assumption Setting'!$F$70</f>
        <v>-131.716053859361</v>
      </c>
      <c r="AU93" s="72" t="n">
        <f aca="false">-AU91*'Assumption Setting'!$F$70</f>
        <v>-137.079042610795</v>
      </c>
      <c r="AV93" s="72" t="n">
        <f aca="false">-AV91*'Assumption Setting'!$F$70</f>
        <v>-142.280069101935</v>
      </c>
      <c r="AW93" s="72" t="n">
        <f aca="false">-AW91*'Assumption Setting'!$F$70</f>
        <v>-147.324024593043</v>
      </c>
      <c r="AX93" s="72" t="n">
        <f aca="false">-AX91*'Assumption Setting'!$F$70</f>
        <v>-152.21565262832</v>
      </c>
      <c r="AY93" s="72" t="n">
        <f aca="false">-AY91*'Assumption Setting'!$F$70</f>
        <v>-156.959553496931</v>
      </c>
      <c r="AZ93" s="72" t="n">
        <f aca="false">-AZ91*'Assumption Setting'!$F$70</f>
        <v>-161.56018855931</v>
      </c>
      <c r="BA93" s="72" t="n">
        <f aca="false">-BA91*'Assumption Setting'!$F$70</f>
        <v>-166.021884442805</v>
      </c>
      <c r="BB93" s="69" t="n">
        <f aca="false">SUM(BC93:BN93)</f>
        <v>-2422.47631367111</v>
      </c>
      <c r="BC93" s="72" t="n">
        <f aca="false">-BC91*'Assumption Setting'!$G$70</f>
        <v>-170.348837110619</v>
      </c>
      <c r="BD93" s="72" t="n">
        <f aca="false">-BD91*'Assumption Setting'!$G$70</f>
        <v>-176.494479870841</v>
      </c>
      <c r="BE93" s="72" t="n">
        <f aca="false">-BE91*'Assumption Setting'!$G$70</f>
        <v>-182.652550521176</v>
      </c>
      <c r="BF93" s="72" t="n">
        <f aca="false">-BF91*'Assumption Setting'!$G$70</f>
        <v>-188.630805508522</v>
      </c>
      <c r="BG93" s="72" t="n">
        <f aca="false">-BG91*'Assumption Setting'!$G$70</f>
        <v>-194.434495450237</v>
      </c>
      <c r="BH93" s="72" t="n">
        <f aca="false">-BH91*'Assumption Setting'!$G$70</f>
        <v>-200.068717645653</v>
      </c>
      <c r="BI93" s="72" t="n">
        <f aca="false">-BI91*'Assumption Setting'!$G$70</f>
        <v>-205.538420552964</v>
      </c>
      <c r="BJ93" s="72" t="n">
        <f aca="false">-BJ91*'Assumption Setting'!$G$70</f>
        <v>-210.848408135381</v>
      </c>
      <c r="BK93" s="72" t="n">
        <f aca="false">-BK91*'Assumption Setting'!$G$70</f>
        <v>-216.003344080392</v>
      </c>
      <c r="BL93" s="72" t="n">
        <f aca="false">-BL91*'Assumption Setting'!$G$70</f>
        <v>-221.007755895808</v>
      </c>
      <c r="BM93" s="72" t="n">
        <f aca="false">-BM91*'Assumption Setting'!$G$70</f>
        <v>-225.866038886214</v>
      </c>
      <c r="BN93" s="72" t="n">
        <f aca="false">-BN91*'Assumption Setting'!$G$70</f>
        <v>-230.5824600133</v>
      </c>
    </row>
    <row r="94" customFormat="false" ht="15" hidden="false" customHeight="false" outlineLevel="0" collapsed="false">
      <c r="A94" s="4" t="s">
        <v>705</v>
      </c>
      <c r="B94" s="69" t="n">
        <f aca="false">SUM(C94:N94)</f>
        <v>-9.96076563988362</v>
      </c>
      <c r="C94" s="72" t="n">
        <f aca="false">-C91*'Assumption Setting'!$C$71</f>
        <v>-0</v>
      </c>
      <c r="D94" s="72" t="n">
        <f aca="false">-D91*'Assumption Setting'!$C$71</f>
        <v>-0.158461830563636</v>
      </c>
      <c r="E94" s="72" t="n">
        <f aca="false">-E91*'Assumption Setting'!$C$71</f>
        <v>-0.32574152194272</v>
      </c>
      <c r="F94" s="72" t="n">
        <f aca="false">-F91*'Assumption Setting'!$C$71</f>
        <v>-0.486597673172847</v>
      </c>
      <c r="G94" s="72" t="n">
        <f aca="false">-G91*'Assumption Setting'!$C$71</f>
        <v>-0.641276948195737</v>
      </c>
      <c r="H94" s="72" t="n">
        <f aca="false">-H91*'Assumption Setting'!$C$71</f>
        <v>-0.790016539057748</v>
      </c>
      <c r="I94" s="72" t="n">
        <f aca="false">-I91*'Assumption Setting'!$C$71</f>
        <v>-0.933044529630657</v>
      </c>
      <c r="J94" s="72" t="n">
        <f aca="false">-J91*'Assumption Setting'!$C$71</f>
        <v>-1.07058024536557</v>
      </c>
      <c r="K94" s="72" t="n">
        <f aca="false">-K91*'Assumption Setting'!$C$71</f>
        <v>-1.20283458961626</v>
      </c>
      <c r="L94" s="72" t="n">
        <f aca="false">-L91*'Assumption Setting'!$C$71</f>
        <v>-1.33001036704772</v>
      </c>
      <c r="M94" s="72" t="n">
        <f aca="false">-M91*'Assumption Setting'!$C$71</f>
        <v>-1.45230259462581</v>
      </c>
      <c r="N94" s="72" t="n">
        <f aca="false">-N91*'Assumption Setting'!$C$71</f>
        <v>-1.56989880066491</v>
      </c>
      <c r="O94" s="69" t="n">
        <f aca="false">SUM(P94:AA94)</f>
        <v>-48.932861936157</v>
      </c>
      <c r="P94" s="72" t="n">
        <f aca="false">-P91*'Assumption Setting'!$D$71</f>
        <v>-2.10372414049013</v>
      </c>
      <c r="Q94" s="72" t="n">
        <f aca="false">-Q91*'Assumption Setting'!$D$71</f>
        <v>-2.48227856355403</v>
      </c>
      <c r="R94" s="72" t="n">
        <f aca="false">-R91*'Assumption Setting'!$D$71</f>
        <v>-2.87469130107088</v>
      </c>
      <c r="S94" s="72" t="n">
        <f aca="false">-S91*'Assumption Setting'!$D$71</f>
        <v>-3.25376200551216</v>
      </c>
      <c r="T94" s="72" t="n">
        <f aca="false">-T91*'Assumption Setting'!$D$71</f>
        <v>-3.61994430600243</v>
      </c>
      <c r="U94" s="72" t="n">
        <f aca="false">-U91*'Assumption Setting'!$D$71</f>
        <v>-3.97367640827603</v>
      </c>
      <c r="V94" s="72" t="n">
        <f aca="false">-V91*'Assumption Setting'!$D$71</f>
        <v>-4.31538161907234</v>
      </c>
      <c r="W94" s="72" t="n">
        <f aca="false">-W91*'Assumption Setting'!$D$71</f>
        <v>-4.64546885270156</v>
      </c>
      <c r="X94" s="72" t="n">
        <f aca="false">-X91*'Assumption Setting'!$D$71</f>
        <v>-4.96433312038739</v>
      </c>
      <c r="Y94" s="72" t="n">
        <f aca="false">-Y91*'Assumption Setting'!$D$71</f>
        <v>-5.27235600297191</v>
      </c>
      <c r="Z94" s="72" t="n">
        <f aca="false">-Z91*'Assumption Setting'!$D$71</f>
        <v>-5.56990610754855</v>
      </c>
      <c r="AA94" s="72" t="n">
        <f aca="false">-AA91*'Assumption Setting'!$D$71</f>
        <v>-5.85733950856958</v>
      </c>
      <c r="AB94" s="69" t="n">
        <f aca="false">SUM(AC94:AN94)</f>
        <v>-130.202978887146</v>
      </c>
      <c r="AC94" s="72" t="n">
        <f aca="false">-AC91*'Assumption Setting'!$E$71</f>
        <v>-7.36200020874708</v>
      </c>
      <c r="AD94" s="72" t="n">
        <f aca="false">-AD91*'Assumption Setting'!$E$71</f>
        <v>-8.0291934438787</v>
      </c>
      <c r="AE94" s="72" t="n">
        <f aca="false">-AE91*'Assumption Setting'!$E$71</f>
        <v>-8.71819320881322</v>
      </c>
      <c r="AF94" s="72" t="n">
        <f aca="false">-AF91*'Assumption Setting'!$E$71</f>
        <v>-9.3854205811758</v>
      </c>
      <c r="AG94" s="72" t="n">
        <f aca="false">-AG91*'Assumption Setting'!$E$71</f>
        <v>-10.0315635685717</v>
      </c>
      <c r="AH94" s="72" t="n">
        <f aca="false">-AH91*'Assumption Setting'!$E$71</f>
        <v>-10.6572884375659</v>
      </c>
      <c r="AI94" s="72" t="n">
        <f aca="false">-AI91*'Assumption Setting'!$E$71</f>
        <v>-11.2632404006999</v>
      </c>
      <c r="AJ94" s="72" t="n">
        <f aca="false">-AJ91*'Assumption Setting'!$E$71</f>
        <v>-11.8500442817989</v>
      </c>
      <c r="AK94" s="72" t="n">
        <f aca="false">-AK91*'Assumption Setting'!$E$71</f>
        <v>-12.4183051602551</v>
      </c>
      <c r="AL94" s="72" t="n">
        <f aca="false">-AL91*'Assumption Setting'!$E$71</f>
        <v>-12.9686089949522</v>
      </c>
      <c r="AM94" s="72" t="n">
        <f aca="false">-AM91*'Assumption Setting'!$E$71</f>
        <v>-13.5015232284728</v>
      </c>
      <c r="AN94" s="72" t="n">
        <f aca="false">-AN91*'Assumption Setting'!$E$71</f>
        <v>-14.0175973722141</v>
      </c>
      <c r="AO94" s="69" t="n">
        <f aca="false">SUM(AP94:BA94)</f>
        <v>-259.048331370367</v>
      </c>
      <c r="AP94" s="72" t="n">
        <f aca="false">-AP91*'Assumption Setting'!$F$71</f>
        <v>-16.9369241685154</v>
      </c>
      <c r="AQ94" s="72" t="n">
        <f aca="false">-AQ91*'Assumption Setting'!$F$71</f>
        <v>-17.8273025923709</v>
      </c>
      <c r="AR94" s="72" t="n">
        <f aca="false">-AR91*'Assumption Setting'!$F$71</f>
        <v>-18.7419334995459</v>
      </c>
      <c r="AS94" s="72" t="n">
        <f aca="false">-AS91*'Assumption Setting'!$F$71</f>
        <v>-19.6289425533242</v>
      </c>
      <c r="AT94" s="72" t="n">
        <f aca="false">-AT91*'Assumption Setting'!$F$71</f>
        <v>-20.4891639336783</v>
      </c>
      <c r="AU94" s="72" t="n">
        <f aca="false">-AU91*'Assumption Setting'!$F$71</f>
        <v>-21.3234066283458</v>
      </c>
      <c r="AV94" s="72" t="n">
        <f aca="false">-AV91*'Assumption Setting'!$F$71</f>
        <v>-22.1324551936343</v>
      </c>
      <c r="AW94" s="72" t="n">
        <f aca="false">-AW91*'Assumption Setting'!$F$71</f>
        <v>-22.9170704922512</v>
      </c>
      <c r="AX94" s="72" t="n">
        <f aca="false">-AX91*'Assumption Setting'!$F$71</f>
        <v>-23.6779904088497</v>
      </c>
      <c r="AY94" s="72" t="n">
        <f aca="false">-AY91*'Assumption Setting'!$F$71</f>
        <v>-24.415930543967</v>
      </c>
      <c r="AZ94" s="72" t="n">
        <f aca="false">-AZ91*'Assumption Setting'!$F$71</f>
        <v>-25.1315848870038</v>
      </c>
      <c r="BA94" s="72" t="n">
        <f aca="false">-BA91*'Assumption Setting'!$F$71</f>
        <v>-25.8256264688808</v>
      </c>
      <c r="BB94" s="69" t="n">
        <f aca="false">SUM(BC94:BN94)</f>
        <v>-376.829648793283</v>
      </c>
      <c r="BC94" s="72" t="n">
        <f aca="false">-BC91*'Assumption Setting'!$G$71</f>
        <v>-26.4987079949852</v>
      </c>
      <c r="BD94" s="72" t="n">
        <f aca="false">-BD91*'Assumption Setting'!$G$71</f>
        <v>-27.4546968687975</v>
      </c>
      <c r="BE94" s="72" t="n">
        <f aca="false">-BE91*'Assumption Setting'!$G$71</f>
        <v>-28.4126189699608</v>
      </c>
      <c r="BF94" s="72" t="n">
        <f aca="false">-BF91*'Assumption Setting'!$G$71</f>
        <v>-29.34256974577</v>
      </c>
      <c r="BG94" s="72" t="n">
        <f aca="false">-BG91*'Assumption Setting'!$G$71</f>
        <v>-30.2453659589257</v>
      </c>
      <c r="BH94" s="72" t="n">
        <f aca="false">-BH91*'Assumption Setting'!$G$71</f>
        <v>-31.1218005226572</v>
      </c>
      <c r="BI94" s="72" t="n">
        <f aca="false">-BI91*'Assumption Setting'!$G$71</f>
        <v>-31.9726431971277</v>
      </c>
      <c r="BJ94" s="72" t="n">
        <f aca="false">-BJ91*'Assumption Setting'!$G$71</f>
        <v>-32.7986412655037</v>
      </c>
      <c r="BK94" s="72" t="n">
        <f aca="false">-BK91*'Assumption Setting'!$G$71</f>
        <v>-33.6005201902832</v>
      </c>
      <c r="BL94" s="72" t="n">
        <f aca="false">-BL91*'Assumption Setting'!$G$71</f>
        <v>-34.378984250459</v>
      </c>
      <c r="BM94" s="72" t="n">
        <f aca="false">-BM91*'Assumption Setting'!$G$71</f>
        <v>-35.1347171600778</v>
      </c>
      <c r="BN94" s="72" t="n">
        <f aca="false">-BN91*'Assumption Setting'!$G$71</f>
        <v>-35.8683826687356</v>
      </c>
    </row>
    <row r="95" customFormat="false" ht="15" hidden="false" customHeight="false" outlineLevel="0" collapsed="false">
      <c r="A95" s="4" t="s">
        <v>706</v>
      </c>
      <c r="B95" s="69" t="n">
        <f aca="false">SUM(C95:N95)</f>
        <v>-871.566993489817</v>
      </c>
      <c r="C95" s="72" t="n">
        <f aca="false">-C91*'Assumption Setting'!$C$74</f>
        <v>-0</v>
      </c>
      <c r="D95" s="72" t="n">
        <f aca="false">-D91*'Assumption Setting'!$C$74</f>
        <v>-13.8654101743182</v>
      </c>
      <c r="E95" s="72" t="n">
        <f aca="false">-E91*'Assumption Setting'!$C$74</f>
        <v>-28.502383169988</v>
      </c>
      <c r="F95" s="72" t="n">
        <f aca="false">-F91*'Assumption Setting'!$C$74</f>
        <v>-42.5772964026241</v>
      </c>
      <c r="G95" s="72" t="n">
        <f aca="false">-G91*'Assumption Setting'!$C$74</f>
        <v>-56.111732967127</v>
      </c>
      <c r="H95" s="72" t="n">
        <f aca="false">-H91*'Assumption Setting'!$C$74</f>
        <v>-69.1264471675529</v>
      </c>
      <c r="I95" s="72" t="n">
        <f aca="false">-I91*'Assumption Setting'!$C$74</f>
        <v>-81.6413963426825</v>
      </c>
      <c r="J95" s="72" t="n">
        <f aca="false">-J91*'Assumption Setting'!$C$74</f>
        <v>-93.6757714694872</v>
      </c>
      <c r="K95" s="72" t="n">
        <f aca="false">-K91*'Assumption Setting'!$C$74</f>
        <v>-105.248026591422</v>
      </c>
      <c r="L95" s="72" t="n">
        <f aca="false">-L91*'Assumption Setting'!$C$74</f>
        <v>-116.375907116676</v>
      </c>
      <c r="M95" s="72" t="n">
        <f aca="false">-M91*'Assumption Setting'!$C$74</f>
        <v>-127.076477029759</v>
      </c>
      <c r="N95" s="72" t="n">
        <f aca="false">-N91*'Assumption Setting'!$C$74</f>
        <v>-137.36614505818</v>
      </c>
      <c r="O95" s="69" t="n">
        <f aca="false">SUM(P95:AA95)</f>
        <v>-2935.97171616942</v>
      </c>
      <c r="P95" s="72" t="n">
        <f aca="false">-P91*'Assumption Setting'!$D$74</f>
        <v>-126.223448429408</v>
      </c>
      <c r="Q95" s="72" t="n">
        <f aca="false">-Q91*'Assumption Setting'!$D$74</f>
        <v>-148.936713813242</v>
      </c>
      <c r="R95" s="72" t="n">
        <f aca="false">-R91*'Assumption Setting'!$D$74</f>
        <v>-172.481478064253</v>
      </c>
      <c r="S95" s="72" t="n">
        <f aca="false">-S91*'Assumption Setting'!$D$74</f>
        <v>-195.225720330729</v>
      </c>
      <c r="T95" s="72" t="n">
        <f aca="false">-T91*'Assumption Setting'!$D$74</f>
        <v>-217.196658360146</v>
      </c>
      <c r="U95" s="72" t="n">
        <f aca="false">-U91*'Assumption Setting'!$D$74</f>
        <v>-238.420584496562</v>
      </c>
      <c r="V95" s="72" t="n">
        <f aca="false">-V91*'Assumption Setting'!$D$74</f>
        <v>-258.92289714434</v>
      </c>
      <c r="W95" s="72" t="n">
        <f aca="false">-W91*'Assumption Setting'!$D$74</f>
        <v>-278.728131162094</v>
      </c>
      <c r="X95" s="72" t="n">
        <f aca="false">-X91*'Assumption Setting'!$D$74</f>
        <v>-297.859987223244</v>
      </c>
      <c r="Y95" s="72" t="n">
        <f aca="false">-Y91*'Assumption Setting'!$D$74</f>
        <v>-316.341360178314</v>
      </c>
      <c r="Z95" s="72" t="n">
        <f aca="false">-Z91*'Assumption Setting'!$D$74</f>
        <v>-334.194366452913</v>
      </c>
      <c r="AA95" s="72" t="n">
        <f aca="false">-AA91*'Assumption Setting'!$D$74</f>
        <v>-351.440370514175</v>
      </c>
      <c r="AB95" s="69" t="n">
        <f aca="false">SUM(AC95:AN95)</f>
        <v>-5859.13404992155</v>
      </c>
      <c r="AC95" s="72" t="n">
        <f aca="false">-AC91*'Assumption Setting'!$E$74</f>
        <v>-331.290009393619</v>
      </c>
      <c r="AD95" s="72" t="n">
        <f aca="false">-AD91*'Assumption Setting'!$E$74</f>
        <v>-361.313704974542</v>
      </c>
      <c r="AE95" s="72" t="n">
        <f aca="false">-AE91*'Assumption Setting'!$E$74</f>
        <v>-392.318694396595</v>
      </c>
      <c r="AF95" s="72" t="n">
        <f aca="false">-AF91*'Assumption Setting'!$E$74</f>
        <v>-422.343926152911</v>
      </c>
      <c r="AG95" s="72" t="n">
        <f aca="false">-AG91*'Assumption Setting'!$E$74</f>
        <v>-451.420360585728</v>
      </c>
      <c r="AH95" s="72" t="n">
        <f aca="false">-AH91*'Assumption Setting'!$E$74</f>
        <v>-479.577979690467</v>
      </c>
      <c r="AI95" s="72" t="n">
        <f aca="false">-AI91*'Assumption Setting'!$E$74</f>
        <v>-506.845818031497</v>
      </c>
      <c r="AJ95" s="72" t="n">
        <f aca="false">-AJ91*'Assumption Setting'!$E$74</f>
        <v>-533.251992680951</v>
      </c>
      <c r="AK95" s="72" t="n">
        <f aca="false">-AK91*'Assumption Setting'!$E$74</f>
        <v>-558.823732211482</v>
      </c>
      <c r="AL95" s="72" t="n">
        <f aca="false">-AL91*'Assumption Setting'!$E$74</f>
        <v>-583.587404772847</v>
      </c>
      <c r="AM95" s="72" t="n">
        <f aca="false">-AM91*'Assumption Setting'!$E$74</f>
        <v>-607.568545281274</v>
      </c>
      <c r="AN95" s="72" t="n">
        <f aca="false">-AN91*'Assumption Setting'!$E$74</f>
        <v>-630.791881749635</v>
      </c>
      <c r="AO95" s="69" t="n">
        <f aca="false">SUM(AP95:BA95)</f>
        <v>-9251.72612037027</v>
      </c>
      <c r="AP95" s="72" t="n">
        <f aca="false">-AP91*'Assumption Setting'!$F$74</f>
        <v>-604.890148875551</v>
      </c>
      <c r="AQ95" s="72" t="n">
        <f aca="false">-AQ91*'Assumption Setting'!$F$74</f>
        <v>-636.689378298962</v>
      </c>
      <c r="AR95" s="72" t="n">
        <f aca="false">-AR91*'Assumption Setting'!$F$74</f>
        <v>-669.354767840925</v>
      </c>
      <c r="AS95" s="72" t="n">
        <f aca="false">-AS91*'Assumption Setting'!$F$74</f>
        <v>-701.03366261872</v>
      </c>
      <c r="AT95" s="72" t="n">
        <f aca="false">-AT91*'Assumption Setting'!$F$74</f>
        <v>-731.755854774227</v>
      </c>
      <c r="AU95" s="72" t="n">
        <f aca="false">-AU91*'Assumption Setting'!$F$74</f>
        <v>-761.550236726637</v>
      </c>
      <c r="AV95" s="72" t="n">
        <f aca="false">-AV91*'Assumption Setting'!$F$74</f>
        <v>-790.444828344084</v>
      </c>
      <c r="AW95" s="72" t="n">
        <f aca="false">-AW91*'Assumption Setting'!$F$74</f>
        <v>-818.466803294684</v>
      </c>
      <c r="AX95" s="72" t="n">
        <f aca="false">-AX91*'Assumption Setting'!$F$74</f>
        <v>-845.642514601776</v>
      </c>
      <c r="AY95" s="72" t="n">
        <f aca="false">-AY91*'Assumption Setting'!$F$74</f>
        <v>-871.997519427394</v>
      </c>
      <c r="AZ95" s="72" t="n">
        <f aca="false">-AZ91*'Assumption Setting'!$F$74</f>
        <v>-897.556603107278</v>
      </c>
      <c r="BA95" s="72" t="n">
        <f aca="false">-BA91*'Assumption Setting'!$F$74</f>
        <v>-922.34380246003</v>
      </c>
      <c r="BB95" s="69" t="n">
        <f aca="false">SUM(BC95:BN95)</f>
        <v>-12919.8736729126</v>
      </c>
      <c r="BC95" s="72" t="n">
        <f aca="false">-BC91*'Assumption Setting'!$G$74</f>
        <v>-908.527131256635</v>
      </c>
      <c r="BD95" s="72" t="n">
        <f aca="false">-BD91*'Assumption Setting'!$G$74</f>
        <v>-941.303892644486</v>
      </c>
      <c r="BE95" s="72" t="n">
        <f aca="false">-BE91*'Assumption Setting'!$G$74</f>
        <v>-974.146936112941</v>
      </c>
      <c r="BF95" s="72" t="n">
        <f aca="false">-BF91*'Assumption Setting'!$G$74</f>
        <v>-1006.03096271212</v>
      </c>
      <c r="BG95" s="72" t="n">
        <f aca="false">-BG91*'Assumption Setting'!$G$74</f>
        <v>-1036.9839757346</v>
      </c>
      <c r="BH95" s="72" t="n">
        <f aca="false">-BH91*'Assumption Setting'!$G$74</f>
        <v>-1067.03316077682</v>
      </c>
      <c r="BI95" s="72" t="n">
        <f aca="false">-BI91*'Assumption Setting'!$G$74</f>
        <v>-1096.20490961581</v>
      </c>
      <c r="BJ95" s="72" t="n">
        <f aca="false">-BJ91*'Assumption Setting'!$G$74</f>
        <v>-1124.5248433887</v>
      </c>
      <c r="BK95" s="72" t="n">
        <f aca="false">-BK91*'Assumption Setting'!$G$74</f>
        <v>-1152.01783509542</v>
      </c>
      <c r="BL95" s="72" t="n">
        <f aca="false">-BL91*'Assumption Setting'!$G$74</f>
        <v>-1178.70803144431</v>
      </c>
      <c r="BM95" s="72" t="n">
        <f aca="false">-BM91*'Assumption Setting'!$G$74</f>
        <v>-1204.61887405981</v>
      </c>
      <c r="BN95" s="72" t="n">
        <f aca="false">-BN91*'Assumption Setting'!$G$74</f>
        <v>-1229.77312007094</v>
      </c>
    </row>
    <row r="96" customFormat="false" ht="15" hidden="false" customHeight="false" outlineLevel="0" collapsed="false">
      <c r="A96" s="13" t="s">
        <v>707</v>
      </c>
      <c r="B96" s="69" t="n">
        <f aca="false">N96</f>
        <v>4207.44828098026</v>
      </c>
      <c r="C96" s="80" t="n">
        <f aca="false">SUM(C91:C95)</f>
        <v>396.154576409091</v>
      </c>
      <c r="D96" s="80" t="n">
        <f aca="false">SUM(D91:D95)</f>
        <v>814.3538048568</v>
      </c>
      <c r="E96" s="80" t="n">
        <f aca="false">SUM(E91:E95)</f>
        <v>1216.49418293212</v>
      </c>
      <c r="F96" s="80" t="n">
        <f aca="false">SUM(F91:F95)</f>
        <v>1603.19237048934</v>
      </c>
      <c r="G96" s="80" t="n">
        <f aca="false">SUM(G91:G95)</f>
        <v>1975.04134764437</v>
      </c>
      <c r="H96" s="80" t="n">
        <f aca="false">SUM(H91:H95)</f>
        <v>2332.61132407664</v>
      </c>
      <c r="I96" s="80" t="n">
        <f aca="false">SUM(I91:I95)</f>
        <v>2676.45061341392</v>
      </c>
      <c r="J96" s="80" t="n">
        <f aca="false">SUM(J91:J95)</f>
        <v>3007.08647404064</v>
      </c>
      <c r="K96" s="80" t="n">
        <f aca="false">SUM(K91:K95)</f>
        <v>3325.0259176193</v>
      </c>
      <c r="L96" s="80" t="n">
        <f aca="false">SUM(L91:L95)</f>
        <v>3630.75648656454</v>
      </c>
      <c r="M96" s="80" t="n">
        <f aca="false">SUM(M91:M95)</f>
        <v>3924.74700166228</v>
      </c>
      <c r="N96" s="80" t="n">
        <f aca="false">SUM(N91:N95)</f>
        <v>4207.44828098026</v>
      </c>
      <c r="O96" s="69" t="n">
        <f aca="false">AA96</f>
        <v>12270.0003479118</v>
      </c>
      <c r="P96" s="80" t="n">
        <f aca="false">SUM(P91:P95)</f>
        <v>4964.55712710806</v>
      </c>
      <c r="Q96" s="80" t="n">
        <f aca="false">SUM(Q91:Q95)</f>
        <v>5749.38260214176</v>
      </c>
      <c r="R96" s="80" t="n">
        <f aca="false">SUM(R91:R95)</f>
        <v>6507.52401102431</v>
      </c>
      <c r="S96" s="80" t="n">
        <f aca="false">SUM(S91:S95)</f>
        <v>7239.88861200486</v>
      </c>
      <c r="T96" s="80" t="n">
        <f aca="false">SUM(T91:T95)</f>
        <v>7947.35281655207</v>
      </c>
      <c r="U96" s="80" t="n">
        <f aca="false">SUM(U91:U95)</f>
        <v>8630.76323814467</v>
      </c>
      <c r="V96" s="80" t="n">
        <f aca="false">SUM(V91:V95)</f>
        <v>9290.93770540312</v>
      </c>
      <c r="W96" s="80" t="n">
        <f aca="false">SUM(W91:W95)</f>
        <v>9928.66624077479</v>
      </c>
      <c r="X96" s="80" t="n">
        <f aca="false">SUM(X91:X95)</f>
        <v>10544.7120059438</v>
      </c>
      <c r="Y96" s="80" t="n">
        <f aca="false">SUM(Y91:Y95)</f>
        <v>11139.8122150971</v>
      </c>
      <c r="Z96" s="80" t="n">
        <f aca="false">SUM(Z91:Z95)</f>
        <v>11714.6790171392</v>
      </c>
      <c r="AA96" s="80" t="n">
        <f aca="false">SUM(AA91:AA95)</f>
        <v>12270.0003479118</v>
      </c>
      <c r="AB96" s="69" t="n">
        <f aca="false">AN96</f>
        <v>24195.605955022</v>
      </c>
      <c r="AC96" s="80" t="n">
        <f aca="false">SUM(AC91:AC95)</f>
        <v>13381.9890731312</v>
      </c>
      <c r="AD96" s="80" t="n">
        <f aca="false">SUM(AD91:AD95)</f>
        <v>14530.3220146887</v>
      </c>
      <c r="AE96" s="80" t="n">
        <f aca="false">SUM(AE91:AE95)</f>
        <v>15642.367635293</v>
      </c>
      <c r="AF96" s="80" t="n">
        <f aca="false">SUM(AF91:AF95)</f>
        <v>16719.2726142862</v>
      </c>
      <c r="AG96" s="80" t="n">
        <f aca="false">SUM(AG91:AG95)</f>
        <v>17762.1473959432</v>
      </c>
      <c r="AH96" s="80" t="n">
        <f aca="false">SUM(AH91:AH95)</f>
        <v>18772.0673344999</v>
      </c>
      <c r="AI96" s="80" t="n">
        <f aca="false">SUM(AI91:AI95)</f>
        <v>19750.0738029982</v>
      </c>
      <c r="AJ96" s="80" t="n">
        <f aca="false">SUM(AJ91:AJ95)</f>
        <v>20697.1752670919</v>
      </c>
      <c r="AK96" s="80" t="n">
        <f aca="false">SUM(AK91:AK95)</f>
        <v>21614.3483249203</v>
      </c>
      <c r="AL96" s="80" t="n">
        <f aca="false">SUM(AL91:AL95)</f>
        <v>22502.5387141213</v>
      </c>
      <c r="AM96" s="80" t="n">
        <f aca="false">SUM(AM91:AM95)</f>
        <v>23362.6622870235</v>
      </c>
      <c r="AN96" s="80" t="n">
        <f aca="false">SUM(AN91:AN95)</f>
        <v>24195.605955022</v>
      </c>
      <c r="AO96" s="69" t="n">
        <f aca="false">BA96</f>
        <v>37855.2971356931</v>
      </c>
      <c r="AP96" s="80" t="n">
        <f aca="false">SUM(AP91:AP95)</f>
        <v>25467.5751319585</v>
      </c>
      <c r="AQ96" s="80" t="n">
        <f aca="false">SUM(AQ91:AQ95)</f>
        <v>26774.190713637</v>
      </c>
      <c r="AR96" s="80" t="n">
        <f aca="false">SUM(AR91:AR95)</f>
        <v>28041.3465047488</v>
      </c>
      <c r="AS96" s="80" t="n">
        <f aca="false">SUM(AS91:AS95)</f>
        <v>29270.2341909691</v>
      </c>
      <c r="AT96" s="80" t="n">
        <f aca="false">SUM(AT91:AT95)</f>
        <v>30462.0094690655</v>
      </c>
      <c r="AU96" s="80" t="n">
        <f aca="false">SUM(AU91:AU95)</f>
        <v>31617.7931337633</v>
      </c>
      <c r="AV96" s="80" t="n">
        <f aca="false">SUM(AV91:AV95)</f>
        <v>32738.6721317874</v>
      </c>
      <c r="AW96" s="80" t="n">
        <f aca="false">SUM(AW91:AW95)</f>
        <v>33825.700584071</v>
      </c>
      <c r="AX96" s="80" t="n">
        <f aca="false">SUM(AX91:AX95)</f>
        <v>34879.9007770958</v>
      </c>
      <c r="AY96" s="80" t="n">
        <f aca="false">SUM(AY91:AY95)</f>
        <v>35902.2641242911</v>
      </c>
      <c r="AZ96" s="80" t="n">
        <f aca="false">SUM(AZ91:AZ95)</f>
        <v>36893.7520984012</v>
      </c>
      <c r="BA96" s="80" t="n">
        <f aca="false">SUM(BA91:BA95)</f>
        <v>37855.2971356931</v>
      </c>
      <c r="BB96" s="69" t="n">
        <f aca="false">BN96</f>
        <v>52258.0359207724</v>
      </c>
      <c r="BC96" s="80" t="n">
        <f aca="false">SUM(BC91:BC95)</f>
        <v>39220.9955268536</v>
      </c>
      <c r="BD96" s="80" t="n">
        <f aca="false">SUM(BD91:BD95)</f>
        <v>40589.4556713725</v>
      </c>
      <c r="BE96" s="80" t="n">
        <f aca="false">SUM(BE91:BE95)</f>
        <v>41917.9567796715</v>
      </c>
      <c r="BF96" s="80" t="n">
        <f aca="false">SUM(BF91:BF95)</f>
        <v>43207.6656556081</v>
      </c>
      <c r="BG96" s="80" t="n">
        <f aca="false">SUM(BG91:BG95)</f>
        <v>44459.7150323674</v>
      </c>
      <c r="BH96" s="80" t="n">
        <f aca="false">SUM(BH91:BH95)</f>
        <v>45675.2045673253</v>
      </c>
      <c r="BI96" s="80" t="n">
        <f aca="false">SUM(BI91:BI95)</f>
        <v>46855.2018078625</v>
      </c>
      <c r="BJ96" s="80" t="n">
        <f aca="false">SUM(BJ91:BJ95)</f>
        <v>48000.743128976</v>
      </c>
      <c r="BK96" s="80" t="n">
        <f aca="false">SUM(BK91:BK95)</f>
        <v>49112.8346435129</v>
      </c>
      <c r="BL96" s="80" t="n">
        <f aca="false">SUM(BL91:BL95)</f>
        <v>50192.4530858254</v>
      </c>
      <c r="BM96" s="80" t="n">
        <f aca="false">SUM(BM91:BM95)</f>
        <v>51240.5466696223</v>
      </c>
      <c r="BN96" s="80" t="n">
        <f aca="false">SUM(BN91:BN95)</f>
        <v>52258.0359207724</v>
      </c>
    </row>
    <row r="98" customFormat="false" ht="15" hidden="false" customHeight="false" outlineLevel="0" collapsed="false">
      <c r="A98" s="4" t="s">
        <v>708</v>
      </c>
      <c r="B98" s="65" t="n">
        <f aca="false">C98</f>
        <v>0</v>
      </c>
      <c r="C98" s="66" t="n">
        <f aca="false">'Assumption Setting'!$C$14</f>
        <v>0</v>
      </c>
      <c r="D98" s="68" t="n">
        <f aca="false">C104</f>
        <v>0</v>
      </c>
      <c r="E98" s="68" t="n">
        <f aca="false">D104</f>
        <v>22.6021976689424</v>
      </c>
      <c r="F98" s="68" t="n">
        <f aca="false">E104</f>
        <v>44.9898501747467</v>
      </c>
      <c r="G98" s="68" t="n">
        <f aca="false">F104</f>
        <v>67.1287264018997</v>
      </c>
      <c r="H98" s="68" t="n">
        <f aca="false">G104</f>
        <v>88.9886702369594</v>
      </c>
      <c r="I98" s="68" t="n">
        <f aca="false">H104</f>
        <v>110.543264654205</v>
      </c>
      <c r="J98" s="68" t="n">
        <f aca="false">I104</f>
        <v>131.769520363627</v>
      </c>
      <c r="K98" s="68" t="n">
        <f aca="false">J104</f>
        <v>152.647587319948</v>
      </c>
      <c r="L98" s="68" t="n">
        <f aca="false">K104</f>
        <v>173.160487505989</v>
      </c>
      <c r="M98" s="68" t="n">
        <f aca="false">L104</f>
        <v>193.293867510672</v>
      </c>
      <c r="N98" s="68" t="n">
        <f aca="false">M104</f>
        <v>213.035769521887</v>
      </c>
      <c r="O98" s="65" t="n">
        <f aca="false">P98</f>
        <v>232.376419447667</v>
      </c>
      <c r="P98" s="68" t="n">
        <f aca="false">N104</f>
        <v>232.376419447667</v>
      </c>
      <c r="Q98" s="68" t="n">
        <f aca="false">P104</f>
        <v>257.485006236321</v>
      </c>
      <c r="R98" s="68" t="n">
        <f aca="false">Q104</f>
        <v>315.787666707131</v>
      </c>
      <c r="S98" s="68" t="n">
        <f aca="false">R104</f>
        <v>373.572267354193</v>
      </c>
      <c r="T98" s="68" t="n">
        <f aca="false">S104</f>
        <v>430.774425296108</v>
      </c>
      <c r="U98" s="68" t="n">
        <f aca="false">T104</f>
        <v>487.336538496709</v>
      </c>
      <c r="V98" s="68" t="n">
        <f aca="false">U104</f>
        <v>543.207298073991</v>
      </c>
      <c r="W98" s="68" t="n">
        <f aca="false">V104</f>
        <v>598.341231590519</v>
      </c>
      <c r="X98" s="68" t="n">
        <f aca="false">W104</f>
        <v>652.698275465526</v>
      </c>
      <c r="Y98" s="68" t="n">
        <f aca="false">X104</f>
        <v>706.243374757333</v>
      </c>
      <c r="Z98" s="68" t="n">
        <f aca="false">Y104</f>
        <v>758.946108666891</v>
      </c>
      <c r="AA98" s="68" t="n">
        <f aca="false">Z104</f>
        <v>810.780340209551</v>
      </c>
      <c r="AB98" s="65" t="n">
        <f aca="false">AC98</f>
        <v>861.723888592968</v>
      </c>
      <c r="AC98" s="68" t="n">
        <f aca="false">AA104</f>
        <v>861.723888592968</v>
      </c>
      <c r="AD98" s="68" t="n">
        <f aca="false">AC104</f>
        <v>925.853928645971</v>
      </c>
      <c r="AE98" s="68" t="n">
        <f aca="false">AD104</f>
        <v>1036.76966558904</v>
      </c>
      <c r="AF98" s="68" t="n">
        <f aca="false">AE104</f>
        <v>1146.51111597729</v>
      </c>
      <c r="AG98" s="68" t="n">
        <f aca="false">AF104</f>
        <v>1254.99419342778</v>
      </c>
      <c r="AH98" s="68" t="n">
        <f aca="false">AG104</f>
        <v>1362.14377076681</v>
      </c>
      <c r="AI98" s="68" t="n">
        <f aca="false">AH104</f>
        <v>1467.89306921084</v>
      </c>
      <c r="AJ98" s="68" t="n">
        <f aca="false">AI104</f>
        <v>1572.18308389001</v>
      </c>
      <c r="AK98" s="68" t="n">
        <f aca="false">AJ104</f>
        <v>1674.96204367985</v>
      </c>
      <c r="AL98" s="68" t="n">
        <f aca="false">AK104</f>
        <v>1776.184903417</v>
      </c>
      <c r="AM98" s="68" t="n">
        <f aca="false">AL104</f>
        <v>1875.81286667913</v>
      </c>
      <c r="AN98" s="68" t="n">
        <f aca="false">AM104</f>
        <v>1973.81293740843</v>
      </c>
      <c r="AO98" s="65" t="n">
        <f aca="false">AP98</f>
        <v>2070.15749875142</v>
      </c>
      <c r="AP98" s="68" t="n">
        <f aca="false">AN104</f>
        <v>2070.15749875142</v>
      </c>
      <c r="AQ98" s="68" t="n">
        <f aca="false">AP104</f>
        <v>2189.46710535006</v>
      </c>
      <c r="AR98" s="68" t="n">
        <f aca="false">AQ104</f>
        <v>2355.30503584943</v>
      </c>
      <c r="AS98" s="68" t="n">
        <f aca="false">AR104</f>
        <v>2519.06251580239</v>
      </c>
      <c r="AT98" s="68" t="n">
        <f aca="false">AS104</f>
        <v>2680.66183777761</v>
      </c>
      <c r="AU98" s="68" t="n">
        <f aca="false">AT104</f>
        <v>2840.034386886</v>
      </c>
      <c r="AV98" s="68" t="n">
        <f aca="false">AU104</f>
        <v>2997.12004238863</v>
      </c>
      <c r="AW98" s="68" t="n">
        <f aca="false">AV104</f>
        <v>3151.86661291828</v>
      </c>
      <c r="AX98" s="68" t="n">
        <f aca="false">AW104</f>
        <v>3304.2293035536</v>
      </c>
      <c r="AY98" s="68" t="n">
        <f aca="false">AX104</f>
        <v>3454.17021307371</v>
      </c>
      <c r="AZ98" s="68" t="n">
        <f aca="false">AY104</f>
        <v>3601.65785980547</v>
      </c>
      <c r="BA98" s="68" t="n">
        <f aca="false">AZ104</f>
        <v>3746.66673455648</v>
      </c>
      <c r="BB98" s="65" t="n">
        <f aca="false">BC98</f>
        <v>3889.17687920293</v>
      </c>
      <c r="BC98" s="68" t="n">
        <f aca="false">BA104</f>
        <v>3889.17687920293</v>
      </c>
      <c r="BD98" s="68" t="n">
        <f aca="false">BC104</f>
        <v>4046.52058903792</v>
      </c>
      <c r="BE98" s="68" t="n">
        <f aca="false">BD104</f>
        <v>4234.23616094174</v>
      </c>
      <c r="BF98" s="68" t="n">
        <f aca="false">BE104</f>
        <v>4419.66260276022</v>
      </c>
      <c r="BG98" s="68" t="n">
        <f aca="false">BF104</f>
        <v>4602.72310968422</v>
      </c>
      <c r="BH98" s="68" t="n">
        <f aca="false">BG104</f>
        <v>4783.34958373835</v>
      </c>
      <c r="BI98" s="68" t="n">
        <f aca="false">BH104</f>
        <v>4961.48208865546</v>
      </c>
      <c r="BJ98" s="68" t="n">
        <f aca="false">BI104</f>
        <v>5137.06833375862</v>
      </c>
      <c r="BK98" s="68" t="n">
        <f aca="false">BJ104</f>
        <v>5310.06318541455</v>
      </c>
      <c r="BL98" s="68" t="n">
        <f aca="false">BK104</f>
        <v>5480.42820469097</v>
      </c>
      <c r="BM98" s="68" t="n">
        <f aca="false">BL104</f>
        <v>5648.13120991537</v>
      </c>
      <c r="BN98" s="68" t="n">
        <f aca="false">BM104</f>
        <v>5813.14586289508</v>
      </c>
    </row>
    <row r="99" customFormat="false" ht="15" hidden="false" customHeight="false" outlineLevel="0" collapsed="false">
      <c r="A99" s="4" t="s">
        <v>709</v>
      </c>
      <c r="B99" s="65" t="n">
        <f aca="false">SUM(C99:N99)</f>
        <v>193.007147666667</v>
      </c>
      <c r="C99" s="68" t="n">
        <f aca="false">C69</f>
        <v>0</v>
      </c>
      <c r="D99" s="68" t="n">
        <f aca="false">D69</f>
        <v>17.5461043333333</v>
      </c>
      <c r="E99" s="68" t="n">
        <f aca="false">E69</f>
        <v>17.5461043333333</v>
      </c>
      <c r="F99" s="68" t="n">
        <f aca="false">F69</f>
        <v>17.5461043333333</v>
      </c>
      <c r="G99" s="68" t="n">
        <f aca="false">G69</f>
        <v>17.5461043333333</v>
      </c>
      <c r="H99" s="68" t="n">
        <f aca="false">H69</f>
        <v>17.5461043333333</v>
      </c>
      <c r="I99" s="68" t="n">
        <f aca="false">I69</f>
        <v>17.5461043333333</v>
      </c>
      <c r="J99" s="68" t="n">
        <f aca="false">J69</f>
        <v>17.5461043333333</v>
      </c>
      <c r="K99" s="68" t="n">
        <f aca="false">K69</f>
        <v>17.5461043333333</v>
      </c>
      <c r="L99" s="68" t="n">
        <f aca="false">L69</f>
        <v>17.5461043333333</v>
      </c>
      <c r="M99" s="68" t="n">
        <f aca="false">M69</f>
        <v>17.5461043333333</v>
      </c>
      <c r="N99" s="68" t="n">
        <f aca="false">N69</f>
        <v>17.5461043333333</v>
      </c>
      <c r="O99" s="65" t="n">
        <f aca="false">SUM(P99:AA99)</f>
        <v>525.947022909091</v>
      </c>
      <c r="P99" s="68" t="n">
        <f aca="false">P69</f>
        <v>19.1412047272727</v>
      </c>
      <c r="Q99" s="68" t="n">
        <f aca="false">Q69</f>
        <v>46.0732561983471</v>
      </c>
      <c r="R99" s="68" t="n">
        <f aca="false">R69</f>
        <v>46.0732561983471</v>
      </c>
      <c r="S99" s="68" t="n">
        <f aca="false">S69</f>
        <v>46.0732561983471</v>
      </c>
      <c r="T99" s="68" t="n">
        <f aca="false">T69</f>
        <v>46.0732561983471</v>
      </c>
      <c r="U99" s="68" t="n">
        <f aca="false">U69</f>
        <v>46.0732561983471</v>
      </c>
      <c r="V99" s="68" t="n">
        <f aca="false">V69</f>
        <v>46.0732561983471</v>
      </c>
      <c r="W99" s="68" t="n">
        <f aca="false">W69</f>
        <v>46.0732561983471</v>
      </c>
      <c r="X99" s="68" t="n">
        <f aca="false">X69</f>
        <v>46.0732561983471</v>
      </c>
      <c r="Y99" s="68" t="n">
        <f aca="false">Y69</f>
        <v>46.0732561983471</v>
      </c>
      <c r="Z99" s="68" t="n">
        <f aca="false">Z69</f>
        <v>46.0732561983471</v>
      </c>
      <c r="AA99" s="68" t="n">
        <f aca="false">AA69</f>
        <v>46.0732561983471</v>
      </c>
      <c r="AB99" s="65" t="n">
        <f aca="false">SUM(AC99:AN99)</f>
        <v>1027.97280826446</v>
      </c>
      <c r="AC99" s="68" t="n">
        <f aca="false">AC69</f>
        <v>49.912694214876</v>
      </c>
      <c r="AD99" s="68" t="n">
        <f aca="false">AD69</f>
        <v>88.9145558226897</v>
      </c>
      <c r="AE99" s="68" t="n">
        <f aca="false">AE69</f>
        <v>88.9145558226897</v>
      </c>
      <c r="AF99" s="68" t="n">
        <f aca="false">AF69</f>
        <v>88.9145558226897</v>
      </c>
      <c r="AG99" s="68" t="n">
        <f aca="false">AG69</f>
        <v>88.9145558226897</v>
      </c>
      <c r="AH99" s="68" t="n">
        <f aca="false">AH69</f>
        <v>88.9145558226897</v>
      </c>
      <c r="AI99" s="68" t="n">
        <f aca="false">AI69</f>
        <v>88.9145558226897</v>
      </c>
      <c r="AJ99" s="68" t="n">
        <f aca="false">AJ69</f>
        <v>88.9145558226897</v>
      </c>
      <c r="AK99" s="68" t="n">
        <f aca="false">AK69</f>
        <v>88.9145558226897</v>
      </c>
      <c r="AL99" s="68" t="n">
        <f aca="false">AL69</f>
        <v>88.9145558226897</v>
      </c>
      <c r="AM99" s="68" t="n">
        <f aca="false">AM69</f>
        <v>88.9145558226897</v>
      </c>
      <c r="AN99" s="68" t="n">
        <f aca="false">AN69</f>
        <v>88.9145558226897</v>
      </c>
      <c r="AO99" s="65" t="n">
        <f aca="false">SUM(AP99:BA99)</f>
        <v>1557.90832990233</v>
      </c>
      <c r="AP99" s="68" t="n">
        <f aca="false">AP69</f>
        <v>92.3343464312547</v>
      </c>
      <c r="AQ99" s="68" t="n">
        <f aca="false">AQ69</f>
        <v>133.23399849737</v>
      </c>
      <c r="AR99" s="68" t="n">
        <f aca="false">AR69</f>
        <v>133.23399849737</v>
      </c>
      <c r="AS99" s="68" t="n">
        <f aca="false">AS69</f>
        <v>133.23399849737</v>
      </c>
      <c r="AT99" s="68" t="n">
        <f aca="false">AT69</f>
        <v>133.23399849737</v>
      </c>
      <c r="AU99" s="68" t="n">
        <f aca="false">AU69</f>
        <v>133.23399849737</v>
      </c>
      <c r="AV99" s="68" t="n">
        <f aca="false">AV69</f>
        <v>133.23399849737</v>
      </c>
      <c r="AW99" s="68" t="n">
        <f aca="false">AW69</f>
        <v>133.23399849737</v>
      </c>
      <c r="AX99" s="68" t="n">
        <f aca="false">AX69</f>
        <v>133.23399849737</v>
      </c>
      <c r="AY99" s="68" t="n">
        <f aca="false">AY69</f>
        <v>133.23399849737</v>
      </c>
      <c r="AZ99" s="68" t="n">
        <f aca="false">AZ69</f>
        <v>133.23399849737</v>
      </c>
      <c r="BA99" s="68" t="n">
        <f aca="false">BA69</f>
        <v>133.23399849737</v>
      </c>
      <c r="BB99" s="65" t="n">
        <f aca="false">SUM(BC99:BN99)</f>
        <v>1944.14869339526</v>
      </c>
      <c r="BC99" s="68" t="n">
        <f aca="false">BC69</f>
        <v>138.16859103431</v>
      </c>
      <c r="BD99" s="68" t="n">
        <f aca="false">BD69</f>
        <v>164.180009305541</v>
      </c>
      <c r="BE99" s="68" t="n">
        <f aca="false">BE69</f>
        <v>164.180009305541</v>
      </c>
      <c r="BF99" s="68" t="n">
        <f aca="false">BF69</f>
        <v>164.180009305541</v>
      </c>
      <c r="BG99" s="68" t="n">
        <f aca="false">BG69</f>
        <v>164.180009305541</v>
      </c>
      <c r="BH99" s="68" t="n">
        <f aca="false">BH69</f>
        <v>164.180009305541</v>
      </c>
      <c r="BI99" s="68" t="n">
        <f aca="false">BI69</f>
        <v>164.180009305541</v>
      </c>
      <c r="BJ99" s="68" t="n">
        <f aca="false">BJ69</f>
        <v>164.180009305541</v>
      </c>
      <c r="BK99" s="68" t="n">
        <f aca="false">BK69</f>
        <v>164.180009305541</v>
      </c>
      <c r="BL99" s="68" t="n">
        <f aca="false">BL69</f>
        <v>164.180009305541</v>
      </c>
      <c r="BM99" s="68" t="n">
        <f aca="false">BM69</f>
        <v>164.180009305541</v>
      </c>
      <c r="BN99" s="68" t="n">
        <f aca="false">BN69</f>
        <v>164.180009305541</v>
      </c>
    </row>
    <row r="100" customFormat="false" ht="15" hidden="false" customHeight="false" outlineLevel="0" collapsed="false">
      <c r="A100" s="4" t="s">
        <v>710</v>
      </c>
      <c r="B100" s="65" t="n">
        <f aca="false">SUM(C100:N100)</f>
        <v>42.5439256702</v>
      </c>
      <c r="C100" s="68" t="n">
        <f aca="false">C85</f>
        <v>0</v>
      </c>
      <c r="D100" s="68" t="n">
        <f aca="false">D85</f>
        <v>3.86762960638182</v>
      </c>
      <c r="E100" s="68" t="n">
        <f aca="false">E85</f>
        <v>3.86762960638182</v>
      </c>
      <c r="F100" s="68" t="n">
        <f aca="false">F85</f>
        <v>3.86762960638182</v>
      </c>
      <c r="G100" s="68" t="n">
        <f aca="false">G85</f>
        <v>3.86762960638182</v>
      </c>
      <c r="H100" s="68" t="n">
        <f aca="false">H85</f>
        <v>3.86762960638182</v>
      </c>
      <c r="I100" s="68" t="n">
        <f aca="false">I85</f>
        <v>3.86762960638182</v>
      </c>
      <c r="J100" s="68" t="n">
        <f aca="false">J85</f>
        <v>3.86762960638182</v>
      </c>
      <c r="K100" s="68" t="n">
        <f aca="false">K85</f>
        <v>3.86762960638182</v>
      </c>
      <c r="L100" s="68" t="n">
        <f aca="false">L85</f>
        <v>3.86762960638182</v>
      </c>
      <c r="M100" s="68" t="n">
        <f aca="false">M85</f>
        <v>3.86762960638182</v>
      </c>
      <c r="N100" s="68" t="n">
        <f aca="false">N85</f>
        <v>3.86762960638182</v>
      </c>
      <c r="O100" s="65" t="n">
        <f aca="false">SUM(P100:AA100)</f>
        <v>106.25315401202</v>
      </c>
      <c r="P100" s="68" t="n">
        <f aca="false">P85</f>
        <v>4.25439256702</v>
      </c>
      <c r="Q100" s="68" t="n">
        <f aca="false">Q85</f>
        <v>9.27261467681819</v>
      </c>
      <c r="R100" s="68" t="n">
        <f aca="false">R85</f>
        <v>9.27261467681819</v>
      </c>
      <c r="S100" s="68" t="n">
        <f aca="false">S85</f>
        <v>9.27261467681819</v>
      </c>
      <c r="T100" s="68" t="n">
        <f aca="false">T85</f>
        <v>9.27261467681819</v>
      </c>
      <c r="U100" s="68" t="n">
        <f aca="false">U85</f>
        <v>9.27261467681819</v>
      </c>
      <c r="V100" s="68" t="n">
        <f aca="false">V85</f>
        <v>9.27261467681819</v>
      </c>
      <c r="W100" s="68" t="n">
        <f aca="false">W85</f>
        <v>9.27261467681819</v>
      </c>
      <c r="X100" s="68" t="n">
        <f aca="false">X85</f>
        <v>9.27261467681819</v>
      </c>
      <c r="Y100" s="68" t="n">
        <f aca="false">Y85</f>
        <v>9.27261467681819</v>
      </c>
      <c r="Z100" s="68" t="n">
        <f aca="false">Z85</f>
        <v>9.27261467681819</v>
      </c>
      <c r="AA100" s="68" t="n">
        <f aca="false">AA85</f>
        <v>9.27261467681819</v>
      </c>
      <c r="AB100" s="65" t="n">
        <f aca="false">SUM(AC100:AN100)</f>
        <v>192.74090694518</v>
      </c>
      <c r="AC100" s="68" t="n">
        <f aca="false">AC85</f>
        <v>9.94698665331405</v>
      </c>
      <c r="AD100" s="68" t="n">
        <f aca="false">AD85</f>
        <v>16.6176291174423</v>
      </c>
      <c r="AE100" s="68" t="n">
        <f aca="false">AE85</f>
        <v>16.6176291174423</v>
      </c>
      <c r="AF100" s="68" t="n">
        <f aca="false">AF85</f>
        <v>16.6176291174423</v>
      </c>
      <c r="AG100" s="68" t="n">
        <f aca="false">AG85</f>
        <v>16.6176291174423</v>
      </c>
      <c r="AH100" s="68" t="n">
        <f aca="false">AH85</f>
        <v>16.6176291174423</v>
      </c>
      <c r="AI100" s="68" t="n">
        <f aca="false">AI85</f>
        <v>16.6176291174423</v>
      </c>
      <c r="AJ100" s="68" t="n">
        <f aca="false">AJ85</f>
        <v>16.6176291174423</v>
      </c>
      <c r="AK100" s="68" t="n">
        <f aca="false">AK85</f>
        <v>16.6176291174423</v>
      </c>
      <c r="AL100" s="68" t="n">
        <f aca="false">AL85</f>
        <v>16.6176291174423</v>
      </c>
      <c r="AM100" s="68" t="n">
        <f aca="false">AM85</f>
        <v>16.6176291174423</v>
      </c>
      <c r="AN100" s="68" t="n">
        <f aca="false">AN85</f>
        <v>16.6176291174423</v>
      </c>
      <c r="AO100" s="65" t="n">
        <f aca="false">SUM(AP100:BA100)</f>
        <v>271.499507924766</v>
      </c>
      <c r="AP100" s="68" t="n">
        <f aca="false">AP85</f>
        <v>17.4625933098546</v>
      </c>
      <c r="AQ100" s="68" t="n">
        <f aca="false">AQ85</f>
        <v>23.0942649649919</v>
      </c>
      <c r="AR100" s="68" t="n">
        <f aca="false">AR85</f>
        <v>23.0942649649919</v>
      </c>
      <c r="AS100" s="68" t="n">
        <f aca="false">AS85</f>
        <v>23.0942649649919</v>
      </c>
      <c r="AT100" s="68" t="n">
        <f aca="false">AT85</f>
        <v>23.0942649649919</v>
      </c>
      <c r="AU100" s="68" t="n">
        <f aca="false">AU85</f>
        <v>23.0942649649919</v>
      </c>
      <c r="AV100" s="68" t="n">
        <f aca="false">AV85</f>
        <v>23.0942649649919</v>
      </c>
      <c r="AW100" s="68" t="n">
        <f aca="false">AW85</f>
        <v>23.0942649649919</v>
      </c>
      <c r="AX100" s="68" t="n">
        <f aca="false">AX85</f>
        <v>23.0942649649919</v>
      </c>
      <c r="AY100" s="68" t="n">
        <f aca="false">AY85</f>
        <v>23.0942649649919</v>
      </c>
      <c r="AZ100" s="68" t="n">
        <f aca="false">AZ85</f>
        <v>23.0942649649919</v>
      </c>
      <c r="BA100" s="68" t="n">
        <f aca="false">BA85</f>
        <v>23.0942649649919</v>
      </c>
      <c r="BB100" s="65" t="n">
        <f aca="false">SUM(BC100:BN100)</f>
        <v>344.318842829783</v>
      </c>
      <c r="BC100" s="68" t="n">
        <f aca="false">BC85</f>
        <v>23.8392412541852</v>
      </c>
      <c r="BD100" s="68" t="n">
        <f aca="false">BD85</f>
        <v>29.1345092341452</v>
      </c>
      <c r="BE100" s="68" t="n">
        <f aca="false">BE85</f>
        <v>29.1345092341452</v>
      </c>
      <c r="BF100" s="68" t="n">
        <f aca="false">BF85</f>
        <v>29.1345092341452</v>
      </c>
      <c r="BG100" s="68" t="n">
        <f aca="false">BG85</f>
        <v>29.1345092341452</v>
      </c>
      <c r="BH100" s="68" t="n">
        <f aca="false">BH85</f>
        <v>29.1345092341452</v>
      </c>
      <c r="BI100" s="68" t="n">
        <f aca="false">BI85</f>
        <v>29.1345092341452</v>
      </c>
      <c r="BJ100" s="68" t="n">
        <f aca="false">BJ85</f>
        <v>29.1345092341452</v>
      </c>
      <c r="BK100" s="68" t="n">
        <f aca="false">BK85</f>
        <v>29.1345092341452</v>
      </c>
      <c r="BL100" s="68" t="n">
        <f aca="false">BL85</f>
        <v>29.1345092341452</v>
      </c>
      <c r="BM100" s="68" t="n">
        <f aca="false">BM85</f>
        <v>29.1345092341452</v>
      </c>
      <c r="BN100" s="68" t="n">
        <f aca="false">BN85</f>
        <v>29.1345092341452</v>
      </c>
    </row>
    <row r="101" customFormat="false" ht="15" hidden="false" customHeight="false" outlineLevel="0" collapsed="false">
      <c r="A101" s="4" t="s">
        <v>711</v>
      </c>
      <c r="B101" s="65" t="n">
        <f aca="false">SUM(C101:N101)</f>
        <v>74.7057422991271</v>
      </c>
      <c r="C101" s="68" t="n">
        <f aca="false">-C93</f>
        <v>0</v>
      </c>
      <c r="D101" s="68" t="n">
        <f aca="false">-D93</f>
        <v>1.18846372922727</v>
      </c>
      <c r="E101" s="68" t="n">
        <f aca="false">-E93</f>
        <v>2.4430614145704</v>
      </c>
      <c r="F101" s="68" t="n">
        <f aca="false">-F93</f>
        <v>3.64948254879635</v>
      </c>
      <c r="G101" s="68" t="n">
        <f aca="false">-G93</f>
        <v>4.80957711146803</v>
      </c>
      <c r="H101" s="68" t="n">
        <f aca="false">-H93</f>
        <v>5.92512404293311</v>
      </c>
      <c r="I101" s="68" t="n">
        <f aca="false">-I93</f>
        <v>6.99783397222993</v>
      </c>
      <c r="J101" s="68" t="n">
        <f aca="false">-J93</f>
        <v>8.02935184024176</v>
      </c>
      <c r="K101" s="68" t="n">
        <f aca="false">-K93</f>
        <v>9.02125942212193</v>
      </c>
      <c r="L101" s="68" t="n">
        <f aca="false">-L93</f>
        <v>9.9750777528579</v>
      </c>
      <c r="M101" s="68" t="n">
        <f aca="false">-M93</f>
        <v>10.8922694596936</v>
      </c>
      <c r="N101" s="68" t="n">
        <f aca="false">-N93</f>
        <v>11.7742410049868</v>
      </c>
      <c r="O101" s="65" t="n">
        <f aca="false">SUM(P101:AA101)</f>
        <v>342.530033553099</v>
      </c>
      <c r="P101" s="68" t="n">
        <f aca="false">-P93</f>
        <v>14.7260689834309</v>
      </c>
      <c r="Q101" s="68" t="n">
        <f aca="false">-Q93</f>
        <v>17.3759499448782</v>
      </c>
      <c r="R101" s="68" t="n">
        <f aca="false">-R93</f>
        <v>20.1228391074962</v>
      </c>
      <c r="S101" s="68" t="n">
        <f aca="false">-S93</f>
        <v>22.7763340385851</v>
      </c>
      <c r="T101" s="68" t="n">
        <f aca="false">-T93</f>
        <v>25.339610142017</v>
      </c>
      <c r="U101" s="68" t="n">
        <f aca="false">-U93</f>
        <v>27.8157348579322</v>
      </c>
      <c r="V101" s="68" t="n">
        <f aca="false">-V93</f>
        <v>30.2076713335063</v>
      </c>
      <c r="W101" s="68" t="n">
        <f aca="false">-W93</f>
        <v>32.5182819689109</v>
      </c>
      <c r="X101" s="68" t="n">
        <f aca="false">-X93</f>
        <v>34.7503318427118</v>
      </c>
      <c r="Y101" s="68" t="n">
        <f aca="false">-Y93</f>
        <v>36.9064920208034</v>
      </c>
      <c r="Z101" s="68" t="n">
        <f aca="false">-Z93</f>
        <v>38.9893427528398</v>
      </c>
      <c r="AA101" s="68" t="n">
        <f aca="false">-AA93</f>
        <v>41.0013765599871</v>
      </c>
      <c r="AB101" s="65" t="n">
        <f aca="false">SUM(AC101:AN101)</f>
        <v>868.019859247637</v>
      </c>
      <c r="AC101" s="68" t="n">
        <f aca="false">-AC93</f>
        <v>49.0800013916472</v>
      </c>
      <c r="AD101" s="68" t="n">
        <f aca="false">-AD93</f>
        <v>53.5279562925247</v>
      </c>
      <c r="AE101" s="68" t="n">
        <f aca="false">-AE93</f>
        <v>58.1212880587548</v>
      </c>
      <c r="AF101" s="68" t="n">
        <f aca="false">-AF93</f>
        <v>62.569470541172</v>
      </c>
      <c r="AG101" s="68" t="n">
        <f aca="false">-AG93</f>
        <v>66.8770904571449</v>
      </c>
      <c r="AH101" s="68" t="n">
        <f aca="false">-AH93</f>
        <v>71.048589583773</v>
      </c>
      <c r="AI101" s="68" t="n">
        <f aca="false">-AI93</f>
        <v>75.0882693379996</v>
      </c>
      <c r="AJ101" s="68" t="n">
        <f aca="false">-AJ93</f>
        <v>79.0002952119927</v>
      </c>
      <c r="AK101" s="68" t="n">
        <f aca="false">-AK93</f>
        <v>82.7887010683676</v>
      </c>
      <c r="AL101" s="68" t="n">
        <f aca="false">-AL93</f>
        <v>86.4573932996811</v>
      </c>
      <c r="AM101" s="68" t="n">
        <f aca="false">-AM93</f>
        <v>90.0101548564851</v>
      </c>
      <c r="AN101" s="68" t="n">
        <f aca="false">-AN93</f>
        <v>93.450649148094</v>
      </c>
      <c r="AO101" s="65" t="n">
        <f aca="false">SUM(AP101:BA101)</f>
        <v>1665.31070166665</v>
      </c>
      <c r="AP101" s="68" t="n">
        <f aca="false">-AP93</f>
        <v>108.880226797599</v>
      </c>
      <c r="AQ101" s="68" t="n">
        <f aca="false">-AQ93</f>
        <v>114.604088093813</v>
      </c>
      <c r="AR101" s="68" t="n">
        <f aca="false">-AR93</f>
        <v>120.483858211366</v>
      </c>
      <c r="AS101" s="68" t="n">
        <f aca="false">-AS93</f>
        <v>126.18605927137</v>
      </c>
      <c r="AT101" s="68" t="n">
        <f aca="false">-AT93</f>
        <v>131.716053859361</v>
      </c>
      <c r="AU101" s="68" t="n">
        <f aca="false">-AU93</f>
        <v>137.079042610795</v>
      </c>
      <c r="AV101" s="68" t="n">
        <f aca="false">-AV93</f>
        <v>142.280069101935</v>
      </c>
      <c r="AW101" s="68" t="n">
        <f aca="false">-AW93</f>
        <v>147.324024593043</v>
      </c>
      <c r="AX101" s="68" t="n">
        <f aca="false">-AX93</f>
        <v>152.21565262832</v>
      </c>
      <c r="AY101" s="68" t="n">
        <f aca="false">-AY93</f>
        <v>156.959553496931</v>
      </c>
      <c r="AZ101" s="68" t="n">
        <f aca="false">-AZ93</f>
        <v>161.56018855931</v>
      </c>
      <c r="BA101" s="68" t="n">
        <f aca="false">-BA93</f>
        <v>166.021884442805</v>
      </c>
      <c r="BB101" s="65" t="n">
        <f aca="false">SUM(BC101:BN101)</f>
        <v>2422.47631367111</v>
      </c>
      <c r="BC101" s="68" t="n">
        <f aca="false">-BC93</f>
        <v>170.348837110619</v>
      </c>
      <c r="BD101" s="68" t="n">
        <f aca="false">-BD93</f>
        <v>176.494479870841</v>
      </c>
      <c r="BE101" s="68" t="n">
        <f aca="false">-BE93</f>
        <v>182.652550521176</v>
      </c>
      <c r="BF101" s="68" t="n">
        <f aca="false">-BF93</f>
        <v>188.630805508522</v>
      </c>
      <c r="BG101" s="68" t="n">
        <f aca="false">-BG93</f>
        <v>194.434495450237</v>
      </c>
      <c r="BH101" s="68" t="n">
        <f aca="false">-BH93</f>
        <v>200.068717645653</v>
      </c>
      <c r="BI101" s="68" t="n">
        <f aca="false">-BI93</f>
        <v>205.538420552964</v>
      </c>
      <c r="BJ101" s="68" t="n">
        <f aca="false">-BJ93</f>
        <v>210.848408135381</v>
      </c>
      <c r="BK101" s="68" t="n">
        <f aca="false">-BK93</f>
        <v>216.003344080392</v>
      </c>
      <c r="BL101" s="68" t="n">
        <f aca="false">-BL93</f>
        <v>221.007755895808</v>
      </c>
      <c r="BM101" s="68" t="n">
        <f aca="false">-BM93</f>
        <v>225.866038886214</v>
      </c>
      <c r="BN101" s="68" t="n">
        <f aca="false">-BN93</f>
        <v>230.5824600133</v>
      </c>
    </row>
    <row r="102" customFormat="false" ht="15" hidden="false" customHeight="false" outlineLevel="0" collapsed="false">
      <c r="A102" s="4" t="s">
        <v>712</v>
      </c>
      <c r="B102" s="65" t="n">
        <f aca="false">SUM(C102:N102)</f>
        <v>-11.9815994135888</v>
      </c>
      <c r="C102" s="68" t="n">
        <f aca="false">-C98*'Assumption Setting'!$C$72</f>
        <v>-0</v>
      </c>
      <c r="D102" s="68" t="n">
        <f aca="false">-D98*'Assumption Setting'!$C$72</f>
        <v>-0</v>
      </c>
      <c r="E102" s="68" t="n">
        <f aca="false">-E98*'Assumption Setting'!$C$72</f>
        <v>-0.226021976689424</v>
      </c>
      <c r="F102" s="68" t="n">
        <f aca="false">-F98*'Assumption Setting'!$C$72</f>
        <v>-0.449898501747467</v>
      </c>
      <c r="G102" s="68" t="n">
        <f aca="false">-G98*'Assumption Setting'!$C$72</f>
        <v>-0.671287264018997</v>
      </c>
      <c r="H102" s="68" t="n">
        <f aca="false">-H98*'Assumption Setting'!$C$72</f>
        <v>-0.889886702369594</v>
      </c>
      <c r="I102" s="68" t="n">
        <f aca="false">-I98*'Assumption Setting'!$C$72</f>
        <v>-1.10543264654205</v>
      </c>
      <c r="J102" s="68" t="n">
        <f aca="false">-J98*'Assumption Setting'!$C$72</f>
        <v>-1.31769520363627</v>
      </c>
      <c r="K102" s="68" t="n">
        <f aca="false">-K98*'Assumption Setting'!$C$72</f>
        <v>-1.52647587319948</v>
      </c>
      <c r="L102" s="68" t="n">
        <f aca="false">-L98*'Assumption Setting'!$C$72</f>
        <v>-1.73160487505989</v>
      </c>
      <c r="M102" s="68" t="n">
        <f aca="false">-M98*'Assumption Setting'!$C$72</f>
        <v>-1.93293867510672</v>
      </c>
      <c r="N102" s="68" t="n">
        <f aca="false">-N98*'Assumption Setting'!$C$72</f>
        <v>-2.13035769521887</v>
      </c>
      <c r="O102" s="65" t="n">
        <f aca="false">SUM(P102:AA102)</f>
        <v>-67.8430384753213</v>
      </c>
      <c r="P102" s="68" t="n">
        <f aca="false">-P98*'Assumption Setting'!$D$72</f>
        <v>-2.55614061392433</v>
      </c>
      <c r="Q102" s="68" t="n">
        <f aca="false">-Q98*'Assumption Setting'!$D$72</f>
        <v>-2.83233506859953</v>
      </c>
      <c r="R102" s="68" t="n">
        <f aca="false">-R98*'Assumption Setting'!$D$72</f>
        <v>-3.47366433377844</v>
      </c>
      <c r="S102" s="68" t="n">
        <f aca="false">-S98*'Assumption Setting'!$D$72</f>
        <v>-4.10929494089612</v>
      </c>
      <c r="T102" s="68" t="n">
        <f aca="false">-T98*'Assumption Setting'!$D$72</f>
        <v>-4.73851867825719</v>
      </c>
      <c r="U102" s="68" t="n">
        <f aca="false">-U98*'Assumption Setting'!$D$72</f>
        <v>-5.3607019234638</v>
      </c>
      <c r="V102" s="68" t="n">
        <f aca="false">-V98*'Assumption Setting'!$D$72</f>
        <v>-5.9752802788139</v>
      </c>
      <c r="W102" s="68" t="n">
        <f aca="false">-W98*'Assumption Setting'!$D$72</f>
        <v>-6.58175354749571</v>
      </c>
      <c r="X102" s="68" t="n">
        <f aca="false">-X98*'Assumption Setting'!$D$72</f>
        <v>-7.17968103012078</v>
      </c>
      <c r="Y102" s="68" t="n">
        <f aca="false">-Y98*'Assumption Setting'!$D$72</f>
        <v>-7.76867712233067</v>
      </c>
      <c r="Z102" s="68" t="n">
        <f aca="false">-Z98*'Assumption Setting'!$D$72</f>
        <v>-8.3484071953358</v>
      </c>
      <c r="AA102" s="68" t="n">
        <f aca="false">-AA98*'Assumption Setting'!$D$72</f>
        <v>-8.91858374230506</v>
      </c>
      <c r="AB102" s="65" t="n">
        <f aca="false">SUM(AC102:AN102)</f>
        <v>-203.146145607422</v>
      </c>
      <c r="AC102" s="68" t="n">
        <f aca="false">-AC98*'Assumption Setting'!$E$72</f>
        <v>-10.3406866631156</v>
      </c>
      <c r="AD102" s="68" t="n">
        <f aca="false">-AD98*'Assumption Setting'!$E$72</f>
        <v>-11.1102471437517</v>
      </c>
      <c r="AE102" s="68" t="n">
        <f aca="false">-AE98*'Assumption Setting'!$E$72</f>
        <v>-12.4412359870684</v>
      </c>
      <c r="AF102" s="68" t="n">
        <f aca="false">-AF98*'Assumption Setting'!$E$72</f>
        <v>-13.7581333917275</v>
      </c>
      <c r="AG102" s="68" t="n">
        <f aca="false">-AG98*'Assumption Setting'!$E$72</f>
        <v>-15.0599303211333</v>
      </c>
      <c r="AH102" s="68" t="n">
        <f aca="false">-AH98*'Assumption Setting'!$E$72</f>
        <v>-16.3457252492017</v>
      </c>
      <c r="AI102" s="68" t="n">
        <f aca="false">-AI98*'Assumption Setting'!$E$72</f>
        <v>-17.6147168305301</v>
      </c>
      <c r="AJ102" s="68" t="n">
        <f aca="false">-AJ98*'Assumption Setting'!$E$72</f>
        <v>-18.8661970066801</v>
      </c>
      <c r="AK102" s="68" t="n">
        <f aca="false">-AK98*'Assumption Setting'!$E$72</f>
        <v>-20.0995445241583</v>
      </c>
      <c r="AL102" s="68" t="n">
        <f aca="false">-AL98*'Assumption Setting'!$E$72</f>
        <v>-21.314218841004</v>
      </c>
      <c r="AM102" s="68" t="n">
        <f aca="false">-AM98*'Assumption Setting'!$E$72</f>
        <v>-22.5097544001496</v>
      </c>
      <c r="AN102" s="68" t="n">
        <f aca="false">-AN98*'Assumption Setting'!$E$72</f>
        <v>-23.6857552489012</v>
      </c>
      <c r="AO102" s="65" t="n">
        <f aca="false">SUM(AP102:BA102)</f>
        <v>-418.924789760557</v>
      </c>
      <c r="AP102" s="68" t="n">
        <f aca="false">-AP98*'Assumption Setting'!$F$72</f>
        <v>-24.841889985017</v>
      </c>
      <c r="AQ102" s="68" t="n">
        <f aca="false">-AQ98*'Assumption Setting'!$F$72</f>
        <v>-26.2736052642007</v>
      </c>
      <c r="AR102" s="68" t="n">
        <f aca="false">-AR98*'Assumption Setting'!$F$72</f>
        <v>-28.2636604301932</v>
      </c>
      <c r="AS102" s="68" t="n">
        <f aca="false">-AS98*'Assumption Setting'!$F$72</f>
        <v>-30.2287501896287</v>
      </c>
      <c r="AT102" s="68" t="n">
        <f aca="false">-AT98*'Assumption Setting'!$F$72</f>
        <v>-32.1679420533313</v>
      </c>
      <c r="AU102" s="68" t="n">
        <f aca="false">-AU98*'Assumption Setting'!$F$72</f>
        <v>-34.0804126426321</v>
      </c>
      <c r="AV102" s="68" t="n">
        <f aca="false">-AV98*'Assumption Setting'!$F$72</f>
        <v>-35.9654405086636</v>
      </c>
      <c r="AW102" s="68" t="n">
        <f aca="false">-AW98*'Assumption Setting'!$F$72</f>
        <v>-37.8223993550193</v>
      </c>
      <c r="AX102" s="68" t="n">
        <f aca="false">-AX98*'Assumption Setting'!$F$72</f>
        <v>-39.6507516426432</v>
      </c>
      <c r="AY102" s="68" t="n">
        <f aca="false">-AY98*'Assumption Setting'!$F$72</f>
        <v>-41.4500425568846</v>
      </c>
      <c r="AZ102" s="68" t="n">
        <f aca="false">-AZ98*'Assumption Setting'!$F$72</f>
        <v>-43.2198943176656</v>
      </c>
      <c r="BA102" s="68" t="n">
        <f aca="false">-BA98*'Assumption Setting'!$F$72</f>
        <v>-44.9600008146777</v>
      </c>
      <c r="BB102" s="65" t="n">
        <f aca="false">SUM(BC102:BN102)</f>
        <v>-699.911853728345</v>
      </c>
      <c r="BC102" s="68" t="n">
        <f aca="false">-BC98*'Assumption Setting'!$G$72</f>
        <v>-46.6701225504352</v>
      </c>
      <c r="BD102" s="68" t="n">
        <f aca="false">-BD98*'Assumption Setting'!$G$72</f>
        <v>-48.558247068455</v>
      </c>
      <c r="BE102" s="68" t="n">
        <f aca="false">-BE98*'Assumption Setting'!$G$72</f>
        <v>-50.8108339313008</v>
      </c>
      <c r="BF102" s="68" t="n">
        <f aca="false">-BF98*'Assumption Setting'!$G$72</f>
        <v>-53.0359512331226</v>
      </c>
      <c r="BG102" s="68" t="n">
        <f aca="false">-BG98*'Assumption Setting'!$G$72</f>
        <v>-55.2326773162106</v>
      </c>
      <c r="BH102" s="68" t="n">
        <f aca="false">-BH98*'Assumption Setting'!$G$72</f>
        <v>-57.4001950048602</v>
      </c>
      <c r="BI102" s="68" t="n">
        <f aca="false">-BI98*'Assumption Setting'!$G$72</f>
        <v>-59.5377850638656</v>
      </c>
      <c r="BJ102" s="68" t="n">
        <f aca="false">-BJ98*'Assumption Setting'!$G$72</f>
        <v>-61.6448200051034</v>
      </c>
      <c r="BK102" s="68" t="n">
        <f aca="false">-BK98*'Assumption Setting'!$G$72</f>
        <v>-63.7207582249746</v>
      </c>
      <c r="BL102" s="68" t="n">
        <f aca="false">-BL98*'Assumption Setting'!$G$72</f>
        <v>-65.7651384562917</v>
      </c>
      <c r="BM102" s="68" t="n">
        <f aca="false">-BM98*'Assumption Setting'!$G$72</f>
        <v>-67.7775745189845</v>
      </c>
      <c r="BN102" s="68" t="n">
        <f aca="false">-BN98*'Assumption Setting'!$G$72</f>
        <v>-69.757750354741</v>
      </c>
    </row>
    <row r="103" customFormat="false" ht="15" hidden="false" customHeight="false" outlineLevel="0" collapsed="false">
      <c r="A103" s="4" t="s">
        <v>706</v>
      </c>
      <c r="B103" s="65" t="n">
        <f aca="false">SUM(C103:N103)</f>
        <v>-65.8987967747383</v>
      </c>
      <c r="C103" s="68" t="n">
        <f aca="false">-C98*'Assumption Setting'!$C$75</f>
        <v>-0</v>
      </c>
      <c r="D103" s="68" t="n">
        <f aca="false">-D98*'Assumption Setting'!$C$75</f>
        <v>-0</v>
      </c>
      <c r="E103" s="68" t="n">
        <f aca="false">-E98*'Assumption Setting'!$C$75</f>
        <v>-1.24312087179183</v>
      </c>
      <c r="F103" s="68" t="n">
        <f aca="false">-F98*'Assumption Setting'!$C$75</f>
        <v>-2.47444175961107</v>
      </c>
      <c r="G103" s="68" t="n">
        <f aca="false">-G98*'Assumption Setting'!$C$75</f>
        <v>-3.69207995210448</v>
      </c>
      <c r="H103" s="68" t="n">
        <f aca="false">-H98*'Assumption Setting'!$C$75</f>
        <v>-4.89437686303277</v>
      </c>
      <c r="I103" s="68" t="n">
        <f aca="false">-I98*'Assumption Setting'!$C$75</f>
        <v>-6.07987955598129</v>
      </c>
      <c r="J103" s="68" t="n">
        <f aca="false">-J98*'Assumption Setting'!$C$75</f>
        <v>-7.24732361999949</v>
      </c>
      <c r="K103" s="68" t="n">
        <f aca="false">-K98*'Assumption Setting'!$C$75</f>
        <v>-8.39561730259715</v>
      </c>
      <c r="L103" s="68" t="n">
        <f aca="false">-L98*'Assumption Setting'!$C$75</f>
        <v>-9.52382681282938</v>
      </c>
      <c r="M103" s="68" t="n">
        <f aca="false">-M98*'Assumption Setting'!$C$75</f>
        <v>-10.631162713087</v>
      </c>
      <c r="N103" s="68" t="n">
        <f aca="false">-N98*'Assumption Setting'!$C$75</f>
        <v>-11.7169673237038</v>
      </c>
      <c r="O103" s="65" t="n">
        <f aca="false">SUM(P103:AA103)</f>
        <v>-277.539702853587</v>
      </c>
      <c r="P103" s="68" t="n">
        <f aca="false">-P98*'Assumption Setting'!$D$75</f>
        <v>-10.456938875145</v>
      </c>
      <c r="Q103" s="68" t="n">
        <f aca="false">-Q98*'Assumption Setting'!$D$75</f>
        <v>-11.5868252806344</v>
      </c>
      <c r="R103" s="68" t="n">
        <f aca="false">-R98*'Assumption Setting'!$D$75</f>
        <v>-14.2104450018209</v>
      </c>
      <c r="S103" s="68" t="n">
        <f aca="false">-S98*'Assumption Setting'!$D$75</f>
        <v>-16.8107520309387</v>
      </c>
      <c r="T103" s="68" t="n">
        <f aca="false">-T98*'Assumption Setting'!$D$75</f>
        <v>-19.3848491383249</v>
      </c>
      <c r="U103" s="68" t="n">
        <f aca="false">-U98*'Assumption Setting'!$D$75</f>
        <v>-21.9301442323519</v>
      </c>
      <c r="V103" s="68" t="n">
        <f aca="false">-V98*'Assumption Setting'!$D$75</f>
        <v>-24.4443284133296</v>
      </c>
      <c r="W103" s="68" t="n">
        <f aca="false">-W98*'Assumption Setting'!$D$75</f>
        <v>-26.9253554215733</v>
      </c>
      <c r="X103" s="68" t="n">
        <f aca="false">-X98*'Assumption Setting'!$D$75</f>
        <v>-29.3714223959487</v>
      </c>
      <c r="Y103" s="68" t="n">
        <f aca="false">-Y98*'Assumption Setting'!$D$75</f>
        <v>-31.78095186408</v>
      </c>
      <c r="Z103" s="68" t="n">
        <f aca="false">-Z98*'Assumption Setting'!$D$75</f>
        <v>-34.1525748900101</v>
      </c>
      <c r="AA103" s="68" t="n">
        <f aca="false">-AA98*'Assumption Setting'!$D$75</f>
        <v>-36.4851153094298</v>
      </c>
      <c r="AB103" s="65" t="n">
        <f aca="false">SUM(AC103:AN103)</f>
        <v>-677.153818691405</v>
      </c>
      <c r="AC103" s="68" t="n">
        <f aca="false">-AC98*'Assumption Setting'!$E$75</f>
        <v>-34.4689555437187</v>
      </c>
      <c r="AD103" s="68" t="n">
        <f aca="false">-AD98*'Assumption Setting'!$E$75</f>
        <v>-37.0341571458389</v>
      </c>
      <c r="AE103" s="68" t="n">
        <f aca="false">-AE98*'Assumption Setting'!$E$75</f>
        <v>-41.4707866235615</v>
      </c>
      <c r="AF103" s="68" t="n">
        <f aca="false">-AF98*'Assumption Setting'!$E$75</f>
        <v>-45.8604446390918</v>
      </c>
      <c r="AG103" s="68" t="n">
        <f aca="false">-AG98*'Assumption Setting'!$E$75</f>
        <v>-50.1997677371112</v>
      </c>
      <c r="AH103" s="68" t="n">
        <f aca="false">-AH98*'Assumption Setting'!$E$75</f>
        <v>-54.4857508306724</v>
      </c>
      <c r="AI103" s="68" t="n">
        <f aca="false">-AI98*'Assumption Setting'!$E$75</f>
        <v>-58.7157227684337</v>
      </c>
      <c r="AJ103" s="68" t="n">
        <f aca="false">-AJ98*'Assumption Setting'!$E$75</f>
        <v>-62.8873233556004</v>
      </c>
      <c r="AK103" s="68" t="n">
        <f aca="false">-AK98*'Assumption Setting'!$E$75</f>
        <v>-66.9984817471942</v>
      </c>
      <c r="AL103" s="68" t="n">
        <f aca="false">-AL98*'Assumption Setting'!$E$75</f>
        <v>-71.0473961366801</v>
      </c>
      <c r="AM103" s="68" t="n">
        <f aca="false">-AM98*'Assumption Setting'!$E$75</f>
        <v>-75.0325146671652</v>
      </c>
      <c r="AN103" s="68" t="n">
        <f aca="false">-AN98*'Assumption Setting'!$E$75</f>
        <v>-78.9525174963373</v>
      </c>
      <c r="AO103" s="65" t="n">
        <f aca="false">SUM(AP103:BA103)</f>
        <v>-1256.77436928167</v>
      </c>
      <c r="AP103" s="68" t="n">
        <f aca="false">-AP98*'Assumption Setting'!$F$75</f>
        <v>-74.5256699550511</v>
      </c>
      <c r="AQ103" s="68" t="n">
        <f aca="false">-AQ98*'Assumption Setting'!$F$75</f>
        <v>-78.8208157926022</v>
      </c>
      <c r="AR103" s="68" t="n">
        <f aca="false">-AR98*'Assumption Setting'!$F$75</f>
        <v>-84.7909812905796</v>
      </c>
      <c r="AS103" s="68" t="n">
        <f aca="false">-AS98*'Assumption Setting'!$F$75</f>
        <v>-90.686250568886</v>
      </c>
      <c r="AT103" s="68" t="n">
        <f aca="false">-AT98*'Assumption Setting'!$F$75</f>
        <v>-96.5038261599938</v>
      </c>
      <c r="AU103" s="68" t="n">
        <f aca="false">-AU98*'Assumption Setting'!$F$75</f>
        <v>-102.241237927896</v>
      </c>
      <c r="AV103" s="68" t="n">
        <f aca="false">-AV98*'Assumption Setting'!$F$75</f>
        <v>-107.896321525991</v>
      </c>
      <c r="AW103" s="68" t="n">
        <f aca="false">-AW98*'Assumption Setting'!$F$75</f>
        <v>-113.467198065058</v>
      </c>
      <c r="AX103" s="68" t="n">
        <f aca="false">-AX98*'Assumption Setting'!$F$75</f>
        <v>-118.95225492793</v>
      </c>
      <c r="AY103" s="68" t="n">
        <f aca="false">-AY98*'Assumption Setting'!$F$75</f>
        <v>-124.350127670654</v>
      </c>
      <c r="AZ103" s="68" t="n">
        <f aca="false">-AZ98*'Assumption Setting'!$F$75</f>
        <v>-129.659682952997</v>
      </c>
      <c r="BA103" s="68" t="n">
        <f aca="false">-BA98*'Assumption Setting'!$F$75</f>
        <v>-134.880002444033</v>
      </c>
      <c r="BB103" s="65" t="n">
        <f aca="false">SUM(BC103:BN103)</f>
        <v>-1924.75759775295</v>
      </c>
      <c r="BC103" s="68" t="n">
        <f aca="false">-BC98*'Assumption Setting'!$G$75</f>
        <v>-128.342837013697</v>
      </c>
      <c r="BD103" s="68" t="n">
        <f aca="false">-BD98*'Assumption Setting'!$G$75</f>
        <v>-133.535179438251</v>
      </c>
      <c r="BE103" s="68" t="n">
        <f aca="false">-BE98*'Assumption Setting'!$G$75</f>
        <v>-139.729793311077</v>
      </c>
      <c r="BF103" s="68" t="n">
        <f aca="false">-BF98*'Assumption Setting'!$G$75</f>
        <v>-145.848865891087</v>
      </c>
      <c r="BG103" s="68" t="n">
        <f aca="false">-BG98*'Assumption Setting'!$G$75</f>
        <v>-151.889862619579</v>
      </c>
      <c r="BH103" s="68" t="n">
        <f aca="false">-BH98*'Assumption Setting'!$G$75</f>
        <v>-157.850536263366</v>
      </c>
      <c r="BI103" s="68" t="n">
        <f aca="false">-BI98*'Assumption Setting'!$G$75</f>
        <v>-163.72890892563</v>
      </c>
      <c r="BJ103" s="68" t="n">
        <f aca="false">-BJ98*'Assumption Setting'!$G$75</f>
        <v>-169.523255014034</v>
      </c>
      <c r="BK103" s="68" t="n">
        <f aca="false">-BK98*'Assumption Setting'!$G$75</f>
        <v>-175.23208511868</v>
      </c>
      <c r="BL103" s="68" t="n">
        <f aca="false">-BL98*'Assumption Setting'!$G$75</f>
        <v>-180.854130754802</v>
      </c>
      <c r="BM103" s="68" t="n">
        <f aca="false">-BM98*'Assumption Setting'!$G$75</f>
        <v>-186.388329927207</v>
      </c>
      <c r="BN103" s="68" t="n">
        <f aca="false">-BN98*'Assumption Setting'!$G$75</f>
        <v>-191.833813475538</v>
      </c>
    </row>
    <row r="104" customFormat="false" ht="15" hidden="false" customHeight="false" outlineLevel="0" collapsed="false">
      <c r="A104" s="13" t="s">
        <v>713</v>
      </c>
      <c r="B104" s="65" t="n">
        <f aca="false">N104</f>
        <v>232.376419447667</v>
      </c>
      <c r="C104" s="83" t="n">
        <f aca="false">SUM(C98:C103)</f>
        <v>0</v>
      </c>
      <c r="D104" s="83" t="n">
        <f aca="false">SUM(D98:D103)</f>
        <v>22.6021976689424</v>
      </c>
      <c r="E104" s="83" t="n">
        <f aca="false">SUM(E98:E103)</f>
        <v>44.9898501747467</v>
      </c>
      <c r="F104" s="83" t="n">
        <f aca="false">SUM(F98:F103)</f>
        <v>67.1287264018997</v>
      </c>
      <c r="G104" s="83" t="n">
        <f aca="false">SUM(G98:G103)</f>
        <v>88.9886702369594</v>
      </c>
      <c r="H104" s="83" t="n">
        <f aca="false">SUM(H98:H103)</f>
        <v>110.543264654205</v>
      </c>
      <c r="I104" s="83" t="n">
        <f aca="false">SUM(I98:I103)</f>
        <v>131.769520363627</v>
      </c>
      <c r="J104" s="83" t="n">
        <f aca="false">SUM(J98:J103)</f>
        <v>152.647587319948</v>
      </c>
      <c r="K104" s="83" t="n">
        <f aca="false">SUM(K98:K103)</f>
        <v>173.160487505989</v>
      </c>
      <c r="L104" s="83" t="n">
        <f aca="false">SUM(L98:L103)</f>
        <v>193.293867510672</v>
      </c>
      <c r="M104" s="83" t="n">
        <f aca="false">SUM(M98:M103)</f>
        <v>213.035769521887</v>
      </c>
      <c r="N104" s="83" t="n">
        <f aca="false">SUM(N98:N103)</f>
        <v>232.376419447667</v>
      </c>
      <c r="O104" s="65" t="n">
        <f aca="false">AA104</f>
        <v>861.723888592968</v>
      </c>
      <c r="P104" s="83" t="n">
        <f aca="false">SUM(P98:P103)</f>
        <v>257.485006236321</v>
      </c>
      <c r="Q104" s="83" t="n">
        <f aca="false">SUM(Q98:Q103)</f>
        <v>315.787666707131</v>
      </c>
      <c r="R104" s="83" t="n">
        <f aca="false">SUM(R98:R103)</f>
        <v>373.572267354193</v>
      </c>
      <c r="S104" s="83" t="n">
        <f aca="false">SUM(S98:S103)</f>
        <v>430.774425296108</v>
      </c>
      <c r="T104" s="83" t="n">
        <f aca="false">SUM(T98:T103)</f>
        <v>487.336538496709</v>
      </c>
      <c r="U104" s="83" t="n">
        <f aca="false">SUM(U98:U103)</f>
        <v>543.207298073991</v>
      </c>
      <c r="V104" s="83" t="n">
        <f aca="false">SUM(V98:V103)</f>
        <v>598.341231590519</v>
      </c>
      <c r="W104" s="83" t="n">
        <f aca="false">SUM(W98:W103)</f>
        <v>652.698275465526</v>
      </c>
      <c r="X104" s="83" t="n">
        <f aca="false">SUM(X98:X103)</f>
        <v>706.243374757333</v>
      </c>
      <c r="Y104" s="83" t="n">
        <f aca="false">SUM(Y98:Y103)</f>
        <v>758.946108666891</v>
      </c>
      <c r="Z104" s="83" t="n">
        <f aca="false">SUM(Z98:Z103)</f>
        <v>810.780340209551</v>
      </c>
      <c r="AA104" s="83" t="n">
        <f aca="false">SUM(AA98:AA103)</f>
        <v>861.723888592968</v>
      </c>
      <c r="AB104" s="65" t="n">
        <f aca="false">AN104</f>
        <v>2070.15749875142</v>
      </c>
      <c r="AC104" s="83" t="n">
        <f aca="false">SUM(AC98:AC103)</f>
        <v>925.853928645971</v>
      </c>
      <c r="AD104" s="83" t="n">
        <f aca="false">SUM(AD98:AD103)</f>
        <v>1036.76966558904</v>
      </c>
      <c r="AE104" s="83" t="n">
        <f aca="false">SUM(AE98:AE103)</f>
        <v>1146.51111597729</v>
      </c>
      <c r="AF104" s="83" t="n">
        <f aca="false">SUM(AF98:AF103)</f>
        <v>1254.99419342778</v>
      </c>
      <c r="AG104" s="83" t="n">
        <f aca="false">SUM(AG98:AG103)</f>
        <v>1362.14377076681</v>
      </c>
      <c r="AH104" s="83" t="n">
        <f aca="false">SUM(AH98:AH103)</f>
        <v>1467.89306921084</v>
      </c>
      <c r="AI104" s="83" t="n">
        <f aca="false">SUM(AI98:AI103)</f>
        <v>1572.18308389001</v>
      </c>
      <c r="AJ104" s="83" t="n">
        <f aca="false">SUM(AJ98:AJ103)</f>
        <v>1674.96204367985</v>
      </c>
      <c r="AK104" s="83" t="n">
        <f aca="false">SUM(AK98:AK103)</f>
        <v>1776.184903417</v>
      </c>
      <c r="AL104" s="83" t="n">
        <f aca="false">SUM(AL98:AL103)</f>
        <v>1875.81286667913</v>
      </c>
      <c r="AM104" s="83" t="n">
        <f aca="false">SUM(AM98:AM103)</f>
        <v>1973.81293740843</v>
      </c>
      <c r="AN104" s="83" t="n">
        <f aca="false">SUM(AN98:AN103)</f>
        <v>2070.15749875142</v>
      </c>
      <c r="AO104" s="65" t="n">
        <f aca="false">BA104</f>
        <v>3889.17687920293</v>
      </c>
      <c r="AP104" s="83" t="n">
        <f aca="false">SUM(AP98:AP103)</f>
        <v>2189.46710535006</v>
      </c>
      <c r="AQ104" s="83" t="n">
        <f aca="false">SUM(AQ98:AQ103)</f>
        <v>2355.30503584943</v>
      </c>
      <c r="AR104" s="83" t="n">
        <f aca="false">SUM(AR98:AR103)</f>
        <v>2519.06251580239</v>
      </c>
      <c r="AS104" s="83" t="n">
        <f aca="false">SUM(AS98:AS103)</f>
        <v>2680.66183777761</v>
      </c>
      <c r="AT104" s="83" t="n">
        <f aca="false">SUM(AT98:AT103)</f>
        <v>2840.034386886</v>
      </c>
      <c r="AU104" s="83" t="n">
        <f aca="false">SUM(AU98:AU103)</f>
        <v>2997.12004238863</v>
      </c>
      <c r="AV104" s="83" t="n">
        <f aca="false">SUM(AV98:AV103)</f>
        <v>3151.86661291828</v>
      </c>
      <c r="AW104" s="83" t="n">
        <f aca="false">SUM(AW98:AW103)</f>
        <v>3304.2293035536</v>
      </c>
      <c r="AX104" s="83" t="n">
        <f aca="false">SUM(AX98:AX103)</f>
        <v>3454.17021307371</v>
      </c>
      <c r="AY104" s="83" t="n">
        <f aca="false">SUM(AY98:AY103)</f>
        <v>3601.65785980547</v>
      </c>
      <c r="AZ104" s="83" t="n">
        <f aca="false">SUM(AZ98:AZ103)</f>
        <v>3746.66673455648</v>
      </c>
      <c r="BA104" s="83" t="n">
        <f aca="false">SUM(BA98:BA103)</f>
        <v>3889.17687920293</v>
      </c>
      <c r="BB104" s="65" t="n">
        <f aca="false">BN104</f>
        <v>5975.45127761779</v>
      </c>
      <c r="BC104" s="83" t="n">
        <f aca="false">SUM(BC98:BC103)</f>
        <v>4046.52058903792</v>
      </c>
      <c r="BD104" s="83" t="n">
        <f aca="false">SUM(BD98:BD103)</f>
        <v>4234.23616094174</v>
      </c>
      <c r="BE104" s="83" t="n">
        <f aca="false">SUM(BE98:BE103)</f>
        <v>4419.66260276022</v>
      </c>
      <c r="BF104" s="83" t="n">
        <f aca="false">SUM(BF98:BF103)</f>
        <v>4602.72310968422</v>
      </c>
      <c r="BG104" s="83" t="n">
        <f aca="false">SUM(BG98:BG103)</f>
        <v>4783.34958373835</v>
      </c>
      <c r="BH104" s="83" t="n">
        <f aca="false">SUM(BH98:BH103)</f>
        <v>4961.48208865546</v>
      </c>
      <c r="BI104" s="83" t="n">
        <f aca="false">SUM(BI98:BI103)</f>
        <v>5137.06833375862</v>
      </c>
      <c r="BJ104" s="83" t="n">
        <f aca="false">SUM(BJ98:BJ103)</f>
        <v>5310.06318541455</v>
      </c>
      <c r="BK104" s="83" t="n">
        <f aca="false">SUM(BK98:BK103)</f>
        <v>5480.42820469097</v>
      </c>
      <c r="BL104" s="83" t="n">
        <f aca="false">SUM(BL98:BL103)</f>
        <v>5648.13120991537</v>
      </c>
      <c r="BM104" s="83" t="n">
        <f aca="false">SUM(BM98:BM103)</f>
        <v>5813.14586289508</v>
      </c>
      <c r="BN104" s="83" t="n">
        <f aca="false">SUM(BN98:BN103)</f>
        <v>5975.45127761779</v>
      </c>
    </row>
    <row r="106" customFormat="false" ht="15" hidden="false" customHeight="false" outlineLevel="0" collapsed="false">
      <c r="A106" s="4" t="s">
        <v>714</v>
      </c>
      <c r="B106" s="65" t="n">
        <f aca="false">C106</f>
        <v>0</v>
      </c>
      <c r="C106" s="66" t="n">
        <f aca="false">'Assumption Setting'!$C$15</f>
        <v>0</v>
      </c>
      <c r="D106" s="68" t="n">
        <f aca="false">C113</f>
        <v>0</v>
      </c>
      <c r="E106" s="68" t="n">
        <f aca="false">D113</f>
        <v>6.98589914016582</v>
      </c>
      <c r="F106" s="68" t="n">
        <f aca="false">E113</f>
        <v>14.148537075055</v>
      </c>
      <c r="G106" s="68" t="n">
        <f aca="false">F113</f>
        <v>21.5554420835744</v>
      </c>
      <c r="H106" s="68" t="n">
        <f aca="false">G113</f>
        <v>29.1088010741242</v>
      </c>
      <c r="I106" s="68" t="n">
        <f aca="false">H113</f>
        <v>36.7953449651795</v>
      </c>
      <c r="J106" s="68" t="n">
        <f aca="false">I113</f>
        <v>44.6021799303575</v>
      </c>
      <c r="K106" s="68" t="n">
        <f aca="false">J113</f>
        <v>52.516801284444</v>
      </c>
      <c r="L106" s="68" t="n">
        <f aca="false">K113</f>
        <v>60.5271043903678</v>
      </c>
      <c r="M106" s="68" t="n">
        <f aca="false">L113</f>
        <v>68.6213928792998</v>
      </c>
      <c r="N106" s="68" t="n">
        <f aca="false">M113</f>
        <v>76.7883844526999</v>
      </c>
      <c r="O106" s="65" t="n">
        <f aca="false">P106</f>
        <v>85.0172145134758</v>
      </c>
      <c r="P106" s="68" t="n">
        <f aca="false">N113</f>
        <v>85.0172145134758</v>
      </c>
      <c r="Q106" s="68" t="n">
        <f aca="false">P113</f>
        <v>94.972332238106</v>
      </c>
      <c r="R106" s="68" t="n">
        <f aca="false">Q113</f>
        <v>117.248784700227</v>
      </c>
      <c r="S106" s="68" t="n">
        <f aca="false">R113</f>
        <v>139.99092962726</v>
      </c>
      <c r="T106" s="68" t="n">
        <f aca="false">S113</f>
        <v>163.273695679193</v>
      </c>
      <c r="U106" s="68" t="n">
        <f aca="false">T113</f>
        <v>186.958157234653</v>
      </c>
      <c r="V106" s="68" t="n">
        <f aca="false">U113</f>
        <v>211.014580367929</v>
      </c>
      <c r="W106" s="68" t="n">
        <f aca="false">V113</f>
        <v>235.413848277453</v>
      </c>
      <c r="X106" s="68" t="n">
        <f aca="false">W113</f>
        <v>260.127495357595</v>
      </c>
      <c r="Y106" s="68" t="n">
        <f aca="false">X113</f>
        <v>285.127736187504</v>
      </c>
      <c r="Z106" s="68" t="n">
        <f aca="false">Y113</f>
        <v>310.387489851046</v>
      </c>
      <c r="AA106" s="68" t="n">
        <f aca="false">Z113</f>
        <v>335.880399973748</v>
      </c>
      <c r="AB106" s="65" t="n">
        <f aca="false">AC106</f>
        <v>361.580850836312</v>
      </c>
      <c r="AC106" s="68" t="n">
        <f aca="false">AA113</f>
        <v>361.580850836312</v>
      </c>
      <c r="AD106" s="68" t="n">
        <f aca="false">AC113</f>
        <v>392.148393413949</v>
      </c>
      <c r="AE106" s="68" t="n">
        <f aca="false">AD113</f>
        <v>442.04273743603</v>
      </c>
      <c r="AF106" s="68" t="n">
        <f aca="false">AE113</f>
        <v>492.859394497876</v>
      </c>
      <c r="AG106" s="68" t="n">
        <f aca="false">AF113</f>
        <v>544.682907295877</v>
      </c>
      <c r="AH106" s="68" t="n">
        <f aca="false">AG113</f>
        <v>597.314242729123</v>
      </c>
      <c r="AI106" s="68" t="n">
        <f aca="false">AH113</f>
        <v>650.6992085799</v>
      </c>
      <c r="AJ106" s="68" t="n">
        <f aca="false">AI113</f>
        <v>704.784648726423</v>
      </c>
      <c r="AK106" s="68" t="n">
        <f aca="false">AJ113</f>
        <v>759.518493246971</v>
      </c>
      <c r="AL106" s="68" t="n">
        <f aca="false">AK113</f>
        <v>814.849801584001</v>
      </c>
      <c r="AM106" s="68" t="n">
        <f aca="false">AL113</f>
        <v>870.72879928916</v>
      </c>
      <c r="AN106" s="68" t="n">
        <f aca="false">AM113</f>
        <v>927.106908837471</v>
      </c>
      <c r="AO106" s="65" t="n">
        <f aca="false">AP106</f>
        <v>983.936774968212</v>
      </c>
      <c r="AP106" s="68" t="n">
        <f aca="false">AN113</f>
        <v>983.936774968212</v>
      </c>
      <c r="AQ106" s="68" t="n">
        <f aca="false">AP113</f>
        <v>1046.97363011949</v>
      </c>
      <c r="AR106" s="68" t="n">
        <f aca="false">AQ113</f>
        <v>1131.54979036959</v>
      </c>
      <c r="AS106" s="68" t="n">
        <f aca="false">AR113</f>
        <v>1217.33911348786</v>
      </c>
      <c r="AT106" s="68" t="n">
        <f aca="false">AS113</f>
        <v>1304.38353236433</v>
      </c>
      <c r="AU106" s="68" t="n">
        <f aca="false">AT113</f>
        <v>1392.48647610733</v>
      </c>
      <c r="AV106" s="68" t="n">
        <f aca="false">AU113</f>
        <v>1481.57407425943</v>
      </c>
      <c r="AW106" s="68" t="n">
        <f aca="false">AV113</f>
        <v>1571.57399687981</v>
      </c>
      <c r="AX106" s="68" t="n">
        <f aca="false">AW113</f>
        <v>1662.41549519276</v>
      </c>
      <c r="AY106" s="68" t="n">
        <f aca="false">AX113</f>
        <v>1754.02943574367</v>
      </c>
      <c r="AZ106" s="68" t="n">
        <f aca="false">AY113</f>
        <v>1846.34832853293</v>
      </c>
      <c r="BA106" s="68" t="n">
        <f aca="false">AZ113</f>
        <v>1939.30634957021</v>
      </c>
      <c r="BB106" s="65" t="n">
        <f aca="false">BC106</f>
        <v>2032.83935826564</v>
      </c>
      <c r="BC106" s="68" t="n">
        <f aca="false">BA113</f>
        <v>2032.83935826564</v>
      </c>
      <c r="BD106" s="68" t="n">
        <f aca="false">BC113</f>
        <v>2132.84003240688</v>
      </c>
      <c r="BE106" s="68" t="n">
        <f aca="false">BD113</f>
        <v>2246.1563353021</v>
      </c>
      <c r="BF106" s="68" t="n">
        <f aca="false">BE113</f>
        <v>2360.64345370922</v>
      </c>
      <c r="BG106" s="68" t="n">
        <f aca="false">BF113</f>
        <v>2476.3365600324</v>
      </c>
      <c r="BH106" s="68" t="n">
        <f aca="false">BG113</f>
        <v>2593.04671273801</v>
      </c>
      <c r="BI106" s="68" t="n">
        <f aca="false">BH113</f>
        <v>2710.7000349473</v>
      </c>
      <c r="BJ106" s="68" t="n">
        <f aca="false">BI113</f>
        <v>2829.2240300903</v>
      </c>
      <c r="BK106" s="68" t="n">
        <f aca="false">BJ113</f>
        <v>2948.54762633034</v>
      </c>
      <c r="BL106" s="68" t="n">
        <f aca="false">BK113</f>
        <v>3068.60121498271</v>
      </c>
      <c r="BM106" s="68" t="n">
        <f aca="false">BL113</f>
        <v>3189.31668333082</v>
      </c>
      <c r="BN106" s="68" t="n">
        <f aca="false">BM113</f>
        <v>3310.62744222099</v>
      </c>
    </row>
    <row r="107" customFormat="false" ht="15" hidden="false" customHeight="false" outlineLevel="0" collapsed="false">
      <c r="A107" s="4" t="s">
        <v>709</v>
      </c>
      <c r="B107" s="65" t="n">
        <f aca="false">SUM(C107:N107)</f>
        <v>52.638313</v>
      </c>
      <c r="C107" s="68" t="n">
        <f aca="false">C70</f>
        <v>0</v>
      </c>
      <c r="D107" s="68" t="n">
        <f aca="false">D70</f>
        <v>4.78530118181818</v>
      </c>
      <c r="E107" s="68" t="n">
        <f aca="false">E70</f>
        <v>4.78530118181818</v>
      </c>
      <c r="F107" s="68" t="n">
        <f aca="false">F70</f>
        <v>4.78530118181818</v>
      </c>
      <c r="G107" s="68" t="n">
        <f aca="false">G70</f>
        <v>4.78530118181818</v>
      </c>
      <c r="H107" s="68" t="n">
        <f aca="false">H70</f>
        <v>4.78530118181818</v>
      </c>
      <c r="I107" s="68" t="n">
        <f aca="false">I70</f>
        <v>4.78530118181818</v>
      </c>
      <c r="J107" s="68" t="n">
        <f aca="false">J70</f>
        <v>4.78530118181818</v>
      </c>
      <c r="K107" s="68" t="n">
        <f aca="false">K70</f>
        <v>4.78530118181818</v>
      </c>
      <c r="L107" s="68" t="n">
        <f aca="false">L70</f>
        <v>4.78530118181818</v>
      </c>
      <c r="M107" s="68" t="n">
        <f aca="false">M70</f>
        <v>4.78530118181818</v>
      </c>
      <c r="N107" s="68" t="n">
        <f aca="false">N70</f>
        <v>4.78530118181818</v>
      </c>
      <c r="O107" s="65" t="n">
        <f aca="false">SUM(P107:AA107)</f>
        <v>163.503926590909</v>
      </c>
      <c r="P107" s="68" t="n">
        <f aca="false">P70</f>
        <v>5.12710840909091</v>
      </c>
      <c r="Q107" s="68" t="n">
        <f aca="false">Q70</f>
        <v>14.3978925619835</v>
      </c>
      <c r="R107" s="68" t="n">
        <f aca="false">R70</f>
        <v>14.3978925619835</v>
      </c>
      <c r="S107" s="68" t="n">
        <f aca="false">S70</f>
        <v>14.3978925619835</v>
      </c>
      <c r="T107" s="68" t="n">
        <f aca="false">T70</f>
        <v>14.3978925619835</v>
      </c>
      <c r="U107" s="68" t="n">
        <f aca="false">U70</f>
        <v>14.3978925619835</v>
      </c>
      <c r="V107" s="68" t="n">
        <f aca="false">V70</f>
        <v>14.3978925619835</v>
      </c>
      <c r="W107" s="68" t="n">
        <f aca="false">W70</f>
        <v>14.3978925619835</v>
      </c>
      <c r="X107" s="68" t="n">
        <f aca="false">X70</f>
        <v>14.3978925619835</v>
      </c>
      <c r="Y107" s="68" t="n">
        <f aca="false">Y70</f>
        <v>14.3978925619835</v>
      </c>
      <c r="Z107" s="68" t="n">
        <f aca="false">Z70</f>
        <v>14.3978925619835</v>
      </c>
      <c r="AA107" s="68" t="n">
        <f aca="false">AA70</f>
        <v>14.3978925619835</v>
      </c>
      <c r="AB107" s="65" t="n">
        <f aca="false">SUM(AC107:AN107)</f>
        <v>349.737278236915</v>
      </c>
      <c r="AC107" s="68" t="n">
        <f aca="false">AC70</f>
        <v>15.3577520661157</v>
      </c>
      <c r="AD107" s="68" t="n">
        <f aca="false">AD70</f>
        <v>30.3981387427999</v>
      </c>
      <c r="AE107" s="68" t="n">
        <f aca="false">AE70</f>
        <v>30.3981387427999</v>
      </c>
      <c r="AF107" s="68" t="n">
        <f aca="false">AF70</f>
        <v>30.3981387427999</v>
      </c>
      <c r="AG107" s="68" t="n">
        <f aca="false">AG70</f>
        <v>30.3981387427999</v>
      </c>
      <c r="AH107" s="68" t="n">
        <f aca="false">AH70</f>
        <v>30.3981387427999</v>
      </c>
      <c r="AI107" s="68" t="n">
        <f aca="false">AI70</f>
        <v>30.3981387427999</v>
      </c>
      <c r="AJ107" s="68" t="n">
        <f aca="false">AJ70</f>
        <v>30.3981387427999</v>
      </c>
      <c r="AK107" s="68" t="n">
        <f aca="false">AK70</f>
        <v>30.3981387427999</v>
      </c>
      <c r="AL107" s="68" t="n">
        <f aca="false">AL70</f>
        <v>30.3981387427999</v>
      </c>
      <c r="AM107" s="68" t="n">
        <f aca="false">AM70</f>
        <v>30.3981387427999</v>
      </c>
      <c r="AN107" s="68" t="n">
        <f aca="false">AN70</f>
        <v>30.3981387427999</v>
      </c>
      <c r="AO107" s="65" t="n">
        <f aca="false">SUM(AP107:BA107)</f>
        <v>568.72520785124</v>
      </c>
      <c r="AP107" s="68" t="n">
        <f aca="false">AP70</f>
        <v>31.3480805785124</v>
      </c>
      <c r="AQ107" s="68" t="n">
        <f aca="false">AQ70</f>
        <v>48.8524661157025</v>
      </c>
      <c r="AR107" s="68" t="n">
        <f aca="false">AR70</f>
        <v>48.8524661157025</v>
      </c>
      <c r="AS107" s="68" t="n">
        <f aca="false">AS70</f>
        <v>48.8524661157025</v>
      </c>
      <c r="AT107" s="68" t="n">
        <f aca="false">AT70</f>
        <v>48.8524661157025</v>
      </c>
      <c r="AU107" s="68" t="n">
        <f aca="false">AU70</f>
        <v>48.8524661157025</v>
      </c>
      <c r="AV107" s="68" t="n">
        <f aca="false">AV70</f>
        <v>48.8524661157025</v>
      </c>
      <c r="AW107" s="68" t="n">
        <f aca="false">AW70</f>
        <v>48.8524661157025</v>
      </c>
      <c r="AX107" s="68" t="n">
        <f aca="false">AX70</f>
        <v>48.8524661157025</v>
      </c>
      <c r="AY107" s="68" t="n">
        <f aca="false">AY70</f>
        <v>48.8524661157025</v>
      </c>
      <c r="AZ107" s="68" t="n">
        <f aca="false">AZ70</f>
        <v>48.8524661157025</v>
      </c>
      <c r="BA107" s="68" t="n">
        <f aca="false">BA70</f>
        <v>48.8524661157025</v>
      </c>
      <c r="BB107" s="65" t="n">
        <f aca="false">SUM(BC107:BN107)</f>
        <v>708.22559545113</v>
      </c>
      <c r="BC107" s="68" t="n">
        <f aca="false">BC70</f>
        <v>50.3328438767844</v>
      </c>
      <c r="BD107" s="68" t="n">
        <f aca="false">BD70</f>
        <v>59.8084319613042</v>
      </c>
      <c r="BE107" s="68" t="n">
        <f aca="false">BE70</f>
        <v>59.8084319613042</v>
      </c>
      <c r="BF107" s="68" t="n">
        <f aca="false">BF70</f>
        <v>59.8084319613042</v>
      </c>
      <c r="BG107" s="68" t="n">
        <f aca="false">BG70</f>
        <v>59.8084319613042</v>
      </c>
      <c r="BH107" s="68" t="n">
        <f aca="false">BH70</f>
        <v>59.8084319613042</v>
      </c>
      <c r="BI107" s="68" t="n">
        <f aca="false">BI70</f>
        <v>59.8084319613042</v>
      </c>
      <c r="BJ107" s="68" t="n">
        <f aca="false">BJ70</f>
        <v>59.8084319613042</v>
      </c>
      <c r="BK107" s="68" t="n">
        <f aca="false">BK70</f>
        <v>59.8084319613042</v>
      </c>
      <c r="BL107" s="68" t="n">
        <f aca="false">BL70</f>
        <v>59.8084319613042</v>
      </c>
      <c r="BM107" s="68" t="n">
        <f aca="false">BM70</f>
        <v>59.8084319613042</v>
      </c>
      <c r="BN107" s="68" t="n">
        <f aca="false">BN70</f>
        <v>59.8084319613042</v>
      </c>
    </row>
    <row r="108" customFormat="false" ht="15" hidden="false" customHeight="false" outlineLevel="0" collapsed="false">
      <c r="A108" s="4" t="s">
        <v>710</v>
      </c>
      <c r="B108" s="65" t="n">
        <f aca="false">SUM(C108:N108)</f>
        <v>23.1976829655367</v>
      </c>
      <c r="C108" s="68" t="n">
        <f aca="false">C86</f>
        <v>0</v>
      </c>
      <c r="D108" s="68" t="n">
        <f aca="false">D86</f>
        <v>2.042136127784</v>
      </c>
      <c r="E108" s="68" t="n">
        <f aca="false">E86</f>
        <v>2.042136127784</v>
      </c>
      <c r="F108" s="68" t="n">
        <f aca="false">F86</f>
        <v>2.12371230110764</v>
      </c>
      <c r="G108" s="68" t="n">
        <f aca="false">G86</f>
        <v>2.12371230110764</v>
      </c>
      <c r="H108" s="68" t="n">
        <f aca="false">H86</f>
        <v>2.12371230110764</v>
      </c>
      <c r="I108" s="68" t="n">
        <f aca="false">I86</f>
        <v>2.12371230110764</v>
      </c>
      <c r="J108" s="68" t="n">
        <f aca="false">J86</f>
        <v>2.12371230110764</v>
      </c>
      <c r="K108" s="68" t="n">
        <f aca="false">K86</f>
        <v>2.12371230110764</v>
      </c>
      <c r="L108" s="68" t="n">
        <f aca="false">L86</f>
        <v>2.12371230110764</v>
      </c>
      <c r="M108" s="68" t="n">
        <f aca="false">M86</f>
        <v>2.12371230110764</v>
      </c>
      <c r="N108" s="68" t="n">
        <f aca="false">N86</f>
        <v>2.12371230110764</v>
      </c>
      <c r="O108" s="65" t="n">
        <f aca="false">SUM(P108:AA108)</f>
        <v>58.1318322526577</v>
      </c>
      <c r="P108" s="68" t="n">
        <f aca="false">P86</f>
        <v>2.3360835312184</v>
      </c>
      <c r="Q108" s="68" t="n">
        <f aca="false">Q86</f>
        <v>4.985740740056</v>
      </c>
      <c r="R108" s="68" t="n">
        <f aca="false">R86</f>
        <v>4.985740740056</v>
      </c>
      <c r="S108" s="68" t="n">
        <f aca="false">S86</f>
        <v>5.09158524903637</v>
      </c>
      <c r="T108" s="68" t="n">
        <f aca="false">T86</f>
        <v>5.09158524903637</v>
      </c>
      <c r="U108" s="68" t="n">
        <f aca="false">U86</f>
        <v>5.09158524903637</v>
      </c>
      <c r="V108" s="68" t="n">
        <f aca="false">V86</f>
        <v>5.09158524903637</v>
      </c>
      <c r="W108" s="68" t="n">
        <f aca="false">W86</f>
        <v>5.09158524903637</v>
      </c>
      <c r="X108" s="68" t="n">
        <f aca="false">X86</f>
        <v>5.09158524903637</v>
      </c>
      <c r="Y108" s="68" t="n">
        <f aca="false">Y86</f>
        <v>5.09158524903637</v>
      </c>
      <c r="Z108" s="68" t="n">
        <f aca="false">Z86</f>
        <v>5.09158524903637</v>
      </c>
      <c r="AA108" s="68" t="n">
        <f aca="false">AA86</f>
        <v>5.09158524903637</v>
      </c>
      <c r="AB108" s="65" t="n">
        <f aca="false">SUM(AC108:AN108)</f>
        <v>105.552481902826</v>
      </c>
      <c r="AC108" s="68" t="n">
        <f aca="false">AC86</f>
        <v>5.46188235805719</v>
      </c>
      <c r="AD108" s="68" t="n">
        <f aca="false">AD86</f>
        <v>8.98402934675764</v>
      </c>
      <c r="AE108" s="68" t="n">
        <f aca="false">AE86</f>
        <v>8.98402934675764</v>
      </c>
      <c r="AF108" s="68" t="n">
        <f aca="false">AF86</f>
        <v>9.12472676125044</v>
      </c>
      <c r="AG108" s="68" t="n">
        <f aca="false">AG86</f>
        <v>9.12472676125044</v>
      </c>
      <c r="AH108" s="68" t="n">
        <f aca="false">AH86</f>
        <v>9.12472676125044</v>
      </c>
      <c r="AI108" s="68" t="n">
        <f aca="false">AI86</f>
        <v>9.12472676125044</v>
      </c>
      <c r="AJ108" s="68" t="n">
        <f aca="false">AJ86</f>
        <v>9.12472676125044</v>
      </c>
      <c r="AK108" s="68" t="n">
        <f aca="false">AK86</f>
        <v>9.12472676125044</v>
      </c>
      <c r="AL108" s="68" t="n">
        <f aca="false">AL86</f>
        <v>9.12472676125044</v>
      </c>
      <c r="AM108" s="68" t="n">
        <f aca="false">AM86</f>
        <v>9.12472676125044</v>
      </c>
      <c r="AN108" s="68" t="n">
        <f aca="false">AN86</f>
        <v>9.12472676125044</v>
      </c>
      <c r="AO108" s="65" t="n">
        <f aca="false">SUM(AP108:BA108)</f>
        <v>148.842594267178</v>
      </c>
      <c r="AP108" s="68" t="n">
        <f aca="false">AP86</f>
        <v>9.58869591860216</v>
      </c>
      <c r="AQ108" s="68" t="n">
        <f aca="false">AQ86</f>
        <v>12.5622588802147</v>
      </c>
      <c r="AR108" s="68" t="n">
        <f aca="false">AR86</f>
        <v>12.5622588802147</v>
      </c>
      <c r="AS108" s="68" t="n">
        <f aca="false">AS86</f>
        <v>12.6810422875718</v>
      </c>
      <c r="AT108" s="68" t="n">
        <f aca="false">AT86</f>
        <v>12.6810422875718</v>
      </c>
      <c r="AU108" s="68" t="n">
        <f aca="false">AU86</f>
        <v>12.6810422875718</v>
      </c>
      <c r="AV108" s="68" t="n">
        <f aca="false">AV86</f>
        <v>12.6810422875718</v>
      </c>
      <c r="AW108" s="68" t="n">
        <f aca="false">AW86</f>
        <v>12.6810422875718</v>
      </c>
      <c r="AX108" s="68" t="n">
        <f aca="false">AX86</f>
        <v>12.6810422875718</v>
      </c>
      <c r="AY108" s="68" t="n">
        <f aca="false">AY86</f>
        <v>12.6810422875718</v>
      </c>
      <c r="AZ108" s="68" t="n">
        <f aca="false">AZ86</f>
        <v>12.6810422875718</v>
      </c>
      <c r="BA108" s="68" t="n">
        <f aca="false">BA86</f>
        <v>12.6810422875718</v>
      </c>
      <c r="BB108" s="65" t="n">
        <f aca="false">SUM(BC108:BN108)</f>
        <v>188.841823275565</v>
      </c>
      <c r="BC108" s="68" t="n">
        <f aca="false">BC86</f>
        <v>13.090108167816</v>
      </c>
      <c r="BD108" s="68" t="n">
        <f aca="false">BD86</f>
        <v>15.8860475799901</v>
      </c>
      <c r="BE108" s="68" t="n">
        <f aca="false">BE86</f>
        <v>15.8860475799901</v>
      </c>
      <c r="BF108" s="68" t="n">
        <f aca="false">BF86</f>
        <v>15.9977355497521</v>
      </c>
      <c r="BG108" s="68" t="n">
        <f aca="false">BG86</f>
        <v>15.9977355497521</v>
      </c>
      <c r="BH108" s="68" t="n">
        <f aca="false">BH86</f>
        <v>15.9977355497521</v>
      </c>
      <c r="BI108" s="68" t="n">
        <f aca="false">BI86</f>
        <v>15.9977355497521</v>
      </c>
      <c r="BJ108" s="68" t="n">
        <f aca="false">BJ86</f>
        <v>15.9977355497521</v>
      </c>
      <c r="BK108" s="68" t="n">
        <f aca="false">BK86</f>
        <v>15.9977355497521</v>
      </c>
      <c r="BL108" s="68" t="n">
        <f aca="false">BL86</f>
        <v>15.9977355497521</v>
      </c>
      <c r="BM108" s="68" t="n">
        <f aca="false">BM86</f>
        <v>15.9977355497521</v>
      </c>
      <c r="BN108" s="68" t="n">
        <f aca="false">BN86</f>
        <v>15.9977355497521</v>
      </c>
    </row>
    <row r="109" customFormat="false" ht="15" hidden="false" customHeight="false" outlineLevel="0" collapsed="false">
      <c r="A109" s="4" t="s">
        <v>711</v>
      </c>
      <c r="B109" s="65" t="n">
        <f aca="false">SUM(C109:N109)</f>
        <v>9.96076563988362</v>
      </c>
      <c r="C109" s="68" t="n">
        <f aca="false">-C94</f>
        <v>0</v>
      </c>
      <c r="D109" s="68" t="n">
        <f aca="false">-D94</f>
        <v>0.158461830563636</v>
      </c>
      <c r="E109" s="68" t="n">
        <f aca="false">-E94</f>
        <v>0.32574152194272</v>
      </c>
      <c r="F109" s="68" t="n">
        <f aca="false">-F94</f>
        <v>0.486597673172847</v>
      </c>
      <c r="G109" s="68" t="n">
        <f aca="false">-G94</f>
        <v>0.641276948195737</v>
      </c>
      <c r="H109" s="68" t="n">
        <f aca="false">-H94</f>
        <v>0.790016539057748</v>
      </c>
      <c r="I109" s="68" t="n">
        <f aca="false">-I94</f>
        <v>0.933044529630657</v>
      </c>
      <c r="J109" s="68" t="n">
        <f aca="false">-J94</f>
        <v>1.07058024536557</v>
      </c>
      <c r="K109" s="68" t="n">
        <f aca="false">-K94</f>
        <v>1.20283458961626</v>
      </c>
      <c r="L109" s="68" t="n">
        <f aca="false">-L94</f>
        <v>1.33001036704772</v>
      </c>
      <c r="M109" s="68" t="n">
        <f aca="false">-M94</f>
        <v>1.45230259462581</v>
      </c>
      <c r="N109" s="68" t="n">
        <f aca="false">-N94</f>
        <v>1.56989880066491</v>
      </c>
      <c r="O109" s="65" t="n">
        <f aca="false">SUM(P109:AA109)</f>
        <v>48.932861936157</v>
      </c>
      <c r="P109" s="68" t="n">
        <f aca="false">-P94</f>
        <v>2.10372414049013</v>
      </c>
      <c r="Q109" s="68" t="n">
        <f aca="false">-Q94</f>
        <v>2.48227856355403</v>
      </c>
      <c r="R109" s="68" t="n">
        <f aca="false">-R94</f>
        <v>2.87469130107088</v>
      </c>
      <c r="S109" s="68" t="n">
        <f aca="false">-S94</f>
        <v>3.25376200551216</v>
      </c>
      <c r="T109" s="68" t="n">
        <f aca="false">-T94</f>
        <v>3.61994430600243</v>
      </c>
      <c r="U109" s="68" t="n">
        <f aca="false">-U94</f>
        <v>3.97367640827603</v>
      </c>
      <c r="V109" s="68" t="n">
        <f aca="false">-V94</f>
        <v>4.31538161907234</v>
      </c>
      <c r="W109" s="68" t="n">
        <f aca="false">-W94</f>
        <v>4.64546885270156</v>
      </c>
      <c r="X109" s="68" t="n">
        <f aca="false">-X94</f>
        <v>4.96433312038739</v>
      </c>
      <c r="Y109" s="68" t="n">
        <f aca="false">-Y94</f>
        <v>5.27235600297191</v>
      </c>
      <c r="Z109" s="68" t="n">
        <f aca="false">-Z94</f>
        <v>5.56990610754855</v>
      </c>
      <c r="AA109" s="68" t="n">
        <f aca="false">-AA94</f>
        <v>5.85733950856958</v>
      </c>
      <c r="AB109" s="65" t="n">
        <f aca="false">SUM(AC109:AN109)</f>
        <v>130.202978887146</v>
      </c>
      <c r="AC109" s="68" t="n">
        <f aca="false">-AC94</f>
        <v>7.36200020874708</v>
      </c>
      <c r="AD109" s="68" t="n">
        <f aca="false">-AD94</f>
        <v>8.0291934438787</v>
      </c>
      <c r="AE109" s="68" t="n">
        <f aca="false">-AE94</f>
        <v>8.71819320881322</v>
      </c>
      <c r="AF109" s="68" t="n">
        <f aca="false">-AF94</f>
        <v>9.3854205811758</v>
      </c>
      <c r="AG109" s="68" t="n">
        <f aca="false">-AG94</f>
        <v>10.0315635685717</v>
      </c>
      <c r="AH109" s="68" t="n">
        <f aca="false">-AH94</f>
        <v>10.6572884375659</v>
      </c>
      <c r="AI109" s="68" t="n">
        <f aca="false">-AI94</f>
        <v>11.2632404006999</v>
      </c>
      <c r="AJ109" s="68" t="n">
        <f aca="false">-AJ94</f>
        <v>11.8500442817989</v>
      </c>
      <c r="AK109" s="68" t="n">
        <f aca="false">-AK94</f>
        <v>12.4183051602551</v>
      </c>
      <c r="AL109" s="68" t="n">
        <f aca="false">-AL94</f>
        <v>12.9686089949522</v>
      </c>
      <c r="AM109" s="68" t="n">
        <f aca="false">-AM94</f>
        <v>13.5015232284728</v>
      </c>
      <c r="AN109" s="68" t="n">
        <f aca="false">-AN94</f>
        <v>14.0175973722141</v>
      </c>
      <c r="AO109" s="65" t="n">
        <f aca="false">SUM(AP109:BA109)</f>
        <v>259.048331370367</v>
      </c>
      <c r="AP109" s="68" t="n">
        <f aca="false">-AP94</f>
        <v>16.9369241685154</v>
      </c>
      <c r="AQ109" s="68" t="n">
        <f aca="false">-AQ94</f>
        <v>17.8273025923709</v>
      </c>
      <c r="AR109" s="68" t="n">
        <f aca="false">-AR94</f>
        <v>18.7419334995459</v>
      </c>
      <c r="AS109" s="68" t="n">
        <f aca="false">-AS94</f>
        <v>19.6289425533242</v>
      </c>
      <c r="AT109" s="68" t="n">
        <f aca="false">-AT94</f>
        <v>20.4891639336783</v>
      </c>
      <c r="AU109" s="68" t="n">
        <f aca="false">-AU94</f>
        <v>21.3234066283458</v>
      </c>
      <c r="AV109" s="68" t="n">
        <f aca="false">-AV94</f>
        <v>22.1324551936343</v>
      </c>
      <c r="AW109" s="68" t="n">
        <f aca="false">-AW94</f>
        <v>22.9170704922512</v>
      </c>
      <c r="AX109" s="68" t="n">
        <f aca="false">-AX94</f>
        <v>23.6779904088497</v>
      </c>
      <c r="AY109" s="68" t="n">
        <f aca="false">-AY94</f>
        <v>24.415930543967</v>
      </c>
      <c r="AZ109" s="68" t="n">
        <f aca="false">-AZ94</f>
        <v>25.1315848870038</v>
      </c>
      <c r="BA109" s="68" t="n">
        <f aca="false">-BA94</f>
        <v>25.8256264688808</v>
      </c>
      <c r="BB109" s="65" t="n">
        <f aca="false">SUM(BC109:BN109)</f>
        <v>376.829648793283</v>
      </c>
      <c r="BC109" s="68" t="n">
        <f aca="false">-BC94</f>
        <v>26.4987079949852</v>
      </c>
      <c r="BD109" s="68" t="n">
        <f aca="false">-BD94</f>
        <v>27.4546968687975</v>
      </c>
      <c r="BE109" s="68" t="n">
        <f aca="false">-BE94</f>
        <v>28.4126189699608</v>
      </c>
      <c r="BF109" s="68" t="n">
        <f aca="false">-BF94</f>
        <v>29.34256974577</v>
      </c>
      <c r="BG109" s="68" t="n">
        <f aca="false">-BG94</f>
        <v>30.2453659589257</v>
      </c>
      <c r="BH109" s="68" t="n">
        <f aca="false">-BH94</f>
        <v>31.1218005226572</v>
      </c>
      <c r="BI109" s="68" t="n">
        <f aca="false">-BI94</f>
        <v>31.9726431971277</v>
      </c>
      <c r="BJ109" s="68" t="n">
        <f aca="false">-BJ94</f>
        <v>32.7986412655037</v>
      </c>
      <c r="BK109" s="68" t="n">
        <f aca="false">-BK94</f>
        <v>33.6005201902832</v>
      </c>
      <c r="BL109" s="68" t="n">
        <f aca="false">-BL94</f>
        <v>34.378984250459</v>
      </c>
      <c r="BM109" s="68" t="n">
        <f aca="false">-BM94</f>
        <v>35.1347171600778</v>
      </c>
      <c r="BN109" s="68" t="n">
        <f aca="false">-BN94</f>
        <v>35.8683826687356</v>
      </c>
    </row>
    <row r="110" customFormat="false" ht="15" hidden="false" customHeight="false" outlineLevel="0" collapsed="false">
      <c r="A110" s="4" t="s">
        <v>715</v>
      </c>
      <c r="B110" s="65" t="n">
        <f aca="false">SUM(C110:N110)</f>
        <v>11.9815994135888</v>
      </c>
      <c r="C110" s="68" t="n">
        <f aca="false">-C102</f>
        <v>0</v>
      </c>
      <c r="D110" s="68" t="n">
        <f aca="false">-D102</f>
        <v>0</v>
      </c>
      <c r="E110" s="68" t="n">
        <f aca="false">-E102</f>
        <v>0.226021976689424</v>
      </c>
      <c r="F110" s="68" t="n">
        <f aca="false">-F102</f>
        <v>0.449898501747467</v>
      </c>
      <c r="G110" s="68" t="n">
        <f aca="false">-G102</f>
        <v>0.671287264018997</v>
      </c>
      <c r="H110" s="68" t="n">
        <f aca="false">-H102</f>
        <v>0.889886702369594</v>
      </c>
      <c r="I110" s="68" t="n">
        <f aca="false">-I102</f>
        <v>1.10543264654205</v>
      </c>
      <c r="J110" s="68" t="n">
        <f aca="false">-J102</f>
        <v>1.31769520363627</v>
      </c>
      <c r="K110" s="68" t="n">
        <f aca="false">-K102</f>
        <v>1.52647587319948</v>
      </c>
      <c r="L110" s="68" t="n">
        <f aca="false">-L102</f>
        <v>1.73160487505989</v>
      </c>
      <c r="M110" s="68" t="n">
        <f aca="false">-M102</f>
        <v>1.93293867510672</v>
      </c>
      <c r="N110" s="68" t="n">
        <f aca="false">-N102</f>
        <v>2.13035769521887</v>
      </c>
      <c r="O110" s="65" t="n">
        <f aca="false">SUM(P110:AA110)</f>
        <v>67.8430384753213</v>
      </c>
      <c r="P110" s="68" t="n">
        <f aca="false">-P102</f>
        <v>2.55614061392433</v>
      </c>
      <c r="Q110" s="68" t="n">
        <f aca="false">-Q102</f>
        <v>2.83233506859953</v>
      </c>
      <c r="R110" s="68" t="n">
        <f aca="false">-R102</f>
        <v>3.47366433377844</v>
      </c>
      <c r="S110" s="68" t="n">
        <f aca="false">-S102</f>
        <v>4.10929494089612</v>
      </c>
      <c r="T110" s="68" t="n">
        <f aca="false">-T102</f>
        <v>4.73851867825719</v>
      </c>
      <c r="U110" s="68" t="n">
        <f aca="false">-U102</f>
        <v>5.3607019234638</v>
      </c>
      <c r="V110" s="68" t="n">
        <f aca="false">-V102</f>
        <v>5.9752802788139</v>
      </c>
      <c r="W110" s="68" t="n">
        <f aca="false">-W102</f>
        <v>6.58175354749571</v>
      </c>
      <c r="X110" s="68" t="n">
        <f aca="false">-X102</f>
        <v>7.17968103012078</v>
      </c>
      <c r="Y110" s="68" t="n">
        <f aca="false">-Y102</f>
        <v>7.76867712233067</v>
      </c>
      <c r="Z110" s="68" t="n">
        <f aca="false">-Z102</f>
        <v>8.3484071953358</v>
      </c>
      <c r="AA110" s="68" t="n">
        <f aca="false">-AA102</f>
        <v>8.91858374230506</v>
      </c>
      <c r="AB110" s="65" t="n">
        <f aca="false">SUM(AC110:AN110)</f>
        <v>203.146145607422</v>
      </c>
      <c r="AC110" s="68" t="n">
        <f aca="false">-AC102</f>
        <v>10.3406866631156</v>
      </c>
      <c r="AD110" s="68" t="n">
        <f aca="false">-AD102</f>
        <v>11.1102471437517</v>
      </c>
      <c r="AE110" s="68" t="n">
        <f aca="false">-AE102</f>
        <v>12.4412359870684</v>
      </c>
      <c r="AF110" s="68" t="n">
        <f aca="false">-AF102</f>
        <v>13.7581333917275</v>
      </c>
      <c r="AG110" s="68" t="n">
        <f aca="false">-AG102</f>
        <v>15.0599303211333</v>
      </c>
      <c r="AH110" s="68" t="n">
        <f aca="false">-AH102</f>
        <v>16.3457252492017</v>
      </c>
      <c r="AI110" s="68" t="n">
        <f aca="false">-AI102</f>
        <v>17.6147168305301</v>
      </c>
      <c r="AJ110" s="68" t="n">
        <f aca="false">-AJ102</f>
        <v>18.8661970066801</v>
      </c>
      <c r="AK110" s="68" t="n">
        <f aca="false">-AK102</f>
        <v>20.0995445241583</v>
      </c>
      <c r="AL110" s="68" t="n">
        <f aca="false">-AL102</f>
        <v>21.314218841004</v>
      </c>
      <c r="AM110" s="68" t="n">
        <f aca="false">-AM102</f>
        <v>22.5097544001496</v>
      </c>
      <c r="AN110" s="68" t="n">
        <f aca="false">-AN102</f>
        <v>23.6857552489012</v>
      </c>
      <c r="AO110" s="65" t="n">
        <f aca="false">SUM(AP110:BA110)</f>
        <v>418.924789760557</v>
      </c>
      <c r="AP110" s="68" t="n">
        <f aca="false">-AP102</f>
        <v>24.841889985017</v>
      </c>
      <c r="AQ110" s="68" t="n">
        <f aca="false">-AQ102</f>
        <v>26.2736052642007</v>
      </c>
      <c r="AR110" s="68" t="n">
        <f aca="false">-AR102</f>
        <v>28.2636604301932</v>
      </c>
      <c r="AS110" s="68" t="n">
        <f aca="false">-AS102</f>
        <v>30.2287501896287</v>
      </c>
      <c r="AT110" s="68" t="n">
        <f aca="false">-AT102</f>
        <v>32.1679420533313</v>
      </c>
      <c r="AU110" s="68" t="n">
        <f aca="false">-AU102</f>
        <v>34.0804126426321</v>
      </c>
      <c r="AV110" s="68" t="n">
        <f aca="false">-AV102</f>
        <v>35.9654405086636</v>
      </c>
      <c r="AW110" s="68" t="n">
        <f aca="false">-AW102</f>
        <v>37.8223993550193</v>
      </c>
      <c r="AX110" s="68" t="n">
        <f aca="false">-AX102</f>
        <v>39.6507516426432</v>
      </c>
      <c r="AY110" s="68" t="n">
        <f aca="false">-AY102</f>
        <v>41.4500425568846</v>
      </c>
      <c r="AZ110" s="68" t="n">
        <f aca="false">-AZ102</f>
        <v>43.2198943176656</v>
      </c>
      <c r="BA110" s="68" t="n">
        <f aca="false">-BA102</f>
        <v>44.9600008146777</v>
      </c>
      <c r="BB110" s="65" t="n">
        <f aca="false">SUM(BC110:BN110)</f>
        <v>699.911853728345</v>
      </c>
      <c r="BC110" s="68" t="n">
        <f aca="false">-BC102</f>
        <v>46.6701225504352</v>
      </c>
      <c r="BD110" s="68" t="n">
        <f aca="false">-BD102</f>
        <v>48.558247068455</v>
      </c>
      <c r="BE110" s="68" t="n">
        <f aca="false">-BE102</f>
        <v>50.8108339313008</v>
      </c>
      <c r="BF110" s="68" t="n">
        <f aca="false">-BF102</f>
        <v>53.0359512331226</v>
      </c>
      <c r="BG110" s="68" t="n">
        <f aca="false">-BG102</f>
        <v>55.2326773162106</v>
      </c>
      <c r="BH110" s="68" t="n">
        <f aca="false">-BH102</f>
        <v>57.4001950048602</v>
      </c>
      <c r="BI110" s="68" t="n">
        <f aca="false">-BI102</f>
        <v>59.5377850638656</v>
      </c>
      <c r="BJ110" s="68" t="n">
        <f aca="false">-BJ102</f>
        <v>61.6448200051034</v>
      </c>
      <c r="BK110" s="68" t="n">
        <f aca="false">-BK102</f>
        <v>63.7207582249746</v>
      </c>
      <c r="BL110" s="68" t="n">
        <f aca="false">-BL102</f>
        <v>65.7651384562917</v>
      </c>
      <c r="BM110" s="68" t="n">
        <f aca="false">-BM102</f>
        <v>67.7775745189845</v>
      </c>
      <c r="BN110" s="68" t="n">
        <f aca="false">-BN102</f>
        <v>69.757750354741</v>
      </c>
    </row>
    <row r="111" customFormat="false" ht="15" hidden="false" customHeight="false" outlineLevel="0" collapsed="false">
      <c r="A111" s="4" t="s">
        <v>716</v>
      </c>
      <c r="B111" s="65" t="n">
        <f aca="false">SUM(C111:N111)</f>
        <v>-0.411649887275268</v>
      </c>
      <c r="C111" s="68" t="n">
        <f aca="false">-C106*'Assumption Setting'!$C$73</f>
        <v>-0</v>
      </c>
      <c r="D111" s="68" t="n">
        <f aca="false">-D106*'Assumption Setting'!$C$73</f>
        <v>-0</v>
      </c>
      <c r="E111" s="68" t="n">
        <f aca="false">-E106*'Assumption Setting'!$C$73</f>
        <v>-0.00698589914016582</v>
      </c>
      <c r="F111" s="68" t="n">
        <f aca="false">-F106*'Assumption Setting'!$C$73</f>
        <v>-0.014148537075055</v>
      </c>
      <c r="G111" s="68" t="n">
        <f aca="false">-G106*'Assumption Setting'!$C$73</f>
        <v>-0.0215554420835744</v>
      </c>
      <c r="H111" s="68" t="n">
        <f aca="false">-H106*'Assumption Setting'!$C$73</f>
        <v>-0.0291088010741242</v>
      </c>
      <c r="I111" s="68" t="n">
        <f aca="false">-I106*'Assumption Setting'!$C$73</f>
        <v>-0.0367953449651795</v>
      </c>
      <c r="J111" s="68" t="n">
        <f aca="false">-J106*'Assumption Setting'!$C$73</f>
        <v>-0.0446021799303575</v>
      </c>
      <c r="K111" s="68" t="n">
        <f aca="false">-K106*'Assumption Setting'!$C$73</f>
        <v>-0.052516801284444</v>
      </c>
      <c r="L111" s="68" t="n">
        <f aca="false">-L106*'Assumption Setting'!$C$73</f>
        <v>-0.0605271043903678</v>
      </c>
      <c r="M111" s="68" t="n">
        <f aca="false">-M106*'Assumption Setting'!$C$73</f>
        <v>-0.0686213928792998</v>
      </c>
      <c r="N111" s="68" t="n">
        <f aca="false">-N106*'Assumption Setting'!$C$73</f>
        <v>-0.0767883844526999</v>
      </c>
      <c r="O111" s="65" t="n">
        <f aca="false">SUM(P111:AA111)</f>
        <v>-3.63811899601229</v>
      </c>
      <c r="P111" s="68" t="n">
        <f aca="false">-P106*'Assumption Setting'!$D$73</f>
        <v>-0.127525821770214</v>
      </c>
      <c r="Q111" s="68" t="n">
        <f aca="false">-Q106*'Assumption Setting'!$D$73</f>
        <v>-0.142458498357159</v>
      </c>
      <c r="R111" s="68" t="n">
        <f aca="false">-R106*'Assumption Setting'!$D$73</f>
        <v>-0.175873177050341</v>
      </c>
      <c r="S111" s="68" t="n">
        <f aca="false">-S106*'Assumption Setting'!$D$73</f>
        <v>-0.20998639444089</v>
      </c>
      <c r="T111" s="68" t="n">
        <f aca="false">-T106*'Assumption Setting'!$D$73</f>
        <v>-0.24491054351879</v>
      </c>
      <c r="U111" s="68" t="n">
        <f aca="false">-U106*'Assumption Setting'!$D$73</f>
        <v>-0.28043723585198</v>
      </c>
      <c r="V111" s="68" t="n">
        <f aca="false">-V106*'Assumption Setting'!$D$73</f>
        <v>-0.316521870551894</v>
      </c>
      <c r="W111" s="68" t="n">
        <f aca="false">-W106*'Assumption Setting'!$D$73</f>
        <v>-0.35312077241618</v>
      </c>
      <c r="X111" s="68" t="n">
        <f aca="false">-X106*'Assumption Setting'!$D$73</f>
        <v>-0.390191243036393</v>
      </c>
      <c r="Y111" s="68" t="n">
        <f aca="false">-Y106*'Assumption Setting'!$D$73</f>
        <v>-0.427691604281257</v>
      </c>
      <c r="Z111" s="68" t="n">
        <f aca="false">-Z106*'Assumption Setting'!$D$73</f>
        <v>-0.465581234776568</v>
      </c>
      <c r="AA111" s="68" t="n">
        <f aca="false">-AA106*'Assumption Setting'!$D$73</f>
        <v>-0.503820599960622</v>
      </c>
      <c r="AB111" s="65" t="n">
        <f aca="false">SUM(AC111:AN111)</f>
        <v>-15.1166327729462</v>
      </c>
      <c r="AC111" s="68" t="n">
        <f aca="false">-AC106*'Assumption Setting'!$E$73</f>
        <v>-0.723161701672624</v>
      </c>
      <c r="AD111" s="68" t="n">
        <f aca="false">-AD106*'Assumption Setting'!$E$73</f>
        <v>-0.784296786827897</v>
      </c>
      <c r="AE111" s="68" t="n">
        <f aca="false">-AE106*'Assumption Setting'!$E$73</f>
        <v>-0.88408547487206</v>
      </c>
      <c r="AF111" s="68" t="n">
        <f aca="false">-AF106*'Assumption Setting'!$E$73</f>
        <v>-0.985718788995753</v>
      </c>
      <c r="AG111" s="68" t="n">
        <f aca="false">-AG106*'Assumption Setting'!$E$73</f>
        <v>-1.08936581459175</v>
      </c>
      <c r="AH111" s="68" t="n">
        <f aca="false">-AH106*'Assumption Setting'!$E$73</f>
        <v>-1.19462848545825</v>
      </c>
      <c r="AI111" s="68" t="n">
        <f aca="false">-AI106*'Assumption Setting'!$E$73</f>
        <v>-1.3013984171598</v>
      </c>
      <c r="AJ111" s="68" t="n">
        <f aca="false">-AJ106*'Assumption Setting'!$E$73</f>
        <v>-1.40956929745284</v>
      </c>
      <c r="AK111" s="68" t="n">
        <f aca="false">-AK106*'Assumption Setting'!$E$73</f>
        <v>-1.51903698649394</v>
      </c>
      <c r="AL111" s="68" t="n">
        <f aca="false">-AL106*'Assumption Setting'!$E$73</f>
        <v>-1.629699603168</v>
      </c>
      <c r="AM111" s="68" t="n">
        <f aca="false">-AM106*'Assumption Setting'!$E$73</f>
        <v>-1.74145759857832</v>
      </c>
      <c r="AN111" s="68" t="n">
        <f aca="false">-AN106*'Assumption Setting'!$E$73</f>
        <v>-1.85421381767494</v>
      </c>
      <c r="AO111" s="65" t="n">
        <f aca="false">SUM(AP111:BA111)</f>
        <v>-34.6638339951913</v>
      </c>
      <c r="AP111" s="68" t="n">
        <f aca="false">-AP106*'Assumption Setting'!$F$73</f>
        <v>-1.96787354993642</v>
      </c>
      <c r="AQ111" s="68" t="n">
        <f aca="false">-AQ106*'Assumption Setting'!$F$73</f>
        <v>-2.09394726023899</v>
      </c>
      <c r="AR111" s="68" t="n">
        <f aca="false">-AR106*'Assumption Setting'!$F$73</f>
        <v>-2.26309958073919</v>
      </c>
      <c r="AS111" s="68" t="n">
        <f aca="false">-AS106*'Assumption Setting'!$F$73</f>
        <v>-2.43467822697572</v>
      </c>
      <c r="AT111" s="68" t="n">
        <f aca="false">-AT106*'Assumption Setting'!$F$73</f>
        <v>-2.60876706472866</v>
      </c>
      <c r="AU111" s="68" t="n">
        <f aca="false">-AU106*'Assumption Setting'!$F$73</f>
        <v>-2.78497295221465</v>
      </c>
      <c r="AV111" s="68" t="n">
        <f aca="false">-AV106*'Assumption Setting'!$F$73</f>
        <v>-2.96314814851886</v>
      </c>
      <c r="AW111" s="68" t="n">
        <f aca="false">-AW106*'Assumption Setting'!$F$73</f>
        <v>-3.14314799375963</v>
      </c>
      <c r="AX111" s="68" t="n">
        <f aca="false">-AX106*'Assumption Setting'!$F$73</f>
        <v>-3.32483099038553</v>
      </c>
      <c r="AY111" s="68" t="n">
        <f aca="false">-AY106*'Assumption Setting'!$F$73</f>
        <v>-3.50805887148735</v>
      </c>
      <c r="AZ111" s="68" t="n">
        <f aca="false">-AZ106*'Assumption Setting'!$F$73</f>
        <v>-3.69269665706585</v>
      </c>
      <c r="BA111" s="68" t="n">
        <f aca="false">-BA106*'Assumption Setting'!$F$73</f>
        <v>-3.87861269914042</v>
      </c>
      <c r="BB111" s="65" t="n">
        <f aca="false">SUM(BC111:BN111)</f>
        <v>-63.7977589687134</v>
      </c>
      <c r="BC111" s="68" t="n">
        <f aca="false">-BC106*'Assumption Setting'!$G$73</f>
        <v>-4.06567871653128</v>
      </c>
      <c r="BD111" s="68" t="n">
        <f aca="false">-BD106*'Assumption Setting'!$G$73</f>
        <v>-4.26568006481376</v>
      </c>
      <c r="BE111" s="68" t="n">
        <f aca="false">-BE106*'Assumption Setting'!$G$73</f>
        <v>-4.49231267060421</v>
      </c>
      <c r="BF111" s="68" t="n">
        <f aca="false">-BF106*'Assumption Setting'!$G$73</f>
        <v>-4.72128690741844</v>
      </c>
      <c r="BG111" s="68" t="n">
        <f aca="false">-BG106*'Assumption Setting'!$G$73</f>
        <v>-4.95267312006481</v>
      </c>
      <c r="BH111" s="68" t="n">
        <f aca="false">-BH106*'Assumption Setting'!$G$73</f>
        <v>-5.18609342547603</v>
      </c>
      <c r="BI111" s="68" t="n">
        <f aca="false">-BI106*'Assumption Setting'!$G$73</f>
        <v>-5.4214000698946</v>
      </c>
      <c r="BJ111" s="68" t="n">
        <f aca="false">-BJ106*'Assumption Setting'!$G$73</f>
        <v>-5.6584480601806</v>
      </c>
      <c r="BK111" s="68" t="n">
        <f aca="false">-BK106*'Assumption Setting'!$G$73</f>
        <v>-5.89709525266068</v>
      </c>
      <c r="BL111" s="68" t="n">
        <f aca="false">-BL106*'Assumption Setting'!$G$73</f>
        <v>-6.13720242996541</v>
      </c>
      <c r="BM111" s="68" t="n">
        <f aca="false">-BM106*'Assumption Setting'!$G$73</f>
        <v>-6.37863336666165</v>
      </c>
      <c r="BN111" s="68" t="n">
        <f aca="false">-BN106*'Assumption Setting'!$G$73</f>
        <v>-6.62125488444198</v>
      </c>
    </row>
    <row r="112" customFormat="false" ht="15" hidden="false" customHeight="false" outlineLevel="0" collapsed="false">
      <c r="A112" s="4" t="s">
        <v>706</v>
      </c>
      <c r="B112" s="65" t="n">
        <f aca="false">SUM(C112:N112)</f>
        <v>-12.349496618258</v>
      </c>
      <c r="C112" s="68" t="n">
        <f aca="false">-C106*'Assumption Setting'!$C$76</f>
        <v>-0</v>
      </c>
      <c r="D112" s="68" t="n">
        <f aca="false">-D106*'Assumption Setting'!$C$76</f>
        <v>-0</v>
      </c>
      <c r="E112" s="68" t="n">
        <f aca="false">-E106*'Assumption Setting'!$C$76</f>
        <v>-0.209576974204975</v>
      </c>
      <c r="F112" s="68" t="n">
        <f aca="false">-F106*'Assumption Setting'!$C$76</f>
        <v>-0.42445611225165</v>
      </c>
      <c r="G112" s="68" t="n">
        <f aca="false">-G106*'Assumption Setting'!$C$76</f>
        <v>-0.646663262507233</v>
      </c>
      <c r="H112" s="68" t="n">
        <f aca="false">-H106*'Assumption Setting'!$C$76</f>
        <v>-0.873264032223725</v>
      </c>
      <c r="I112" s="68" t="n">
        <f aca="false">-I106*'Assumption Setting'!$C$76</f>
        <v>-1.10386034895538</v>
      </c>
      <c r="J112" s="68" t="n">
        <f aca="false">-J106*'Assumption Setting'!$C$76</f>
        <v>-1.33806539791072</v>
      </c>
      <c r="K112" s="68" t="n">
        <f aca="false">-K106*'Assumption Setting'!$C$76</f>
        <v>-1.57550403853332</v>
      </c>
      <c r="L112" s="68" t="n">
        <f aca="false">-L106*'Assumption Setting'!$C$76</f>
        <v>-1.81581313171103</v>
      </c>
      <c r="M112" s="68" t="n">
        <f aca="false">-M106*'Assumption Setting'!$C$76</f>
        <v>-2.058641786379</v>
      </c>
      <c r="N112" s="68" t="n">
        <f aca="false">-N106*'Assumption Setting'!$C$76</f>
        <v>-2.303651533581</v>
      </c>
      <c r="O112" s="65" t="n">
        <f aca="false">SUM(P112:AA112)</f>
        <v>-58.2099039361966</v>
      </c>
      <c r="P112" s="68" t="n">
        <f aca="false">-P106*'Assumption Setting'!$D$76</f>
        <v>-2.04041314832342</v>
      </c>
      <c r="Q112" s="68" t="n">
        <f aca="false">-Q106*'Assumption Setting'!$D$76</f>
        <v>-2.27933597371454</v>
      </c>
      <c r="R112" s="68" t="n">
        <f aca="false">-R106*'Assumption Setting'!$D$76</f>
        <v>-2.81397083280546</v>
      </c>
      <c r="S112" s="68" t="n">
        <f aca="false">-S106*'Assumption Setting'!$D$76</f>
        <v>-3.35978231105425</v>
      </c>
      <c r="T112" s="68" t="n">
        <f aca="false">-T106*'Assumption Setting'!$D$76</f>
        <v>-3.91856869630064</v>
      </c>
      <c r="U112" s="68" t="n">
        <f aca="false">-U106*'Assumption Setting'!$D$76</f>
        <v>-4.48699577363168</v>
      </c>
      <c r="V112" s="68" t="n">
        <f aca="false">-V106*'Assumption Setting'!$D$76</f>
        <v>-5.0643499288303</v>
      </c>
      <c r="W112" s="68" t="n">
        <f aca="false">-W106*'Assumption Setting'!$D$76</f>
        <v>-5.64993235865888</v>
      </c>
      <c r="X112" s="68" t="n">
        <f aca="false">-X106*'Assumption Setting'!$D$76</f>
        <v>-6.24305988858228</v>
      </c>
      <c r="Y112" s="68" t="n">
        <f aca="false">-Y106*'Assumption Setting'!$D$76</f>
        <v>-6.84306566850011</v>
      </c>
      <c r="Z112" s="68" t="n">
        <f aca="false">-Z106*'Assumption Setting'!$D$76</f>
        <v>-7.44929975642509</v>
      </c>
      <c r="AA112" s="68" t="n">
        <f aca="false">-AA106*'Assumption Setting'!$D$76</f>
        <v>-8.06112959936995</v>
      </c>
      <c r="AB112" s="65" t="n">
        <f aca="false">SUM(AC112:AN112)</f>
        <v>-151.166327729462</v>
      </c>
      <c r="AC112" s="68" t="n">
        <f aca="false">-AC106*'Assumption Setting'!$E$76</f>
        <v>-7.23161701672624</v>
      </c>
      <c r="AD112" s="68" t="n">
        <f aca="false">-AD106*'Assumption Setting'!$E$76</f>
        <v>-7.84296786827897</v>
      </c>
      <c r="AE112" s="68" t="n">
        <f aca="false">-AE106*'Assumption Setting'!$E$76</f>
        <v>-8.8408547487206</v>
      </c>
      <c r="AF112" s="68" t="n">
        <f aca="false">-AF106*'Assumption Setting'!$E$76</f>
        <v>-9.85718788995753</v>
      </c>
      <c r="AG112" s="68" t="n">
        <f aca="false">-AG106*'Assumption Setting'!$E$76</f>
        <v>-10.8936581459175</v>
      </c>
      <c r="AH112" s="68" t="n">
        <f aca="false">-AH106*'Assumption Setting'!$E$76</f>
        <v>-11.9462848545825</v>
      </c>
      <c r="AI112" s="68" t="n">
        <f aca="false">-AI106*'Assumption Setting'!$E$76</f>
        <v>-13.013984171598</v>
      </c>
      <c r="AJ112" s="68" t="n">
        <f aca="false">-AJ106*'Assumption Setting'!$E$76</f>
        <v>-14.0956929745284</v>
      </c>
      <c r="AK112" s="68" t="n">
        <f aca="false">-AK106*'Assumption Setting'!$E$76</f>
        <v>-15.1903698649394</v>
      </c>
      <c r="AL112" s="68" t="n">
        <f aca="false">-AL106*'Assumption Setting'!$E$76</f>
        <v>-16.29699603168</v>
      </c>
      <c r="AM112" s="68" t="n">
        <f aca="false">-AM106*'Assumption Setting'!$E$76</f>
        <v>-17.4145759857832</v>
      </c>
      <c r="AN112" s="68" t="n">
        <f aca="false">-AN106*'Assumption Setting'!$E$76</f>
        <v>-18.5421381767494</v>
      </c>
      <c r="AO112" s="65" t="n">
        <f aca="false">SUM(AP112:BA112)</f>
        <v>-311.974505956721</v>
      </c>
      <c r="AP112" s="68" t="n">
        <f aca="false">-AP106*'Assumption Setting'!$F$76</f>
        <v>-17.7108619494278</v>
      </c>
      <c r="AQ112" s="68" t="n">
        <f aca="false">-AQ106*'Assumption Setting'!$F$76</f>
        <v>-18.8455253421509</v>
      </c>
      <c r="AR112" s="68" t="n">
        <f aca="false">-AR106*'Assumption Setting'!$F$76</f>
        <v>-20.3678962266527</v>
      </c>
      <c r="AS112" s="68" t="n">
        <f aca="false">-AS106*'Assumption Setting'!$F$76</f>
        <v>-21.9121040427814</v>
      </c>
      <c r="AT112" s="68" t="n">
        <f aca="false">-AT106*'Assumption Setting'!$F$76</f>
        <v>-23.4789035825579</v>
      </c>
      <c r="AU112" s="68" t="n">
        <f aca="false">-AU106*'Assumption Setting'!$F$76</f>
        <v>-25.0647565699319</v>
      </c>
      <c r="AV112" s="68" t="n">
        <f aca="false">-AV106*'Assumption Setting'!$F$76</f>
        <v>-26.6683333366698</v>
      </c>
      <c r="AW112" s="68" t="n">
        <f aca="false">-AW106*'Assumption Setting'!$F$76</f>
        <v>-28.2883319438367</v>
      </c>
      <c r="AX112" s="68" t="n">
        <f aca="false">-AX106*'Assumption Setting'!$F$76</f>
        <v>-29.9234789134697</v>
      </c>
      <c r="AY112" s="68" t="n">
        <f aca="false">-AY106*'Assumption Setting'!$F$76</f>
        <v>-31.5725298433861</v>
      </c>
      <c r="AZ112" s="68" t="n">
        <f aca="false">-AZ106*'Assumption Setting'!$F$76</f>
        <v>-33.2342699135927</v>
      </c>
      <c r="BA112" s="68" t="n">
        <f aca="false">-BA106*'Assumption Setting'!$F$76</f>
        <v>-34.9075142922638</v>
      </c>
      <c r="BB112" s="65" t="n">
        <f aca="false">SUM(BC112:BN112)</f>
        <v>-510.382071749707</v>
      </c>
      <c r="BC112" s="68" t="n">
        <f aca="false">-BC106*'Assumption Setting'!$G$76</f>
        <v>-32.5254297322502</v>
      </c>
      <c r="BD112" s="68" t="n">
        <f aca="false">-BD106*'Assumption Setting'!$G$76</f>
        <v>-34.1254405185101</v>
      </c>
      <c r="BE112" s="68" t="n">
        <f aca="false">-BE106*'Assumption Setting'!$G$76</f>
        <v>-35.9385013648336</v>
      </c>
      <c r="BF112" s="68" t="n">
        <f aca="false">-BF106*'Assumption Setting'!$G$76</f>
        <v>-37.7702952593475</v>
      </c>
      <c r="BG112" s="68" t="n">
        <f aca="false">-BG106*'Assumption Setting'!$G$76</f>
        <v>-39.6213849605185</v>
      </c>
      <c r="BH112" s="68" t="n">
        <f aca="false">-BH106*'Assumption Setting'!$G$76</f>
        <v>-41.4887474038082</v>
      </c>
      <c r="BI112" s="68" t="n">
        <f aca="false">-BI106*'Assumption Setting'!$G$76</f>
        <v>-43.3712005591568</v>
      </c>
      <c r="BJ112" s="68" t="n">
        <f aca="false">-BJ106*'Assumption Setting'!$G$76</f>
        <v>-45.2675844814448</v>
      </c>
      <c r="BK112" s="68" t="n">
        <f aca="false">-BK106*'Assumption Setting'!$G$76</f>
        <v>-47.1767620212854</v>
      </c>
      <c r="BL112" s="68" t="n">
        <f aca="false">-BL106*'Assumption Setting'!$G$76</f>
        <v>-49.0976194397233</v>
      </c>
      <c r="BM112" s="68" t="n">
        <f aca="false">-BM106*'Assumption Setting'!$G$76</f>
        <v>-51.0290669332932</v>
      </c>
      <c r="BN112" s="68" t="n">
        <f aca="false">-BN106*'Assumption Setting'!$G$76</f>
        <v>-52.9700390755358</v>
      </c>
    </row>
    <row r="113" customFormat="false" ht="15" hidden="false" customHeight="false" outlineLevel="0" collapsed="false">
      <c r="A113" s="13" t="s">
        <v>717</v>
      </c>
      <c r="B113" s="65" t="n">
        <f aca="false">N113</f>
        <v>85.0172145134758</v>
      </c>
      <c r="C113" s="83" t="n">
        <f aca="false">SUM(C106:C112)</f>
        <v>0</v>
      </c>
      <c r="D113" s="83" t="n">
        <f aca="false">SUM(D106:D112)</f>
        <v>6.98589914016582</v>
      </c>
      <c r="E113" s="83" t="n">
        <f aca="false">SUM(E106:E112)</f>
        <v>14.148537075055</v>
      </c>
      <c r="F113" s="83" t="n">
        <f aca="false">SUM(F106:F112)</f>
        <v>21.5554420835744</v>
      </c>
      <c r="G113" s="83" t="n">
        <f aca="false">SUM(G106:G112)</f>
        <v>29.1088010741242</v>
      </c>
      <c r="H113" s="83" t="n">
        <f aca="false">SUM(H106:H112)</f>
        <v>36.7953449651795</v>
      </c>
      <c r="I113" s="83" t="n">
        <f aca="false">SUM(I106:I112)</f>
        <v>44.6021799303575</v>
      </c>
      <c r="J113" s="83" t="n">
        <f aca="false">SUM(J106:J112)</f>
        <v>52.516801284444</v>
      </c>
      <c r="K113" s="83" t="n">
        <f aca="false">SUM(K106:K112)</f>
        <v>60.5271043903678</v>
      </c>
      <c r="L113" s="83" t="n">
        <f aca="false">SUM(L106:L112)</f>
        <v>68.6213928792998</v>
      </c>
      <c r="M113" s="83" t="n">
        <f aca="false">SUM(M106:M112)</f>
        <v>76.7883844526999</v>
      </c>
      <c r="N113" s="83" t="n">
        <f aca="false">SUM(N106:N112)</f>
        <v>85.0172145134758</v>
      </c>
      <c r="O113" s="65" t="n">
        <f aca="false">AA113</f>
        <v>361.580850836312</v>
      </c>
      <c r="P113" s="83" t="n">
        <f aca="false">SUM(P106:P112)</f>
        <v>94.972332238106</v>
      </c>
      <c r="Q113" s="83" t="n">
        <f aca="false">SUM(Q106:Q112)</f>
        <v>117.248784700227</v>
      </c>
      <c r="R113" s="83" t="n">
        <f aca="false">SUM(R106:R112)</f>
        <v>139.99092962726</v>
      </c>
      <c r="S113" s="83" t="n">
        <f aca="false">SUM(S106:S112)</f>
        <v>163.273695679193</v>
      </c>
      <c r="T113" s="83" t="n">
        <f aca="false">SUM(T106:T112)</f>
        <v>186.958157234653</v>
      </c>
      <c r="U113" s="83" t="n">
        <f aca="false">SUM(U106:U112)</f>
        <v>211.014580367929</v>
      </c>
      <c r="V113" s="83" t="n">
        <f aca="false">SUM(V106:V112)</f>
        <v>235.413848277453</v>
      </c>
      <c r="W113" s="83" t="n">
        <f aca="false">SUM(W106:W112)</f>
        <v>260.127495357595</v>
      </c>
      <c r="X113" s="83" t="n">
        <f aca="false">SUM(X106:X112)</f>
        <v>285.127736187504</v>
      </c>
      <c r="Y113" s="83" t="n">
        <f aca="false">SUM(Y106:Y112)</f>
        <v>310.387489851046</v>
      </c>
      <c r="Z113" s="83" t="n">
        <f aca="false">SUM(Z106:Z112)</f>
        <v>335.880399973748</v>
      </c>
      <c r="AA113" s="83" t="n">
        <f aca="false">SUM(AA106:AA112)</f>
        <v>361.580850836312</v>
      </c>
      <c r="AB113" s="65" t="n">
        <f aca="false">AN113</f>
        <v>983.936774968212</v>
      </c>
      <c r="AC113" s="83" t="n">
        <f aca="false">SUM(AC106:AC112)</f>
        <v>392.148393413949</v>
      </c>
      <c r="AD113" s="83" t="n">
        <f aca="false">SUM(AD106:AD112)</f>
        <v>442.04273743603</v>
      </c>
      <c r="AE113" s="83" t="n">
        <f aca="false">SUM(AE106:AE112)</f>
        <v>492.859394497876</v>
      </c>
      <c r="AF113" s="83" t="n">
        <f aca="false">SUM(AF106:AF112)</f>
        <v>544.682907295877</v>
      </c>
      <c r="AG113" s="83" t="n">
        <f aca="false">SUM(AG106:AG112)</f>
        <v>597.314242729123</v>
      </c>
      <c r="AH113" s="83" t="n">
        <f aca="false">SUM(AH106:AH112)</f>
        <v>650.6992085799</v>
      </c>
      <c r="AI113" s="83" t="n">
        <f aca="false">SUM(AI106:AI112)</f>
        <v>704.784648726423</v>
      </c>
      <c r="AJ113" s="83" t="n">
        <f aca="false">SUM(AJ106:AJ112)</f>
        <v>759.518493246971</v>
      </c>
      <c r="AK113" s="83" t="n">
        <f aca="false">SUM(AK106:AK112)</f>
        <v>814.849801584001</v>
      </c>
      <c r="AL113" s="83" t="n">
        <f aca="false">SUM(AL106:AL112)</f>
        <v>870.72879928916</v>
      </c>
      <c r="AM113" s="83" t="n">
        <f aca="false">SUM(AM106:AM112)</f>
        <v>927.106908837471</v>
      </c>
      <c r="AN113" s="83" t="n">
        <f aca="false">SUM(AN106:AN112)</f>
        <v>983.936774968212</v>
      </c>
      <c r="AO113" s="65" t="n">
        <f aca="false">BA113</f>
        <v>2032.83935826564</v>
      </c>
      <c r="AP113" s="83" t="n">
        <f aca="false">SUM(AP106:AP112)</f>
        <v>1046.97363011949</v>
      </c>
      <c r="AQ113" s="83" t="n">
        <f aca="false">SUM(AQ106:AQ112)</f>
        <v>1131.54979036959</v>
      </c>
      <c r="AR113" s="83" t="n">
        <f aca="false">SUM(AR106:AR112)</f>
        <v>1217.33911348786</v>
      </c>
      <c r="AS113" s="83" t="n">
        <f aca="false">SUM(AS106:AS112)</f>
        <v>1304.38353236433</v>
      </c>
      <c r="AT113" s="83" t="n">
        <f aca="false">SUM(AT106:AT112)</f>
        <v>1392.48647610733</v>
      </c>
      <c r="AU113" s="83" t="n">
        <f aca="false">SUM(AU106:AU112)</f>
        <v>1481.57407425943</v>
      </c>
      <c r="AV113" s="83" t="n">
        <f aca="false">SUM(AV106:AV112)</f>
        <v>1571.57399687981</v>
      </c>
      <c r="AW113" s="83" t="n">
        <f aca="false">SUM(AW106:AW112)</f>
        <v>1662.41549519276</v>
      </c>
      <c r="AX113" s="83" t="n">
        <f aca="false">SUM(AX106:AX112)</f>
        <v>1754.02943574367</v>
      </c>
      <c r="AY113" s="83" t="n">
        <f aca="false">SUM(AY106:AY112)</f>
        <v>1846.34832853293</v>
      </c>
      <c r="AZ113" s="83" t="n">
        <f aca="false">SUM(AZ106:AZ112)</f>
        <v>1939.30634957021</v>
      </c>
      <c r="BA113" s="83" t="n">
        <f aca="false">SUM(BA106:BA112)</f>
        <v>2032.83935826564</v>
      </c>
      <c r="BB113" s="65" t="n">
        <f aca="false">BN113</f>
        <v>3432.46844879554</v>
      </c>
      <c r="BC113" s="83" t="n">
        <f aca="false">SUM(BC106:BC112)</f>
        <v>2132.84003240688</v>
      </c>
      <c r="BD113" s="83" t="n">
        <f aca="false">SUM(BD106:BD112)</f>
        <v>2246.1563353021</v>
      </c>
      <c r="BE113" s="83" t="n">
        <f aca="false">SUM(BE106:BE112)</f>
        <v>2360.64345370922</v>
      </c>
      <c r="BF113" s="83" t="n">
        <f aca="false">SUM(BF106:BF112)</f>
        <v>2476.3365600324</v>
      </c>
      <c r="BG113" s="83" t="n">
        <f aca="false">SUM(BG106:BG112)</f>
        <v>2593.04671273801</v>
      </c>
      <c r="BH113" s="83" t="n">
        <f aca="false">SUM(BH106:BH112)</f>
        <v>2710.7000349473</v>
      </c>
      <c r="BI113" s="83" t="n">
        <f aca="false">SUM(BI106:BI112)</f>
        <v>2829.2240300903</v>
      </c>
      <c r="BJ113" s="83" t="n">
        <f aca="false">SUM(BJ106:BJ112)</f>
        <v>2948.54762633034</v>
      </c>
      <c r="BK113" s="83" t="n">
        <f aca="false">SUM(BK106:BK112)</f>
        <v>3068.60121498271</v>
      </c>
      <c r="BL113" s="83" t="n">
        <f aca="false">SUM(BL106:BL112)</f>
        <v>3189.31668333082</v>
      </c>
      <c r="BM113" s="83" t="n">
        <f aca="false">SUM(BM106:BM112)</f>
        <v>3310.62744222099</v>
      </c>
      <c r="BN113" s="83" t="n">
        <f aca="false">SUM(BN106:BN112)</f>
        <v>3432.46844879554</v>
      </c>
    </row>
    <row r="115" customFormat="false" ht="15" hidden="false" customHeight="false" outlineLevel="0" collapsed="false">
      <c r="A115" s="4" t="s">
        <v>718</v>
      </c>
      <c r="B115" s="65" t="n">
        <f aca="false">C115</f>
        <v>0</v>
      </c>
      <c r="C115" s="66" t="n">
        <f aca="false">'Assumption Setting'!$C$16</f>
        <v>0</v>
      </c>
      <c r="D115" s="68" t="n">
        <f aca="false">C119</f>
        <v>0</v>
      </c>
      <c r="E115" s="68" t="n">
        <f aca="false">D119</f>
        <v>0.0435324702705455</v>
      </c>
      <c r="F115" s="68" t="n">
        <f aca="false">E119</f>
        <v>0.0936155149785513</v>
      </c>
      <c r="G115" s="68" t="n">
        <f aca="false">F119</f>
        <v>0.340704771596184</v>
      </c>
      <c r="H115" s="68" t="n">
        <f aca="false">G119</f>
        <v>0.592730040656161</v>
      </c>
      <c r="I115" s="68" t="n">
        <f aca="false">H119</f>
        <v>0.849788416016087</v>
      </c>
      <c r="J115" s="68" t="n">
        <f aca="false">I119</f>
        <v>1.11196275151347</v>
      </c>
      <c r="K115" s="68" t="n">
        <f aca="false">J119</f>
        <v>1.37932217862106</v>
      </c>
      <c r="L115" s="68" t="n">
        <f aca="false">K119</f>
        <v>1.65192263281165</v>
      </c>
      <c r="M115" s="68" t="n">
        <f aca="false">L119</f>
        <v>1.92980738556627</v>
      </c>
      <c r="N115" s="68" t="n">
        <f aca="false">M119</f>
        <v>2.21300757928227</v>
      </c>
      <c r="O115" s="65" t="n">
        <f aca="false">P115</f>
        <v>2.50154276263451</v>
      </c>
      <c r="P115" s="68" t="n">
        <f aca="false">N119</f>
        <v>2.50154276263451</v>
      </c>
      <c r="Q115" s="68" t="n">
        <f aca="false">P119</f>
        <v>2.86632080446525</v>
      </c>
      <c r="R115" s="68" t="n">
        <f aca="false">Q119</f>
        <v>3.29959637139614</v>
      </c>
      <c r="S115" s="68" t="n">
        <f aca="false">R119</f>
        <v>3.76282041248476</v>
      </c>
      <c r="T115" s="68" t="n">
        <f aca="false">S119</f>
        <v>4.50342239958941</v>
      </c>
      <c r="U115" s="68" t="n">
        <f aca="false">T119</f>
        <v>5.27302371987512</v>
      </c>
      <c r="V115" s="68" t="n">
        <f aca="false">U119</f>
        <v>6.07199492193174</v>
      </c>
      <c r="W115" s="68" t="n">
        <f aca="false">V119</f>
        <v>6.90065898907182</v>
      </c>
      <c r="X115" s="68" t="n">
        <f aca="false">W119</f>
        <v>7.75929264553906</v>
      </c>
      <c r="Y115" s="68" t="n">
        <f aca="false">X119</f>
        <v>8.64812770337477</v>
      </c>
      <c r="Z115" s="68" t="n">
        <f aca="false">Y119</f>
        <v>9.56735244199267</v>
      </c>
      <c r="AA115" s="68" t="n">
        <f aca="false">Z119</f>
        <v>10.5171130131969</v>
      </c>
      <c r="AB115" s="65" t="n">
        <f aca="false">AC115</f>
        <v>11.4975148650156</v>
      </c>
      <c r="AC115" s="68" t="n">
        <f aca="false">AA119</f>
        <v>11.4975148650156</v>
      </c>
      <c r="AD115" s="68" t="n">
        <f aca="false">AC119</f>
        <v>12.7416916208487</v>
      </c>
      <c r="AE115" s="68" t="n">
        <f aca="false">AD119</f>
        <v>14.1133762707369</v>
      </c>
      <c r="AF115" s="68" t="n">
        <f aca="false">AE119</f>
        <v>15.5752478161201</v>
      </c>
      <c r="AG115" s="68" t="n">
        <f aca="false">AF119</f>
        <v>17.4568135419592</v>
      </c>
      <c r="AH115" s="68" t="n">
        <f aca="false">AG119</f>
        <v>19.4288553333134</v>
      </c>
      <c r="AI115" s="68" t="n">
        <f aca="false">AH119</f>
        <v>21.4923555029946</v>
      </c>
      <c r="AJ115" s="68" t="n">
        <f aca="false">AI119</f>
        <v>23.6481811031896</v>
      </c>
      <c r="AK115" s="68" t="n">
        <f aca="false">AJ119</f>
        <v>25.8970868044763</v>
      </c>
      <c r="AL115" s="68" t="n">
        <f aca="false">AK119</f>
        <v>28.2397178548951</v>
      </c>
      <c r="AM115" s="68" t="n">
        <f aca="false">AL119</f>
        <v>30.676613104635</v>
      </c>
      <c r="AN115" s="68" t="n">
        <f aca="false">AM119</f>
        <v>33.208208083037</v>
      </c>
      <c r="AO115" s="65" t="n">
        <f aca="false">AP115</f>
        <v>35.8348381156869</v>
      </c>
      <c r="AP115" s="68" t="n">
        <f aca="false">AN119</f>
        <v>35.8348381156869</v>
      </c>
      <c r="AQ115" s="68" t="n">
        <f aca="false">AP119</f>
        <v>38.6436715799204</v>
      </c>
      <c r="AR115" s="68" t="n">
        <f aca="false">AQ119</f>
        <v>41.625113565807</v>
      </c>
      <c r="AS115" s="68" t="n">
        <f aca="false">AR119</f>
        <v>44.7578192202786</v>
      </c>
      <c r="AT115" s="68" t="n">
        <f aca="false">AS119</f>
        <v>48.320468570893</v>
      </c>
      <c r="AU115" s="68" t="n">
        <f aca="false">AT119</f>
        <v>52.0358308631568</v>
      </c>
      <c r="AV115" s="68" t="n">
        <f aca="false">AU119</f>
        <v>55.9051068691529</v>
      </c>
      <c r="AW115" s="68" t="n">
        <f aca="false">AV119</f>
        <v>59.9293424154173</v>
      </c>
      <c r="AX115" s="68" t="n">
        <f aca="false">AW119</f>
        <v>64.1094323936449</v>
      </c>
      <c r="AY115" s="68" t="n">
        <f aca="false">AX119</f>
        <v>68.4461248286289</v>
      </c>
      <c r="AZ115" s="68" t="n">
        <f aca="false">AY119</f>
        <v>72.940024990105</v>
      </c>
      <c r="BA115" s="68" t="n">
        <f aca="false">AZ119</f>
        <v>77.5915995361906</v>
      </c>
      <c r="BB115" s="65" t="n">
        <f aca="false">BC115</f>
        <v>82.4011806770743</v>
      </c>
      <c r="BC115" s="68" t="n">
        <f aca="false">BA119</f>
        <v>82.4011806770743</v>
      </c>
      <c r="BD115" s="68" t="n">
        <f aca="false">BC119</f>
        <v>87.4964204981794</v>
      </c>
      <c r="BE115" s="68" t="n">
        <f aca="false">BD119</f>
        <v>92.8257868572634</v>
      </c>
      <c r="BF115" s="68" t="n">
        <f aca="false">BE119</f>
        <v>98.3551389903425</v>
      </c>
      <c r="BG115" s="68" t="n">
        <f aca="false">BF119</f>
        <v>104.346423862348</v>
      </c>
      <c r="BH115" s="68" t="n">
        <f aca="false">BG119</f>
        <v>110.539138522641</v>
      </c>
      <c r="BI115" s="68" t="n">
        <f aca="false">BH119</f>
        <v>116.934309915043</v>
      </c>
      <c r="BJ115" s="68" t="n">
        <f aca="false">BI119</f>
        <v>123.532812094902</v>
      </c>
      <c r="BK115" s="68" t="n">
        <f aca="false">BJ119</f>
        <v>130.335369754147</v>
      </c>
      <c r="BL115" s="68" t="n">
        <f aca="false">BK119</f>
        <v>137.342561817576</v>
      </c>
      <c r="BM115" s="68" t="n">
        <f aca="false">BL119</f>
        <v>144.554825097993</v>
      </c>
      <c r="BN115" s="68" t="n">
        <f aca="false">BM119</f>
        <v>151.972457998704</v>
      </c>
    </row>
    <row r="116" customFormat="false" ht="15" hidden="false" customHeight="false" outlineLevel="0" collapsed="false">
      <c r="A116" s="4" t="s">
        <v>710</v>
      </c>
      <c r="B116" s="65" t="n">
        <f aca="false">SUM(C116:N116)</f>
        <v>2.19195681277236</v>
      </c>
      <c r="C116" s="68" t="n">
        <f aca="false">C87</f>
        <v>0</v>
      </c>
      <c r="D116" s="68" t="n">
        <f aca="false">D87</f>
        <v>0.0435324702705455</v>
      </c>
      <c r="E116" s="68" t="n">
        <f aca="false">E87</f>
        <v>0.0435324702705455</v>
      </c>
      <c r="F116" s="68" t="n">
        <f aca="false">F87</f>
        <v>0.233876874692364</v>
      </c>
      <c r="G116" s="68" t="n">
        <f aca="false">G87</f>
        <v>0.233876874692364</v>
      </c>
      <c r="H116" s="68" t="n">
        <f aca="false">H87</f>
        <v>0.233876874692364</v>
      </c>
      <c r="I116" s="68" t="n">
        <f aca="false">I87</f>
        <v>0.233876874692364</v>
      </c>
      <c r="J116" s="68" t="n">
        <f aca="false">J87</f>
        <v>0.233876874692364</v>
      </c>
      <c r="K116" s="68" t="n">
        <f aca="false">K87</f>
        <v>0.233876874692364</v>
      </c>
      <c r="L116" s="68" t="n">
        <f aca="false">L87</f>
        <v>0.233876874692364</v>
      </c>
      <c r="M116" s="68" t="n">
        <f aca="false">M87</f>
        <v>0.233876874692364</v>
      </c>
      <c r="N116" s="68" t="n">
        <f aca="false">N87</f>
        <v>0.233876874692364</v>
      </c>
      <c r="O116" s="65" t="n">
        <f aca="false">SUM(P116:AA116)</f>
        <v>5.93122323585324</v>
      </c>
      <c r="P116" s="68" t="n">
        <f aca="false">P87</f>
        <v>0.2572645621616</v>
      </c>
      <c r="Q116" s="68" t="n">
        <f aca="false">Q87</f>
        <v>0.313747635009455</v>
      </c>
      <c r="R116" s="68" t="n">
        <f aca="false">R87</f>
        <v>0.313747635009455</v>
      </c>
      <c r="S116" s="68" t="n">
        <f aca="false">S87</f>
        <v>0.560718155963637</v>
      </c>
      <c r="T116" s="68" t="n">
        <f aca="false">T87</f>
        <v>0.560718155963637</v>
      </c>
      <c r="U116" s="68" t="n">
        <f aca="false">U87</f>
        <v>0.560718155963637</v>
      </c>
      <c r="V116" s="68" t="n">
        <f aca="false">V87</f>
        <v>0.560718155963637</v>
      </c>
      <c r="W116" s="68" t="n">
        <f aca="false">W87</f>
        <v>0.560718155963637</v>
      </c>
      <c r="X116" s="68" t="n">
        <f aca="false">X87</f>
        <v>0.560718155963637</v>
      </c>
      <c r="Y116" s="68" t="n">
        <f aca="false">Y87</f>
        <v>0.560718155963637</v>
      </c>
      <c r="Z116" s="68" t="n">
        <f aca="false">Z87</f>
        <v>0.560718155963637</v>
      </c>
      <c r="AA116" s="68" t="n">
        <f aca="false">AA87</f>
        <v>0.560718155963637</v>
      </c>
      <c r="AB116" s="65" t="n">
        <f aca="false">SUM(AC116:AN116)</f>
        <v>10.9985201110336</v>
      </c>
      <c r="AC116" s="68" t="n">
        <f aca="false">AC87</f>
        <v>0.601497658215537</v>
      </c>
      <c r="AD116" s="68" t="n">
        <f aca="false">AD87</f>
        <v>0.676579704406295</v>
      </c>
      <c r="AE116" s="68" t="n">
        <f aca="false">AE87</f>
        <v>0.676579704406295</v>
      </c>
      <c r="AF116" s="68" t="n">
        <f aca="false">AF87</f>
        <v>1.00487367155617</v>
      </c>
      <c r="AG116" s="68" t="n">
        <f aca="false">AG87</f>
        <v>1.00487367155617</v>
      </c>
      <c r="AH116" s="68" t="n">
        <f aca="false">AH87</f>
        <v>1.00487367155617</v>
      </c>
      <c r="AI116" s="68" t="n">
        <f aca="false">AI87</f>
        <v>1.00487367155617</v>
      </c>
      <c r="AJ116" s="68" t="n">
        <f aca="false">AJ87</f>
        <v>1.00487367155617</v>
      </c>
      <c r="AK116" s="68" t="n">
        <f aca="false">AK87</f>
        <v>1.00487367155617</v>
      </c>
      <c r="AL116" s="68" t="n">
        <f aca="false">AL87</f>
        <v>1.00487367155617</v>
      </c>
      <c r="AM116" s="68" t="n">
        <f aca="false">AM87</f>
        <v>1.00487367155617</v>
      </c>
      <c r="AN116" s="68" t="n">
        <f aca="false">AN87</f>
        <v>1.00487367155617</v>
      </c>
      <c r="AO116" s="65" t="n">
        <f aca="false">SUM(AP116:BA116)</f>
        <v>15.8633448038895</v>
      </c>
      <c r="AP116" s="68" t="n">
        <f aca="false">AP87</f>
        <v>1.05596894299123</v>
      </c>
      <c r="AQ116" s="68" t="n">
        <f aca="false">AQ87</f>
        <v>1.11935675512717</v>
      </c>
      <c r="AR116" s="68" t="n">
        <f aca="false">AR87</f>
        <v>1.11935675512717</v>
      </c>
      <c r="AS116" s="68" t="n">
        <f aca="false">AS87</f>
        <v>1.39651803896044</v>
      </c>
      <c r="AT116" s="68" t="n">
        <f aca="false">AT87</f>
        <v>1.39651803896044</v>
      </c>
      <c r="AU116" s="68" t="n">
        <f aca="false">AU87</f>
        <v>1.39651803896044</v>
      </c>
      <c r="AV116" s="68" t="n">
        <f aca="false">AV87</f>
        <v>1.39651803896044</v>
      </c>
      <c r="AW116" s="68" t="n">
        <f aca="false">AW87</f>
        <v>1.39651803896044</v>
      </c>
      <c r="AX116" s="68" t="n">
        <f aca="false">AX87</f>
        <v>1.39651803896044</v>
      </c>
      <c r="AY116" s="68" t="n">
        <f aca="false">AY87</f>
        <v>1.39651803896044</v>
      </c>
      <c r="AZ116" s="68" t="n">
        <f aca="false">AZ87</f>
        <v>1.39651803896044</v>
      </c>
      <c r="BA116" s="68" t="n">
        <f aca="false">BA87</f>
        <v>1.39651803896044</v>
      </c>
      <c r="BB116" s="65" t="n">
        <f aca="false">SUM(BC116:BN116)</f>
        <v>20.2998667373349</v>
      </c>
      <c r="BC116" s="68" t="n">
        <f aca="false">BC87</f>
        <v>1.44156700795916</v>
      </c>
      <c r="BD116" s="68" t="n">
        <f aca="false">BD87</f>
        <v>1.50116839676118</v>
      </c>
      <c r="BE116" s="68" t="n">
        <f aca="false">BE87</f>
        <v>1.50116839676118</v>
      </c>
      <c r="BF116" s="68" t="n">
        <f aca="false">BF87</f>
        <v>1.76177365953926</v>
      </c>
      <c r="BG116" s="68" t="n">
        <f aca="false">BG87</f>
        <v>1.76177365953926</v>
      </c>
      <c r="BH116" s="68" t="n">
        <f aca="false">BH87</f>
        <v>1.76177365953926</v>
      </c>
      <c r="BI116" s="68" t="n">
        <f aca="false">BI87</f>
        <v>1.76177365953926</v>
      </c>
      <c r="BJ116" s="68" t="n">
        <f aca="false">BJ87</f>
        <v>1.76177365953926</v>
      </c>
      <c r="BK116" s="68" t="n">
        <f aca="false">BK87</f>
        <v>1.76177365953926</v>
      </c>
      <c r="BL116" s="68" t="n">
        <f aca="false">BL87</f>
        <v>1.76177365953926</v>
      </c>
      <c r="BM116" s="68" t="n">
        <f aca="false">BM87</f>
        <v>1.76177365953926</v>
      </c>
      <c r="BN116" s="68" t="n">
        <f aca="false">BN87</f>
        <v>1.76177365953926</v>
      </c>
    </row>
    <row r="117" customFormat="false" ht="15" hidden="false" customHeight="false" outlineLevel="0" collapsed="false">
      <c r="A117" s="4" t="s">
        <v>719</v>
      </c>
      <c r="B117" s="65" t="n">
        <f aca="false">SUM(C117:N117)</f>
        <v>0.411649887275268</v>
      </c>
      <c r="C117" s="68" t="n">
        <f aca="false">-C111</f>
        <v>0</v>
      </c>
      <c r="D117" s="68" t="n">
        <f aca="false">-D111</f>
        <v>0</v>
      </c>
      <c r="E117" s="68" t="n">
        <f aca="false">-E111</f>
        <v>0.00698589914016582</v>
      </c>
      <c r="F117" s="68" t="n">
        <f aca="false">-F111</f>
        <v>0.014148537075055</v>
      </c>
      <c r="G117" s="68" t="n">
        <f aca="false">-G111</f>
        <v>0.0215554420835744</v>
      </c>
      <c r="H117" s="68" t="n">
        <f aca="false">-H111</f>
        <v>0.0291088010741242</v>
      </c>
      <c r="I117" s="68" t="n">
        <f aca="false">-I111</f>
        <v>0.0367953449651795</v>
      </c>
      <c r="J117" s="68" t="n">
        <f aca="false">-J111</f>
        <v>0.0446021799303575</v>
      </c>
      <c r="K117" s="68" t="n">
        <f aca="false">-K111</f>
        <v>0.052516801284444</v>
      </c>
      <c r="L117" s="68" t="n">
        <f aca="false">-L111</f>
        <v>0.0605271043903678</v>
      </c>
      <c r="M117" s="68" t="n">
        <f aca="false">-M111</f>
        <v>0.0686213928792998</v>
      </c>
      <c r="N117" s="68" t="n">
        <f aca="false">-N111</f>
        <v>0.0767883844526999</v>
      </c>
      <c r="O117" s="65" t="n">
        <f aca="false">SUM(P117:AA117)</f>
        <v>3.63811899601229</v>
      </c>
      <c r="P117" s="68" t="n">
        <f aca="false">-P111</f>
        <v>0.127525821770214</v>
      </c>
      <c r="Q117" s="68" t="n">
        <f aca="false">-Q111</f>
        <v>0.142458498357159</v>
      </c>
      <c r="R117" s="68" t="n">
        <f aca="false">-R111</f>
        <v>0.175873177050341</v>
      </c>
      <c r="S117" s="68" t="n">
        <f aca="false">-S111</f>
        <v>0.20998639444089</v>
      </c>
      <c r="T117" s="68" t="n">
        <f aca="false">-T111</f>
        <v>0.24491054351879</v>
      </c>
      <c r="U117" s="68" t="n">
        <f aca="false">-U111</f>
        <v>0.28043723585198</v>
      </c>
      <c r="V117" s="68" t="n">
        <f aca="false">-V111</f>
        <v>0.316521870551894</v>
      </c>
      <c r="W117" s="68" t="n">
        <f aca="false">-W111</f>
        <v>0.35312077241618</v>
      </c>
      <c r="X117" s="68" t="n">
        <f aca="false">-X111</f>
        <v>0.390191243036393</v>
      </c>
      <c r="Y117" s="68" t="n">
        <f aca="false">-Y111</f>
        <v>0.427691604281257</v>
      </c>
      <c r="Z117" s="68" t="n">
        <f aca="false">-Z111</f>
        <v>0.465581234776568</v>
      </c>
      <c r="AA117" s="68" t="n">
        <f aca="false">-AA111</f>
        <v>0.503820599960622</v>
      </c>
      <c r="AB117" s="65" t="n">
        <f aca="false">SUM(AC117:AN117)</f>
        <v>15.1166327729462</v>
      </c>
      <c r="AC117" s="68" t="n">
        <f aca="false">-AC111</f>
        <v>0.723161701672624</v>
      </c>
      <c r="AD117" s="68" t="n">
        <f aca="false">-AD111</f>
        <v>0.784296786827897</v>
      </c>
      <c r="AE117" s="68" t="n">
        <f aca="false">-AE111</f>
        <v>0.88408547487206</v>
      </c>
      <c r="AF117" s="68" t="n">
        <f aca="false">-AF111</f>
        <v>0.985718788995753</v>
      </c>
      <c r="AG117" s="68" t="n">
        <f aca="false">-AG111</f>
        <v>1.08936581459175</v>
      </c>
      <c r="AH117" s="68" t="n">
        <f aca="false">-AH111</f>
        <v>1.19462848545825</v>
      </c>
      <c r="AI117" s="68" t="n">
        <f aca="false">-AI111</f>
        <v>1.3013984171598</v>
      </c>
      <c r="AJ117" s="68" t="n">
        <f aca="false">-AJ111</f>
        <v>1.40956929745284</v>
      </c>
      <c r="AK117" s="68" t="n">
        <f aca="false">-AK111</f>
        <v>1.51903698649394</v>
      </c>
      <c r="AL117" s="68" t="n">
        <f aca="false">-AL111</f>
        <v>1.629699603168</v>
      </c>
      <c r="AM117" s="68" t="n">
        <f aca="false">-AM111</f>
        <v>1.74145759857832</v>
      </c>
      <c r="AN117" s="68" t="n">
        <f aca="false">-AN111</f>
        <v>1.85421381767494</v>
      </c>
      <c r="AO117" s="65" t="n">
        <f aca="false">SUM(AP117:BA117)</f>
        <v>34.6638339951913</v>
      </c>
      <c r="AP117" s="68" t="n">
        <f aca="false">-AP111</f>
        <v>1.96787354993642</v>
      </c>
      <c r="AQ117" s="68" t="n">
        <f aca="false">-AQ111</f>
        <v>2.09394726023899</v>
      </c>
      <c r="AR117" s="68" t="n">
        <f aca="false">-AR111</f>
        <v>2.26309958073919</v>
      </c>
      <c r="AS117" s="68" t="n">
        <f aca="false">-AS111</f>
        <v>2.43467822697572</v>
      </c>
      <c r="AT117" s="68" t="n">
        <f aca="false">-AT111</f>
        <v>2.60876706472866</v>
      </c>
      <c r="AU117" s="68" t="n">
        <f aca="false">-AU111</f>
        <v>2.78497295221465</v>
      </c>
      <c r="AV117" s="68" t="n">
        <f aca="false">-AV111</f>
        <v>2.96314814851886</v>
      </c>
      <c r="AW117" s="68" t="n">
        <f aca="false">-AW111</f>
        <v>3.14314799375963</v>
      </c>
      <c r="AX117" s="68" t="n">
        <f aca="false">-AX111</f>
        <v>3.32483099038553</v>
      </c>
      <c r="AY117" s="68" t="n">
        <f aca="false">-AY111</f>
        <v>3.50805887148735</v>
      </c>
      <c r="AZ117" s="68" t="n">
        <f aca="false">-AZ111</f>
        <v>3.69269665706585</v>
      </c>
      <c r="BA117" s="68" t="n">
        <f aca="false">-BA111</f>
        <v>3.87861269914042</v>
      </c>
      <c r="BB117" s="65" t="n">
        <f aca="false">SUM(BC117:BN117)</f>
        <v>63.7977589687134</v>
      </c>
      <c r="BC117" s="68" t="n">
        <f aca="false">-BC111</f>
        <v>4.06567871653128</v>
      </c>
      <c r="BD117" s="68" t="n">
        <f aca="false">-BD111</f>
        <v>4.26568006481376</v>
      </c>
      <c r="BE117" s="68" t="n">
        <f aca="false">-BE111</f>
        <v>4.49231267060421</v>
      </c>
      <c r="BF117" s="68" t="n">
        <f aca="false">-BF111</f>
        <v>4.72128690741844</v>
      </c>
      <c r="BG117" s="68" t="n">
        <f aca="false">-BG111</f>
        <v>4.95267312006481</v>
      </c>
      <c r="BH117" s="68" t="n">
        <f aca="false">-BH111</f>
        <v>5.18609342547603</v>
      </c>
      <c r="BI117" s="68" t="n">
        <f aca="false">-BI111</f>
        <v>5.4214000698946</v>
      </c>
      <c r="BJ117" s="68" t="n">
        <f aca="false">-BJ111</f>
        <v>5.6584480601806</v>
      </c>
      <c r="BK117" s="68" t="n">
        <f aca="false">-BK111</f>
        <v>5.89709525266068</v>
      </c>
      <c r="BL117" s="68" t="n">
        <f aca="false">-BL111</f>
        <v>6.13720242996541</v>
      </c>
      <c r="BM117" s="68" t="n">
        <f aca="false">-BM111</f>
        <v>6.37863336666165</v>
      </c>
      <c r="BN117" s="68" t="n">
        <f aca="false">-BN111</f>
        <v>6.62125488444198</v>
      </c>
    </row>
    <row r="118" customFormat="false" ht="15" hidden="false" customHeight="false" outlineLevel="0" collapsed="false">
      <c r="A118" s="4" t="s">
        <v>706</v>
      </c>
      <c r="B118" s="65" t="n">
        <f aca="false">SUM(C118:N118)</f>
        <v>-0.102063937413122</v>
      </c>
      <c r="C118" s="68" t="n">
        <f aca="false">-C115*'Assumption Setting'!$C$77</f>
        <v>-0</v>
      </c>
      <c r="D118" s="68" t="n">
        <f aca="false">-D115*'Assumption Setting'!$C$77</f>
        <v>-0</v>
      </c>
      <c r="E118" s="68" t="n">
        <f aca="false">-E115*'Assumption Setting'!$C$77</f>
        <v>-0.000435324702705455</v>
      </c>
      <c r="F118" s="68" t="n">
        <f aca="false">-F115*'Assumption Setting'!$C$77</f>
        <v>-0.000936155149785513</v>
      </c>
      <c r="G118" s="68" t="n">
        <f aca="false">-G115*'Assumption Setting'!$C$77</f>
        <v>-0.00340704771596184</v>
      </c>
      <c r="H118" s="68" t="n">
        <f aca="false">-H115*'Assumption Setting'!$C$77</f>
        <v>-0.00592730040656161</v>
      </c>
      <c r="I118" s="68" t="n">
        <f aca="false">-I115*'Assumption Setting'!$C$77</f>
        <v>-0.00849788416016087</v>
      </c>
      <c r="J118" s="68" t="n">
        <f aca="false">-J115*'Assumption Setting'!$C$77</f>
        <v>-0.0111196275151347</v>
      </c>
      <c r="K118" s="68" t="n">
        <f aca="false">-K115*'Assumption Setting'!$C$77</f>
        <v>-0.0137932217862106</v>
      </c>
      <c r="L118" s="68" t="n">
        <f aca="false">-L115*'Assumption Setting'!$C$77</f>
        <v>-0.0165192263281165</v>
      </c>
      <c r="M118" s="68" t="n">
        <f aca="false">-M115*'Assumption Setting'!$C$77</f>
        <v>-0.0192980738556627</v>
      </c>
      <c r="N118" s="68" t="n">
        <f aca="false">-N115*'Assumption Setting'!$C$77</f>
        <v>-0.0221300757928227</v>
      </c>
      <c r="O118" s="65" t="n">
        <f aca="false">SUM(P118:AA118)</f>
        <v>-0.573370129484418</v>
      </c>
      <c r="P118" s="68" t="n">
        <f aca="false">-P115*'Assumption Setting'!$D$77</f>
        <v>-0.0200123421010761</v>
      </c>
      <c r="Q118" s="68" t="n">
        <f aca="false">-Q115*'Assumption Setting'!$D$77</f>
        <v>-0.022930566435722</v>
      </c>
      <c r="R118" s="68" t="n">
        <f aca="false">-R115*'Assumption Setting'!$D$77</f>
        <v>-0.0263967709711691</v>
      </c>
      <c r="S118" s="68" t="n">
        <f aca="false">-S115*'Assumption Setting'!$D$77</f>
        <v>-0.0301025632998781</v>
      </c>
      <c r="T118" s="68" t="n">
        <f aca="false">-T115*'Assumption Setting'!$D$77</f>
        <v>-0.0360273791967153</v>
      </c>
      <c r="U118" s="68" t="n">
        <f aca="false">-U115*'Assumption Setting'!$D$77</f>
        <v>-0.042184189759001</v>
      </c>
      <c r="V118" s="68" t="n">
        <f aca="false">-V115*'Assumption Setting'!$D$77</f>
        <v>-0.0485759593754539</v>
      </c>
      <c r="W118" s="68" t="n">
        <f aca="false">-W115*'Assumption Setting'!$D$77</f>
        <v>-0.0552052719125745</v>
      </c>
      <c r="X118" s="68" t="n">
        <f aca="false">-X115*'Assumption Setting'!$D$77</f>
        <v>-0.0620743411643125</v>
      </c>
      <c r="Y118" s="68" t="n">
        <f aca="false">-Y115*'Assumption Setting'!$D$77</f>
        <v>-0.0691850216269982</v>
      </c>
      <c r="Z118" s="68" t="n">
        <f aca="false">-Z115*'Assumption Setting'!$D$77</f>
        <v>-0.0765388195359414</v>
      </c>
      <c r="AA118" s="68" t="n">
        <f aca="false">-AA115*'Assumption Setting'!$D$77</f>
        <v>-0.0841369041055755</v>
      </c>
      <c r="AB118" s="65" t="n">
        <f aca="false">SUM(AC118:AN118)</f>
        <v>-1.77782963330855</v>
      </c>
      <c r="AC118" s="68" t="n">
        <f aca="false">-AC115*'Assumption Setting'!$E$77</f>
        <v>-0.0804826040551093</v>
      </c>
      <c r="AD118" s="68" t="n">
        <f aca="false">-AD115*'Assumption Setting'!$E$77</f>
        <v>-0.0891918413459407</v>
      </c>
      <c r="AE118" s="68" t="n">
        <f aca="false">-AE115*'Assumption Setting'!$E$77</f>
        <v>-0.0987936338951584</v>
      </c>
      <c r="AF118" s="68" t="n">
        <f aca="false">-AF115*'Assumption Setting'!$E$77</f>
        <v>-0.109026734712841</v>
      </c>
      <c r="AG118" s="68" t="n">
        <f aca="false">-AG115*'Assumption Setting'!$E$77</f>
        <v>-0.122197694793714</v>
      </c>
      <c r="AH118" s="68" t="n">
        <f aca="false">-AH115*'Assumption Setting'!$E$77</f>
        <v>-0.136001987333194</v>
      </c>
      <c r="AI118" s="68" t="n">
        <f aca="false">-AI115*'Assumption Setting'!$E$77</f>
        <v>-0.150446488520962</v>
      </c>
      <c r="AJ118" s="68" t="n">
        <f aca="false">-AJ115*'Assumption Setting'!$E$77</f>
        <v>-0.165537267722327</v>
      </c>
      <c r="AK118" s="68" t="n">
        <f aca="false">-AK115*'Assumption Setting'!$E$77</f>
        <v>-0.181279607631334</v>
      </c>
      <c r="AL118" s="68" t="n">
        <f aca="false">-AL115*'Assumption Setting'!$E$77</f>
        <v>-0.197678024984266</v>
      </c>
      <c r="AM118" s="68" t="n">
        <f aca="false">-AM115*'Assumption Setting'!$E$77</f>
        <v>-0.214736291732445</v>
      </c>
      <c r="AN118" s="68" t="n">
        <f aca="false">-AN115*'Assumption Setting'!$E$77</f>
        <v>-0.232457456581259</v>
      </c>
      <c r="AO118" s="65" t="n">
        <f aca="false">SUM(AP118:BA118)</f>
        <v>-3.96083623769329</v>
      </c>
      <c r="AP118" s="68" t="n">
        <f aca="false">-AP115*'Assumption Setting'!$F$77</f>
        <v>-0.215009028694121</v>
      </c>
      <c r="AQ118" s="68" t="n">
        <f aca="false">-AQ115*'Assumption Setting'!$F$77</f>
        <v>-0.231862029479522</v>
      </c>
      <c r="AR118" s="68" t="n">
        <f aca="false">-AR115*'Assumption Setting'!$F$77</f>
        <v>-0.249750681394842</v>
      </c>
      <c r="AS118" s="68" t="n">
        <f aca="false">-AS115*'Assumption Setting'!$F$77</f>
        <v>-0.268546915321671</v>
      </c>
      <c r="AT118" s="68" t="n">
        <f aca="false">-AT115*'Assumption Setting'!$F$77</f>
        <v>-0.289922811425358</v>
      </c>
      <c r="AU118" s="68" t="n">
        <f aca="false">-AU115*'Assumption Setting'!$F$77</f>
        <v>-0.312214985178941</v>
      </c>
      <c r="AV118" s="68" t="n">
        <f aca="false">-AV115*'Assumption Setting'!$F$77</f>
        <v>-0.335430641214917</v>
      </c>
      <c r="AW118" s="68" t="n">
        <f aca="false">-AW115*'Assumption Setting'!$F$77</f>
        <v>-0.359576054492504</v>
      </c>
      <c r="AX118" s="68" t="n">
        <f aca="false">-AX115*'Assumption Setting'!$F$77</f>
        <v>-0.384656594361869</v>
      </c>
      <c r="AY118" s="68" t="n">
        <f aca="false">-AY115*'Assumption Setting'!$F$77</f>
        <v>-0.410676748971774</v>
      </c>
      <c r="AZ118" s="68" t="n">
        <f aca="false">-AZ115*'Assumption Setting'!$F$77</f>
        <v>-0.43764014994063</v>
      </c>
      <c r="BA118" s="68" t="n">
        <f aca="false">-BA115*'Assumption Setting'!$F$77</f>
        <v>-0.465549597217144</v>
      </c>
      <c r="BB118" s="65" t="n">
        <f aca="false">SUM(BC118:BN118)</f>
        <v>-6.90318213043107</v>
      </c>
      <c r="BC118" s="68" t="n">
        <f aca="false">-BC115*'Assumption Setting'!$G$77</f>
        <v>-0.412005903385372</v>
      </c>
      <c r="BD118" s="68" t="n">
        <f aca="false">-BD115*'Assumption Setting'!$G$77</f>
        <v>-0.437482102490897</v>
      </c>
      <c r="BE118" s="68" t="n">
        <f aca="false">-BE115*'Assumption Setting'!$G$77</f>
        <v>-0.464128934286317</v>
      </c>
      <c r="BF118" s="68" t="n">
        <f aca="false">-BF115*'Assumption Setting'!$G$77</f>
        <v>-0.491775694951712</v>
      </c>
      <c r="BG118" s="68" t="n">
        <f aca="false">-BG115*'Assumption Setting'!$G$77</f>
        <v>-0.521732119311743</v>
      </c>
      <c r="BH118" s="68" t="n">
        <f aca="false">-BH115*'Assumption Setting'!$G$77</f>
        <v>-0.552695692613204</v>
      </c>
      <c r="BI118" s="68" t="n">
        <f aca="false">-BI115*'Assumption Setting'!$G$77</f>
        <v>-0.584671549575215</v>
      </c>
      <c r="BJ118" s="68" t="n">
        <f aca="false">-BJ115*'Assumption Setting'!$G$77</f>
        <v>-0.617664060474508</v>
      </c>
      <c r="BK118" s="68" t="n">
        <f aca="false">-BK115*'Assumption Setting'!$G$77</f>
        <v>-0.651676848770735</v>
      </c>
      <c r="BL118" s="68" t="n">
        <f aca="false">-BL115*'Assumption Setting'!$G$77</f>
        <v>-0.686712809087881</v>
      </c>
      <c r="BM118" s="68" t="n">
        <f aca="false">-BM115*'Assumption Setting'!$G$77</f>
        <v>-0.722774125489965</v>
      </c>
      <c r="BN118" s="68" t="n">
        <f aca="false">-BN115*'Assumption Setting'!$G$77</f>
        <v>-0.759862289993519</v>
      </c>
    </row>
    <row r="119" customFormat="false" ht="15" hidden="false" customHeight="false" outlineLevel="0" collapsed="false">
      <c r="A119" s="13" t="s">
        <v>720</v>
      </c>
      <c r="B119" s="65" t="n">
        <f aca="false">N119</f>
        <v>2.50154276263451</v>
      </c>
      <c r="C119" s="83" t="n">
        <f aca="false">SUM(C115:C118)</f>
        <v>0</v>
      </c>
      <c r="D119" s="83" t="n">
        <f aca="false">SUM(D115:D118)</f>
        <v>0.0435324702705455</v>
      </c>
      <c r="E119" s="83" t="n">
        <f aca="false">SUM(E115:E118)</f>
        <v>0.0936155149785513</v>
      </c>
      <c r="F119" s="83" t="n">
        <f aca="false">SUM(F115:F118)</f>
        <v>0.340704771596184</v>
      </c>
      <c r="G119" s="83" t="n">
        <f aca="false">SUM(G115:G118)</f>
        <v>0.592730040656161</v>
      </c>
      <c r="H119" s="83" t="n">
        <f aca="false">SUM(H115:H118)</f>
        <v>0.849788416016087</v>
      </c>
      <c r="I119" s="83" t="n">
        <f aca="false">SUM(I115:I118)</f>
        <v>1.11196275151347</v>
      </c>
      <c r="J119" s="83" t="n">
        <f aca="false">SUM(J115:J118)</f>
        <v>1.37932217862106</v>
      </c>
      <c r="K119" s="83" t="n">
        <f aca="false">SUM(K115:K118)</f>
        <v>1.65192263281165</v>
      </c>
      <c r="L119" s="83" t="n">
        <f aca="false">SUM(L115:L118)</f>
        <v>1.92980738556627</v>
      </c>
      <c r="M119" s="83" t="n">
        <f aca="false">SUM(M115:M118)</f>
        <v>2.21300757928227</v>
      </c>
      <c r="N119" s="83" t="n">
        <f aca="false">SUM(N115:N118)</f>
        <v>2.50154276263451</v>
      </c>
      <c r="O119" s="65" t="n">
        <f aca="false">AA119</f>
        <v>11.4975148650156</v>
      </c>
      <c r="P119" s="83" t="n">
        <f aca="false">SUM(P115:P118)</f>
        <v>2.86632080446525</v>
      </c>
      <c r="Q119" s="83" t="n">
        <f aca="false">SUM(Q115:Q118)</f>
        <v>3.29959637139614</v>
      </c>
      <c r="R119" s="83" t="n">
        <f aca="false">SUM(R115:R118)</f>
        <v>3.76282041248476</v>
      </c>
      <c r="S119" s="83" t="n">
        <f aca="false">SUM(S115:S118)</f>
        <v>4.50342239958941</v>
      </c>
      <c r="T119" s="83" t="n">
        <f aca="false">SUM(T115:T118)</f>
        <v>5.27302371987512</v>
      </c>
      <c r="U119" s="83" t="n">
        <f aca="false">SUM(U115:U118)</f>
        <v>6.07199492193174</v>
      </c>
      <c r="V119" s="83" t="n">
        <f aca="false">SUM(V115:V118)</f>
        <v>6.90065898907182</v>
      </c>
      <c r="W119" s="83" t="n">
        <f aca="false">SUM(W115:W118)</f>
        <v>7.75929264553906</v>
      </c>
      <c r="X119" s="83" t="n">
        <f aca="false">SUM(X115:X118)</f>
        <v>8.64812770337477</v>
      </c>
      <c r="Y119" s="83" t="n">
        <f aca="false">SUM(Y115:Y118)</f>
        <v>9.56735244199267</v>
      </c>
      <c r="Z119" s="83" t="n">
        <f aca="false">SUM(Z115:Z118)</f>
        <v>10.5171130131969</v>
      </c>
      <c r="AA119" s="83" t="n">
        <f aca="false">SUM(AA115:AA118)</f>
        <v>11.4975148650156</v>
      </c>
      <c r="AB119" s="65" t="n">
        <f aca="false">AN119</f>
        <v>35.8348381156869</v>
      </c>
      <c r="AC119" s="83" t="n">
        <f aca="false">SUM(AC115:AC118)</f>
        <v>12.7416916208487</v>
      </c>
      <c r="AD119" s="83" t="n">
        <f aca="false">SUM(AD115:AD118)</f>
        <v>14.1133762707369</v>
      </c>
      <c r="AE119" s="83" t="n">
        <f aca="false">SUM(AE115:AE118)</f>
        <v>15.5752478161201</v>
      </c>
      <c r="AF119" s="83" t="n">
        <f aca="false">SUM(AF115:AF118)</f>
        <v>17.4568135419592</v>
      </c>
      <c r="AG119" s="83" t="n">
        <f aca="false">SUM(AG115:AG118)</f>
        <v>19.4288553333134</v>
      </c>
      <c r="AH119" s="83" t="n">
        <f aca="false">SUM(AH115:AH118)</f>
        <v>21.4923555029946</v>
      </c>
      <c r="AI119" s="83" t="n">
        <f aca="false">SUM(AI115:AI118)</f>
        <v>23.6481811031896</v>
      </c>
      <c r="AJ119" s="83" t="n">
        <f aca="false">SUM(AJ115:AJ118)</f>
        <v>25.8970868044763</v>
      </c>
      <c r="AK119" s="83" t="n">
        <f aca="false">SUM(AK115:AK118)</f>
        <v>28.2397178548951</v>
      </c>
      <c r="AL119" s="83" t="n">
        <f aca="false">SUM(AL115:AL118)</f>
        <v>30.676613104635</v>
      </c>
      <c r="AM119" s="83" t="n">
        <f aca="false">SUM(AM115:AM118)</f>
        <v>33.208208083037</v>
      </c>
      <c r="AN119" s="83" t="n">
        <f aca="false">SUM(AN115:AN118)</f>
        <v>35.8348381156869</v>
      </c>
      <c r="AO119" s="65" t="n">
        <f aca="false">BA119</f>
        <v>82.4011806770743</v>
      </c>
      <c r="AP119" s="83" t="n">
        <f aca="false">SUM(AP115:AP118)</f>
        <v>38.6436715799204</v>
      </c>
      <c r="AQ119" s="83" t="n">
        <f aca="false">SUM(AQ115:AQ118)</f>
        <v>41.625113565807</v>
      </c>
      <c r="AR119" s="83" t="n">
        <f aca="false">SUM(AR115:AR118)</f>
        <v>44.7578192202786</v>
      </c>
      <c r="AS119" s="83" t="n">
        <f aca="false">SUM(AS115:AS118)</f>
        <v>48.320468570893</v>
      </c>
      <c r="AT119" s="83" t="n">
        <f aca="false">SUM(AT115:AT118)</f>
        <v>52.0358308631568</v>
      </c>
      <c r="AU119" s="83" t="n">
        <f aca="false">SUM(AU115:AU118)</f>
        <v>55.9051068691529</v>
      </c>
      <c r="AV119" s="83" t="n">
        <f aca="false">SUM(AV115:AV118)</f>
        <v>59.9293424154173</v>
      </c>
      <c r="AW119" s="83" t="n">
        <f aca="false">SUM(AW115:AW118)</f>
        <v>64.1094323936449</v>
      </c>
      <c r="AX119" s="83" t="n">
        <f aca="false">SUM(AX115:AX118)</f>
        <v>68.4461248286289</v>
      </c>
      <c r="AY119" s="83" t="n">
        <f aca="false">SUM(AY115:AY118)</f>
        <v>72.940024990105</v>
      </c>
      <c r="AZ119" s="83" t="n">
        <f aca="false">SUM(AZ115:AZ118)</f>
        <v>77.5915995361906</v>
      </c>
      <c r="BA119" s="83" t="n">
        <f aca="false">SUM(BA115:BA118)</f>
        <v>82.4011806770743</v>
      </c>
      <c r="BB119" s="65" t="n">
        <f aca="false">BN119</f>
        <v>159.595624252692</v>
      </c>
      <c r="BC119" s="83" t="n">
        <f aca="false">SUM(BC115:BC118)</f>
        <v>87.4964204981794</v>
      </c>
      <c r="BD119" s="83" t="n">
        <f aca="false">SUM(BD115:BD118)</f>
        <v>92.8257868572634</v>
      </c>
      <c r="BE119" s="83" t="n">
        <f aca="false">SUM(BE115:BE118)</f>
        <v>98.3551389903425</v>
      </c>
      <c r="BF119" s="83" t="n">
        <f aca="false">SUM(BF115:BF118)</f>
        <v>104.346423862348</v>
      </c>
      <c r="BG119" s="83" t="n">
        <f aca="false">SUM(BG115:BG118)</f>
        <v>110.539138522641</v>
      </c>
      <c r="BH119" s="83" t="n">
        <f aca="false">SUM(BH115:BH118)</f>
        <v>116.934309915043</v>
      </c>
      <c r="BI119" s="83" t="n">
        <f aca="false">SUM(BI115:BI118)</f>
        <v>123.532812094902</v>
      </c>
      <c r="BJ119" s="83" t="n">
        <f aca="false">SUM(BJ115:BJ118)</f>
        <v>130.335369754147</v>
      </c>
      <c r="BK119" s="83" t="n">
        <f aca="false">SUM(BK115:BK118)</f>
        <v>137.342561817576</v>
      </c>
      <c r="BL119" s="83" t="n">
        <f aca="false">SUM(BL115:BL118)</f>
        <v>144.554825097993</v>
      </c>
      <c r="BM119" s="83" t="n">
        <f aca="false">SUM(BM115:BM118)</f>
        <v>151.972457998704</v>
      </c>
      <c r="BN119" s="83" t="n">
        <f aca="false">SUM(BN115:BN118)</f>
        <v>159.595624252692</v>
      </c>
    </row>
    <row r="121" customFormat="false" ht="15" hidden="false" customHeight="false" outlineLevel="0" collapsed="false">
      <c r="A121" s="9" t="s">
        <v>721</v>
      </c>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row>
    <row r="122" customFormat="false" ht="15" hidden="false" customHeight="false" outlineLevel="0" collapsed="false">
      <c r="A122" s="56" t="s">
        <v>632</v>
      </c>
      <c r="B122" s="57" t="s">
        <v>87</v>
      </c>
      <c r="C122" s="58" t="s">
        <v>562</v>
      </c>
      <c r="D122" s="58" t="s">
        <v>563</v>
      </c>
      <c r="E122" s="58" t="s">
        <v>564</v>
      </c>
      <c r="F122" s="58" t="s">
        <v>565</v>
      </c>
      <c r="G122" s="58" t="s">
        <v>566</v>
      </c>
      <c r="H122" s="58" t="s">
        <v>567</v>
      </c>
      <c r="I122" s="58" t="s">
        <v>568</v>
      </c>
      <c r="J122" s="58" t="s">
        <v>569</v>
      </c>
      <c r="K122" s="58" t="s">
        <v>570</v>
      </c>
      <c r="L122" s="58" t="s">
        <v>571</v>
      </c>
      <c r="M122" s="58" t="s">
        <v>572</v>
      </c>
      <c r="N122" s="58" t="s">
        <v>573</v>
      </c>
      <c r="O122" s="57" t="s">
        <v>88</v>
      </c>
      <c r="P122" s="58" t="s">
        <v>574</v>
      </c>
      <c r="Q122" s="58" t="s">
        <v>575</v>
      </c>
      <c r="R122" s="58" t="s">
        <v>576</v>
      </c>
      <c r="S122" s="58" t="s">
        <v>577</v>
      </c>
      <c r="T122" s="58" t="s">
        <v>578</v>
      </c>
      <c r="U122" s="58" t="s">
        <v>579</v>
      </c>
      <c r="V122" s="58" t="s">
        <v>580</v>
      </c>
      <c r="W122" s="58" t="s">
        <v>581</v>
      </c>
      <c r="X122" s="58" t="s">
        <v>582</v>
      </c>
      <c r="Y122" s="58" t="s">
        <v>583</v>
      </c>
      <c r="Z122" s="58" t="s">
        <v>584</v>
      </c>
      <c r="AA122" s="58" t="s">
        <v>585</v>
      </c>
      <c r="AB122" s="57" t="s">
        <v>89</v>
      </c>
      <c r="AC122" s="58" t="s">
        <v>586</v>
      </c>
      <c r="AD122" s="58" t="s">
        <v>587</v>
      </c>
      <c r="AE122" s="58" t="s">
        <v>588</v>
      </c>
      <c r="AF122" s="58" t="s">
        <v>589</v>
      </c>
      <c r="AG122" s="58" t="s">
        <v>590</v>
      </c>
      <c r="AH122" s="58" t="s">
        <v>591</v>
      </c>
      <c r="AI122" s="58" t="s">
        <v>592</v>
      </c>
      <c r="AJ122" s="58" t="s">
        <v>593</v>
      </c>
      <c r="AK122" s="58" t="s">
        <v>594</v>
      </c>
      <c r="AL122" s="58" t="s">
        <v>595</v>
      </c>
      <c r="AM122" s="58" t="s">
        <v>596</v>
      </c>
      <c r="AN122" s="58" t="s">
        <v>597</v>
      </c>
      <c r="AO122" s="57" t="s">
        <v>90</v>
      </c>
      <c r="AP122" s="58" t="s">
        <v>598</v>
      </c>
      <c r="AQ122" s="58" t="s">
        <v>599</v>
      </c>
      <c r="AR122" s="58" t="s">
        <v>600</v>
      </c>
      <c r="AS122" s="58" t="s">
        <v>601</v>
      </c>
      <c r="AT122" s="58" t="s">
        <v>602</v>
      </c>
      <c r="AU122" s="58" t="s">
        <v>603</v>
      </c>
      <c r="AV122" s="58" t="s">
        <v>604</v>
      </c>
      <c r="AW122" s="58" t="s">
        <v>605</v>
      </c>
      <c r="AX122" s="58" t="s">
        <v>606</v>
      </c>
      <c r="AY122" s="58" t="s">
        <v>607</v>
      </c>
      <c r="AZ122" s="58" t="s">
        <v>608</v>
      </c>
      <c r="BA122" s="58" t="s">
        <v>609</v>
      </c>
      <c r="BB122" s="57" t="s">
        <v>91</v>
      </c>
      <c r="BC122" s="58" t="s">
        <v>610</v>
      </c>
      <c r="BD122" s="58" t="s">
        <v>611</v>
      </c>
      <c r="BE122" s="58" t="s">
        <v>612</v>
      </c>
      <c r="BF122" s="58" t="s">
        <v>613</v>
      </c>
      <c r="BG122" s="58" t="s">
        <v>614</v>
      </c>
      <c r="BH122" s="58" t="s">
        <v>615</v>
      </c>
      <c r="BI122" s="58" t="s">
        <v>616</v>
      </c>
      <c r="BJ122" s="58" t="s">
        <v>617</v>
      </c>
      <c r="BK122" s="58" t="s">
        <v>618</v>
      </c>
      <c r="BL122" s="58" t="s">
        <v>619</v>
      </c>
      <c r="BM122" s="58" t="s">
        <v>620</v>
      </c>
      <c r="BN122" s="58" t="s">
        <v>621</v>
      </c>
    </row>
    <row r="123" customFormat="false" ht="15" hidden="false" customHeight="false" outlineLevel="0" collapsed="false">
      <c r="A123" s="4" t="s">
        <v>722</v>
      </c>
      <c r="B123" s="65" t="n">
        <f aca="false">C123</f>
        <v>0</v>
      </c>
      <c r="C123" s="68" t="n">
        <f aca="false">C98+C106+C115</f>
        <v>0</v>
      </c>
      <c r="D123" s="68" t="n">
        <f aca="false">D98+D106+D115</f>
        <v>0</v>
      </c>
      <c r="E123" s="68" t="n">
        <f aca="false">E98+E106+E115</f>
        <v>29.6316292793788</v>
      </c>
      <c r="F123" s="68" t="n">
        <f aca="false">F98+F106+F115</f>
        <v>59.2320027647803</v>
      </c>
      <c r="G123" s="68" t="n">
        <f aca="false">G98+G106+G115</f>
        <v>89.0248732570703</v>
      </c>
      <c r="H123" s="68" t="n">
        <f aca="false">H98+H106+H115</f>
        <v>118.69020135174</v>
      </c>
      <c r="I123" s="68" t="n">
        <f aca="false">I98+I106+I115</f>
        <v>148.188398035401</v>
      </c>
      <c r="J123" s="68" t="n">
        <f aca="false">J98+J106+J115</f>
        <v>177.483663045498</v>
      </c>
      <c r="K123" s="68" t="n">
        <f aca="false">K98+K106+K115</f>
        <v>206.543710783013</v>
      </c>
      <c r="L123" s="68" t="n">
        <f aca="false">L98+L106+L115</f>
        <v>235.339514529168</v>
      </c>
      <c r="M123" s="68" t="n">
        <f aca="false">M98+M106+M115</f>
        <v>263.845067775539</v>
      </c>
      <c r="N123" s="68" t="n">
        <f aca="false">N98+N106+N115</f>
        <v>292.03716155387</v>
      </c>
      <c r="O123" s="65" t="n">
        <f aca="false">P123</f>
        <v>319.895176723777</v>
      </c>
      <c r="P123" s="68" t="n">
        <f aca="false">P98+P106+P115</f>
        <v>319.895176723777</v>
      </c>
      <c r="Q123" s="68" t="n">
        <f aca="false">Q98+Q106+Q115</f>
        <v>355.323659278892</v>
      </c>
      <c r="R123" s="68" t="n">
        <f aca="false">R98+R106+R115</f>
        <v>436.336047778754</v>
      </c>
      <c r="S123" s="68" t="n">
        <f aca="false">S98+S106+S115</f>
        <v>517.326017393938</v>
      </c>
      <c r="T123" s="68" t="n">
        <f aca="false">T98+T106+T115</f>
        <v>598.551543374891</v>
      </c>
      <c r="U123" s="68" t="n">
        <f aca="false">U98+U106+U115</f>
        <v>679.567719451237</v>
      </c>
      <c r="V123" s="68" t="n">
        <f aca="false">V98+V106+V115</f>
        <v>760.293873363852</v>
      </c>
      <c r="W123" s="68" t="n">
        <f aca="false">W98+W106+W115</f>
        <v>840.655738857044</v>
      </c>
      <c r="X123" s="68" t="n">
        <f aca="false">X98+X106+X115</f>
        <v>920.58506346866</v>
      </c>
      <c r="Y123" s="68" t="n">
        <f aca="false">Y98+Y106+Y115</f>
        <v>1000.01923864821</v>
      </c>
      <c r="Z123" s="68" t="n">
        <f aca="false">Z98+Z106+Z115</f>
        <v>1078.90095095993</v>
      </c>
      <c r="AA123" s="68" t="n">
        <f aca="false">AA98+AA106+AA115</f>
        <v>1157.1778531965</v>
      </c>
      <c r="AB123" s="65" t="n">
        <f aca="false">AC123</f>
        <v>1234.8022542943</v>
      </c>
      <c r="AC123" s="68" t="n">
        <f aca="false">AC98+AC106+AC115</f>
        <v>1234.8022542943</v>
      </c>
      <c r="AD123" s="68" t="n">
        <f aca="false">AD98+AD106+AD115</f>
        <v>1330.74401368077</v>
      </c>
      <c r="AE123" s="68" t="n">
        <f aca="false">AE98+AE106+AE115</f>
        <v>1492.9257792958</v>
      </c>
      <c r="AF123" s="68" t="n">
        <f aca="false">AF98+AF106+AF115</f>
        <v>1654.94575829129</v>
      </c>
      <c r="AG123" s="68" t="n">
        <f aca="false">AG98+AG106+AG115</f>
        <v>1817.13391426561</v>
      </c>
      <c r="AH123" s="68" t="n">
        <f aca="false">AH98+AH106+AH115</f>
        <v>1978.88686882925</v>
      </c>
      <c r="AI123" s="68" t="n">
        <f aca="false">AI98+AI106+AI115</f>
        <v>2140.08463329374</v>
      </c>
      <c r="AJ123" s="68" t="n">
        <f aca="false">AJ98+AJ106+AJ115</f>
        <v>2300.61591371962</v>
      </c>
      <c r="AK123" s="68" t="n">
        <f aca="false">AK98+AK106+AK115</f>
        <v>2460.3776237313</v>
      </c>
      <c r="AL123" s="68" t="n">
        <f aca="false">AL98+AL106+AL115</f>
        <v>2619.2744228559</v>
      </c>
      <c r="AM123" s="68" t="n">
        <f aca="false">AM98+AM106+AM115</f>
        <v>2777.21827907293</v>
      </c>
      <c r="AN123" s="68" t="n">
        <f aca="false">AN98+AN106+AN115</f>
        <v>2934.12805432894</v>
      </c>
      <c r="AO123" s="65" t="n">
        <f aca="false">AP123</f>
        <v>3089.92911183532</v>
      </c>
      <c r="AP123" s="68" t="n">
        <f aca="false">AP98+AP106+AP115</f>
        <v>3089.92911183532</v>
      </c>
      <c r="AQ123" s="68" t="n">
        <f aca="false">AQ98+AQ106+AQ115</f>
        <v>3275.08440704948</v>
      </c>
      <c r="AR123" s="68" t="n">
        <f aca="false">AR98+AR106+AR115</f>
        <v>3528.47993978483</v>
      </c>
      <c r="AS123" s="68" t="n">
        <f aca="false">AS98+AS106+AS115</f>
        <v>3781.15944851053</v>
      </c>
      <c r="AT123" s="68" t="n">
        <f aca="false">AT98+AT106+AT115</f>
        <v>4033.36583871283</v>
      </c>
      <c r="AU123" s="68" t="n">
        <f aca="false">AU98+AU106+AU115</f>
        <v>4284.55669385649</v>
      </c>
      <c r="AV123" s="68" t="n">
        <f aca="false">AV98+AV106+AV115</f>
        <v>4534.59922351722</v>
      </c>
      <c r="AW123" s="68" t="n">
        <f aca="false">AW98+AW106+AW115</f>
        <v>4783.36995221351</v>
      </c>
      <c r="AX123" s="68" t="n">
        <f aca="false">AX98+AX106+AX115</f>
        <v>5030.75423114001</v>
      </c>
      <c r="AY123" s="68" t="n">
        <f aca="false">AY98+AY106+AY115</f>
        <v>5276.64577364602</v>
      </c>
      <c r="AZ123" s="68" t="n">
        <f aca="false">AZ98+AZ106+AZ115</f>
        <v>5520.9462133285</v>
      </c>
      <c r="BA123" s="68" t="n">
        <f aca="false">BA98+BA106+BA115</f>
        <v>5763.56468366288</v>
      </c>
      <c r="BB123" s="65" t="n">
        <f aca="false">BC123</f>
        <v>6004.41741814565</v>
      </c>
      <c r="BC123" s="68" t="n">
        <f aca="false">BC98+BC106+BC115</f>
        <v>6004.41741814565</v>
      </c>
      <c r="BD123" s="68" t="n">
        <f aca="false">BD98+BD106+BD115</f>
        <v>6266.85704194298</v>
      </c>
      <c r="BE123" s="68" t="n">
        <f aca="false">BE98+BE106+BE115</f>
        <v>6573.2182831011</v>
      </c>
      <c r="BF123" s="68" t="n">
        <f aca="false">BF98+BF106+BF115</f>
        <v>6878.66119545978</v>
      </c>
      <c r="BG123" s="68" t="n">
        <f aca="false">BG98+BG106+BG115</f>
        <v>7183.40609357897</v>
      </c>
      <c r="BH123" s="68" t="n">
        <f aca="false">BH98+BH106+BH115</f>
        <v>7486.935434999</v>
      </c>
      <c r="BI123" s="68" t="n">
        <f aca="false">BI98+BI106+BI115</f>
        <v>7789.11643351781</v>
      </c>
      <c r="BJ123" s="68" t="n">
        <f aca="false">BJ98+BJ106+BJ115</f>
        <v>8089.82517594382</v>
      </c>
      <c r="BK123" s="68" t="n">
        <f aca="false">BK98+BK106+BK115</f>
        <v>8388.94618149903</v>
      </c>
      <c r="BL123" s="68" t="n">
        <f aca="false">BL98+BL106+BL115</f>
        <v>8686.37198149126</v>
      </c>
      <c r="BM123" s="68" t="n">
        <f aca="false">BM98+BM106+BM115</f>
        <v>8982.00271834419</v>
      </c>
      <c r="BN123" s="68" t="n">
        <f aca="false">BN98+BN106+BN115</f>
        <v>9275.74576311477</v>
      </c>
    </row>
    <row r="124" customFormat="false" ht="15" hidden="false" customHeight="false" outlineLevel="0" collapsed="false">
      <c r="A124" s="13" t="s">
        <v>723</v>
      </c>
      <c r="B124" s="65" t="n">
        <f aca="false">N124</f>
        <v>319.895176723777</v>
      </c>
      <c r="C124" s="83" t="n">
        <f aca="false">C104+C113+C119</f>
        <v>0</v>
      </c>
      <c r="D124" s="83" t="n">
        <f aca="false">D104+D113+D119</f>
        <v>29.6316292793788</v>
      </c>
      <c r="E124" s="83" t="n">
        <f aca="false">E104+E113+E119</f>
        <v>59.2320027647803</v>
      </c>
      <c r="F124" s="83" t="n">
        <f aca="false">F104+F113+F119</f>
        <v>89.0248732570703</v>
      </c>
      <c r="G124" s="83" t="n">
        <f aca="false">G104+G113+G119</f>
        <v>118.69020135174</v>
      </c>
      <c r="H124" s="83" t="n">
        <f aca="false">H104+H113+H119</f>
        <v>148.188398035401</v>
      </c>
      <c r="I124" s="83" t="n">
        <f aca="false">I104+I113+I119</f>
        <v>177.483663045498</v>
      </c>
      <c r="J124" s="83" t="n">
        <f aca="false">J104+J113+J119</f>
        <v>206.543710783013</v>
      </c>
      <c r="K124" s="83" t="n">
        <f aca="false">K104+K113+K119</f>
        <v>235.339514529168</v>
      </c>
      <c r="L124" s="83" t="n">
        <f aca="false">L104+L113+L119</f>
        <v>263.845067775539</v>
      </c>
      <c r="M124" s="83" t="n">
        <f aca="false">M104+M113+M119</f>
        <v>292.03716155387</v>
      </c>
      <c r="N124" s="83" t="n">
        <f aca="false">N104+N113+N119</f>
        <v>319.895176723777</v>
      </c>
      <c r="O124" s="65" t="n">
        <f aca="false">AA124</f>
        <v>1234.8022542943</v>
      </c>
      <c r="P124" s="83" t="n">
        <f aca="false">P104+P113+P119</f>
        <v>355.323659278892</v>
      </c>
      <c r="Q124" s="83" t="n">
        <f aca="false">Q104+Q113+Q119</f>
        <v>436.336047778754</v>
      </c>
      <c r="R124" s="83" t="n">
        <f aca="false">R104+R113+R119</f>
        <v>517.326017393938</v>
      </c>
      <c r="S124" s="83" t="n">
        <f aca="false">S104+S113+S119</f>
        <v>598.551543374891</v>
      </c>
      <c r="T124" s="83" t="n">
        <f aca="false">T104+T113+T119</f>
        <v>679.567719451237</v>
      </c>
      <c r="U124" s="83" t="n">
        <f aca="false">U104+U113+U119</f>
        <v>760.293873363852</v>
      </c>
      <c r="V124" s="83" t="n">
        <f aca="false">V104+V113+V119</f>
        <v>840.655738857044</v>
      </c>
      <c r="W124" s="83" t="n">
        <f aca="false">W104+W113+W119</f>
        <v>920.58506346866</v>
      </c>
      <c r="X124" s="83" t="n">
        <f aca="false">X104+X113+X119</f>
        <v>1000.01923864821</v>
      </c>
      <c r="Y124" s="83" t="n">
        <f aca="false">Y104+Y113+Y119</f>
        <v>1078.90095095993</v>
      </c>
      <c r="Z124" s="83" t="n">
        <f aca="false">Z104+Z113+Z119</f>
        <v>1157.1778531965</v>
      </c>
      <c r="AA124" s="83" t="n">
        <f aca="false">AA104+AA113+AA119</f>
        <v>1234.8022542943</v>
      </c>
      <c r="AB124" s="65" t="n">
        <f aca="false">AN124</f>
        <v>3089.92911183532</v>
      </c>
      <c r="AC124" s="83" t="n">
        <f aca="false">AC104+AC113+AC119</f>
        <v>1330.74401368077</v>
      </c>
      <c r="AD124" s="83" t="n">
        <f aca="false">AD104+AD113+AD119</f>
        <v>1492.9257792958</v>
      </c>
      <c r="AE124" s="83" t="n">
        <f aca="false">AE104+AE113+AE119</f>
        <v>1654.94575829129</v>
      </c>
      <c r="AF124" s="83" t="n">
        <f aca="false">AF104+AF113+AF119</f>
        <v>1817.13391426561</v>
      </c>
      <c r="AG124" s="83" t="n">
        <f aca="false">AG104+AG113+AG119</f>
        <v>1978.88686882925</v>
      </c>
      <c r="AH124" s="83" t="n">
        <f aca="false">AH104+AH113+AH119</f>
        <v>2140.08463329374</v>
      </c>
      <c r="AI124" s="83" t="n">
        <f aca="false">AI104+AI113+AI119</f>
        <v>2300.61591371962</v>
      </c>
      <c r="AJ124" s="83" t="n">
        <f aca="false">AJ104+AJ113+AJ119</f>
        <v>2460.3776237313</v>
      </c>
      <c r="AK124" s="83" t="n">
        <f aca="false">AK104+AK113+AK119</f>
        <v>2619.2744228559</v>
      </c>
      <c r="AL124" s="83" t="n">
        <f aca="false">AL104+AL113+AL119</f>
        <v>2777.21827907293</v>
      </c>
      <c r="AM124" s="83" t="n">
        <f aca="false">AM104+AM113+AM119</f>
        <v>2934.12805432894</v>
      </c>
      <c r="AN124" s="83" t="n">
        <f aca="false">AN104+AN113+AN119</f>
        <v>3089.92911183532</v>
      </c>
      <c r="AO124" s="65" t="n">
        <f aca="false">BA124</f>
        <v>6004.41741814565</v>
      </c>
      <c r="AP124" s="83" t="n">
        <f aca="false">AP104+AP113+AP119</f>
        <v>3275.08440704948</v>
      </c>
      <c r="AQ124" s="83" t="n">
        <f aca="false">AQ104+AQ113+AQ119</f>
        <v>3528.47993978483</v>
      </c>
      <c r="AR124" s="83" t="n">
        <f aca="false">AR104+AR113+AR119</f>
        <v>3781.15944851053</v>
      </c>
      <c r="AS124" s="83" t="n">
        <f aca="false">AS104+AS113+AS119</f>
        <v>4033.36583871283</v>
      </c>
      <c r="AT124" s="83" t="n">
        <f aca="false">AT104+AT113+AT119</f>
        <v>4284.55669385649</v>
      </c>
      <c r="AU124" s="83" t="n">
        <f aca="false">AU104+AU113+AU119</f>
        <v>4534.59922351722</v>
      </c>
      <c r="AV124" s="83" t="n">
        <f aca="false">AV104+AV113+AV119</f>
        <v>4783.36995221351</v>
      </c>
      <c r="AW124" s="83" t="n">
        <f aca="false">AW104+AW113+AW119</f>
        <v>5030.75423114001</v>
      </c>
      <c r="AX124" s="83" t="n">
        <f aca="false">AX104+AX113+AX119</f>
        <v>5276.64577364602</v>
      </c>
      <c r="AY124" s="83" t="n">
        <f aca="false">AY104+AY113+AY119</f>
        <v>5520.9462133285</v>
      </c>
      <c r="AZ124" s="83" t="n">
        <f aca="false">AZ104+AZ113+AZ119</f>
        <v>5763.56468366288</v>
      </c>
      <c r="BA124" s="83" t="n">
        <f aca="false">BA104+BA113+BA119</f>
        <v>6004.41741814565</v>
      </c>
      <c r="BB124" s="65" t="n">
        <f aca="false">BN124</f>
        <v>9567.51535066602</v>
      </c>
      <c r="BC124" s="83" t="n">
        <f aca="false">BC104+BC113+BC119</f>
        <v>6266.85704194298</v>
      </c>
      <c r="BD124" s="83" t="n">
        <f aca="false">BD104+BD113+BD119</f>
        <v>6573.2182831011</v>
      </c>
      <c r="BE124" s="83" t="n">
        <f aca="false">BE104+BE113+BE119</f>
        <v>6878.66119545978</v>
      </c>
      <c r="BF124" s="83" t="n">
        <f aca="false">BF104+BF113+BF119</f>
        <v>7183.40609357897</v>
      </c>
      <c r="BG124" s="83" t="n">
        <f aca="false">BG104+BG113+BG119</f>
        <v>7486.935434999</v>
      </c>
      <c r="BH124" s="83" t="n">
        <f aca="false">BH104+BH113+BH119</f>
        <v>7789.11643351781</v>
      </c>
      <c r="BI124" s="83" t="n">
        <f aca="false">BI104+BI113+BI119</f>
        <v>8089.82517594382</v>
      </c>
      <c r="BJ124" s="83" t="n">
        <f aca="false">BJ104+BJ113+BJ119</f>
        <v>8388.94618149903</v>
      </c>
      <c r="BK124" s="83" t="n">
        <f aca="false">BK104+BK113+BK119</f>
        <v>8686.37198149126</v>
      </c>
      <c r="BL124" s="83" t="n">
        <f aca="false">BL104+BL113+BL119</f>
        <v>8982.00271834419</v>
      </c>
      <c r="BM124" s="83" t="n">
        <f aca="false">BM104+BM113+BM119</f>
        <v>9275.74576311477</v>
      </c>
      <c r="BN124" s="83" t="n">
        <f aca="false">BN104+BN113+BN119</f>
        <v>9567.51535066602</v>
      </c>
    </row>
    <row r="125" customFormat="false" ht="15" hidden="false" customHeight="false" outlineLevel="0" collapsed="false">
      <c r="A125" s="4" t="s">
        <v>724</v>
      </c>
      <c r="B125" s="65" t="n">
        <f aca="false">IFERROR(AVERAGE(C125:N125),0)</f>
        <v>148.330317561446</v>
      </c>
      <c r="C125" s="68" t="n">
        <f aca="false">(C123+C124)/2</f>
        <v>0</v>
      </c>
      <c r="D125" s="68" t="n">
        <f aca="false">(D123+D124)/2</f>
        <v>14.8158146396894</v>
      </c>
      <c r="E125" s="68" t="n">
        <f aca="false">(E123+E124)/2</f>
        <v>44.4318160220795</v>
      </c>
      <c r="F125" s="68" t="n">
        <f aca="false">(F123+F124)/2</f>
        <v>74.1284380109253</v>
      </c>
      <c r="G125" s="68" t="n">
        <f aca="false">(G123+G124)/2</f>
        <v>103.857537304405</v>
      </c>
      <c r="H125" s="68" t="n">
        <f aca="false">(H123+H124)/2</f>
        <v>133.43929969357</v>
      </c>
      <c r="I125" s="68" t="n">
        <f aca="false">(I123+I124)/2</f>
        <v>162.836030540449</v>
      </c>
      <c r="J125" s="68" t="n">
        <f aca="false">(J123+J124)/2</f>
        <v>192.013686914256</v>
      </c>
      <c r="K125" s="68" t="n">
        <f aca="false">(K123+K124)/2</f>
        <v>220.941612656091</v>
      </c>
      <c r="L125" s="68" t="n">
        <f aca="false">(L123+L124)/2</f>
        <v>249.592291152353</v>
      </c>
      <c r="M125" s="68" t="n">
        <f aca="false">(M123+M124)/2</f>
        <v>277.941114664704</v>
      </c>
      <c r="N125" s="68" t="n">
        <f aca="false">(N123+N124)/2</f>
        <v>305.966169138823</v>
      </c>
      <c r="O125" s="65" t="n">
        <f aca="false">IFERROR(AVERAGE(P125:AA125),0)</f>
        <v>760.173868440078</v>
      </c>
      <c r="P125" s="68" t="n">
        <f aca="false">(P123+P124)/2</f>
        <v>337.609418001335</v>
      </c>
      <c r="Q125" s="68" t="n">
        <f aca="false">(Q123+Q124)/2</f>
        <v>395.829853528823</v>
      </c>
      <c r="R125" s="68" t="n">
        <f aca="false">(R123+R124)/2</f>
        <v>476.831032586346</v>
      </c>
      <c r="S125" s="68" t="n">
        <f aca="false">(S123+S124)/2</f>
        <v>557.938780384415</v>
      </c>
      <c r="T125" s="68" t="n">
        <f aca="false">(T123+T124)/2</f>
        <v>639.059631413064</v>
      </c>
      <c r="U125" s="68" t="n">
        <f aca="false">(U123+U124)/2</f>
        <v>719.930796407544</v>
      </c>
      <c r="V125" s="68" t="n">
        <f aca="false">(V123+V124)/2</f>
        <v>800.474806110448</v>
      </c>
      <c r="W125" s="68" t="n">
        <f aca="false">(W123+W124)/2</f>
        <v>880.620401162852</v>
      </c>
      <c r="X125" s="68" t="n">
        <f aca="false">(X123+X124)/2</f>
        <v>960.302151058437</v>
      </c>
      <c r="Y125" s="68" t="n">
        <f aca="false">(Y123+Y124)/2</f>
        <v>1039.46009480407</v>
      </c>
      <c r="Z125" s="68" t="n">
        <f aca="false">(Z123+Z124)/2</f>
        <v>1118.03940207821</v>
      </c>
      <c r="AA125" s="68" t="n">
        <f aca="false">(AA123+AA124)/2</f>
        <v>1195.9900537454</v>
      </c>
      <c r="AB125" s="65" t="n">
        <f aca="false">IFERROR(AVERAGE(AC125:AN125),0)</f>
        <v>2139.05841203583</v>
      </c>
      <c r="AC125" s="68" t="n">
        <f aca="false">(AC123+AC124)/2</f>
        <v>1282.77313398753</v>
      </c>
      <c r="AD125" s="68" t="n">
        <f aca="false">(AD123+AD124)/2</f>
        <v>1411.83489648829</v>
      </c>
      <c r="AE125" s="68" t="n">
        <f aca="false">(AE123+AE124)/2</f>
        <v>1573.93576879355</v>
      </c>
      <c r="AF125" s="68" t="n">
        <f aca="false">(AF123+AF124)/2</f>
        <v>1736.03983627845</v>
      </c>
      <c r="AG125" s="68" t="n">
        <f aca="false">(AG123+AG124)/2</f>
        <v>1898.01039154743</v>
      </c>
      <c r="AH125" s="68" t="n">
        <f aca="false">(AH123+AH124)/2</f>
        <v>2059.48575106149</v>
      </c>
      <c r="AI125" s="68" t="n">
        <f aca="false">(AI123+AI124)/2</f>
        <v>2220.35027350668</v>
      </c>
      <c r="AJ125" s="68" t="n">
        <f aca="false">(AJ123+AJ124)/2</f>
        <v>2380.49676872546</v>
      </c>
      <c r="AK125" s="68" t="n">
        <f aca="false">(AK123+AK124)/2</f>
        <v>2539.8260232936</v>
      </c>
      <c r="AL125" s="68" t="n">
        <f aca="false">(AL123+AL124)/2</f>
        <v>2698.24635096441</v>
      </c>
      <c r="AM125" s="68" t="n">
        <f aca="false">(AM123+AM124)/2</f>
        <v>2855.67316670093</v>
      </c>
      <c r="AN125" s="68" t="n">
        <f aca="false">(AN123+AN124)/2</f>
        <v>3012.02858308213</v>
      </c>
      <c r="AO125" s="65" t="n">
        <f aca="false">IFERROR(AVERAGE(AP125:BA125),0)</f>
        <v>4529.9749725344</v>
      </c>
      <c r="AP125" s="68" t="n">
        <f aca="false">(AP123+AP124)/2</f>
        <v>3182.5067594424</v>
      </c>
      <c r="AQ125" s="68" t="n">
        <f aca="false">(AQ123+AQ124)/2</f>
        <v>3401.78217341715</v>
      </c>
      <c r="AR125" s="68" t="n">
        <f aca="false">(AR123+AR124)/2</f>
        <v>3654.81969414768</v>
      </c>
      <c r="AS125" s="68" t="n">
        <f aca="false">(AS123+AS124)/2</f>
        <v>3907.26264361168</v>
      </c>
      <c r="AT125" s="68" t="n">
        <f aca="false">(AT123+AT124)/2</f>
        <v>4158.96126628466</v>
      </c>
      <c r="AU125" s="68" t="n">
        <f aca="false">(AU123+AU124)/2</f>
        <v>4409.57795868685</v>
      </c>
      <c r="AV125" s="68" t="n">
        <f aca="false">(AV123+AV124)/2</f>
        <v>4658.98458786536</v>
      </c>
      <c r="AW125" s="68" t="n">
        <f aca="false">(AW123+AW124)/2</f>
        <v>4907.06209167676</v>
      </c>
      <c r="AX125" s="68" t="n">
        <f aca="false">(AX123+AX124)/2</f>
        <v>5153.70000239301</v>
      </c>
      <c r="AY125" s="68" t="n">
        <f aca="false">(AY123+AY124)/2</f>
        <v>5398.79599348726</v>
      </c>
      <c r="AZ125" s="68" t="n">
        <f aca="false">(AZ123+AZ124)/2</f>
        <v>5642.25544849569</v>
      </c>
      <c r="BA125" s="68" t="n">
        <f aca="false">(BA123+BA124)/2</f>
        <v>5883.99105090426</v>
      </c>
      <c r="BB125" s="65" t="n">
        <f aca="false">IFERROR(AVERAGE(BC125:BN125),0)</f>
        <v>7782.25439061655</v>
      </c>
      <c r="BC125" s="68" t="n">
        <f aca="false">(BC123+BC124)/2</f>
        <v>6135.63723004431</v>
      </c>
      <c r="BD125" s="68" t="n">
        <f aca="false">(BD123+BD124)/2</f>
        <v>6420.03766252204</v>
      </c>
      <c r="BE125" s="68" t="n">
        <f aca="false">(BE123+BE124)/2</f>
        <v>6725.93973928044</v>
      </c>
      <c r="BF125" s="68" t="n">
        <f aca="false">(BF123+BF124)/2</f>
        <v>7031.03364451938</v>
      </c>
      <c r="BG125" s="68" t="n">
        <f aca="false">(BG123+BG124)/2</f>
        <v>7335.17076428899</v>
      </c>
      <c r="BH125" s="68" t="n">
        <f aca="false">(BH123+BH124)/2</f>
        <v>7638.02593425841</v>
      </c>
      <c r="BI125" s="68" t="n">
        <f aca="false">(BI123+BI124)/2</f>
        <v>7939.47080473082</v>
      </c>
      <c r="BJ125" s="68" t="n">
        <f aca="false">(BJ123+BJ124)/2</f>
        <v>8239.38567872143</v>
      </c>
      <c r="BK125" s="68" t="n">
        <f aca="false">(BK123+BK124)/2</f>
        <v>8537.65908149514</v>
      </c>
      <c r="BL125" s="68" t="n">
        <f aca="false">(BL123+BL124)/2</f>
        <v>8834.18734991772</v>
      </c>
      <c r="BM125" s="68" t="n">
        <f aca="false">(BM123+BM124)/2</f>
        <v>9128.87424072948</v>
      </c>
      <c r="BN125" s="68" t="n">
        <f aca="false">(BN123+BN124)/2</f>
        <v>9421.6305568904</v>
      </c>
    </row>
    <row r="126" customFormat="false" ht="15" hidden="false" customHeight="false" outlineLevel="0" collapsed="false">
      <c r="A126" s="4" t="s">
        <v>725</v>
      </c>
      <c r="B126" s="69" t="n">
        <f aca="false">IFERROR(AVERAGE(C126:N126),0)</f>
        <v>2250.46985334993</v>
      </c>
      <c r="C126" s="72" t="n">
        <f aca="false">(C91+C96)/2</f>
        <v>198.077288204545</v>
      </c>
      <c r="D126" s="72" t="n">
        <f aca="false">(D91+D96)/2</f>
        <v>605.254190632945</v>
      </c>
      <c r="E126" s="72" t="n">
        <f aca="false">(E91+E96)/2</f>
        <v>1015.42399389446</v>
      </c>
      <c r="F126" s="72" t="n">
        <f aca="false">(F91+F96)/2</f>
        <v>1409.84327671073</v>
      </c>
      <c r="G126" s="72" t="n">
        <f aca="false">(G91+G96)/2</f>
        <v>1789.11685906686</v>
      </c>
      <c r="H126" s="72" t="n">
        <f aca="false">(H91+H96)/2</f>
        <v>2153.82633586051</v>
      </c>
      <c r="I126" s="72" t="n">
        <f aca="false">(I91+I96)/2</f>
        <v>2504.53096874528</v>
      </c>
      <c r="J126" s="72" t="n">
        <f aca="false">(J91+J96)/2</f>
        <v>2841.76854372728</v>
      </c>
      <c r="K126" s="72" t="n">
        <f aca="false">(K91+K96)/2</f>
        <v>3166.05619582997</v>
      </c>
      <c r="L126" s="72" t="n">
        <f aca="false">(L91+L96)/2</f>
        <v>3477.89120209192</v>
      </c>
      <c r="M126" s="72" t="n">
        <f aca="false">(M91+M96)/2</f>
        <v>3777.75174411341</v>
      </c>
      <c r="N126" s="72" t="n">
        <f aca="false">(N91+N96)/2</f>
        <v>4066.09764132127</v>
      </c>
      <c r="O126" s="69" t="n">
        <f aca="false">IFERROR(AVERAGE(P126:AA126),0)</f>
        <v>8491.41665881498</v>
      </c>
      <c r="P126" s="72" t="n">
        <f aca="false">(P91+P96)/2</f>
        <v>4586.00270404416</v>
      </c>
      <c r="Q126" s="72" t="n">
        <f aca="false">(Q91+Q96)/2</f>
        <v>5356.96986462491</v>
      </c>
      <c r="R126" s="72" t="n">
        <f aca="false">(R91+R96)/2</f>
        <v>6128.45330658304</v>
      </c>
      <c r="S126" s="72" t="n">
        <f aca="false">(S91+S96)/2</f>
        <v>6873.70631151459</v>
      </c>
      <c r="T126" s="72" t="n">
        <f aca="false">(T91+T96)/2</f>
        <v>7593.62071427846</v>
      </c>
      <c r="U126" s="72" t="n">
        <f aca="false">(U91+U96)/2</f>
        <v>8289.05802734837</v>
      </c>
      <c r="V126" s="72" t="n">
        <f aca="false">(V91+V96)/2</f>
        <v>8960.85047177389</v>
      </c>
      <c r="W126" s="72" t="n">
        <f aca="false">(W91+W96)/2</f>
        <v>9609.80197308895</v>
      </c>
      <c r="X126" s="72" t="n">
        <f aca="false">(X91+X96)/2</f>
        <v>10236.6891233593</v>
      </c>
      <c r="Y126" s="72" t="n">
        <f aca="false">(Y91+Y96)/2</f>
        <v>10842.2621105205</v>
      </c>
      <c r="Z126" s="72" t="n">
        <f aca="false">(Z91+Z96)/2</f>
        <v>11427.2456161181</v>
      </c>
      <c r="AA126" s="72" t="n">
        <f aca="false">(AA91+AA96)/2</f>
        <v>11992.3396825255</v>
      </c>
      <c r="AB126" s="69" t="n">
        <f aca="false">IFERROR(AVERAGE(AC126:AN126),0)</f>
        <v>18580.6473012887</v>
      </c>
      <c r="AC126" s="72" t="n">
        <f aca="false">(AC91+AC96)/2</f>
        <v>12825.9947105215</v>
      </c>
      <c r="AD126" s="72" t="n">
        <f aca="false">(AD91+AD96)/2</f>
        <v>13956.1555439099</v>
      </c>
      <c r="AE126" s="72" t="n">
        <f aca="false">(AE91+AE96)/2</f>
        <v>15086.3448249908</v>
      </c>
      <c r="AF126" s="72" t="n">
        <f aca="false">(AF91+AF96)/2</f>
        <v>16180.8201247896</v>
      </c>
      <c r="AG126" s="72" t="n">
        <f aca="false">(AG91+AG96)/2</f>
        <v>17240.7100051147</v>
      </c>
      <c r="AH126" s="72" t="n">
        <f aca="false">(AH91+AH96)/2</f>
        <v>18267.1073652216</v>
      </c>
      <c r="AI126" s="72" t="n">
        <f aca="false">(AI91+AI96)/2</f>
        <v>19261.070568749</v>
      </c>
      <c r="AJ126" s="72" t="n">
        <f aca="false">(AJ91+AJ96)/2</f>
        <v>20223.624535045</v>
      </c>
      <c r="AK126" s="72" t="n">
        <f aca="false">(AK91+AK96)/2</f>
        <v>21155.7617960061</v>
      </c>
      <c r="AL126" s="72" t="n">
        <f aca="false">(AL91+AL96)/2</f>
        <v>22058.4435195208</v>
      </c>
      <c r="AM126" s="72" t="n">
        <f aca="false">(AM91+AM96)/2</f>
        <v>22932.6005005724</v>
      </c>
      <c r="AN126" s="72" t="n">
        <f aca="false">(AN91+AN96)/2</f>
        <v>23779.1341210228</v>
      </c>
      <c r="AO126" s="69" t="n">
        <f aca="false">IFERROR(AVERAGE(AP126:BA126),0)</f>
        <v>31408.2408670955</v>
      </c>
      <c r="AP126" s="72" t="n">
        <f aca="false">(AP91+AP96)/2</f>
        <v>24831.5905434903</v>
      </c>
      <c r="AQ126" s="72" t="n">
        <f aca="false">(AQ91+AQ96)/2</f>
        <v>26120.8829227977</v>
      </c>
      <c r="AR126" s="72" t="n">
        <f aca="false">(AR91+AR96)/2</f>
        <v>27407.7686091929</v>
      </c>
      <c r="AS126" s="72" t="n">
        <f aca="false">(AS91+AS96)/2</f>
        <v>28655.7903478589</v>
      </c>
      <c r="AT126" s="72" t="n">
        <f aca="false">(AT91+AT96)/2</f>
        <v>29866.1218300173</v>
      </c>
      <c r="AU126" s="72" t="n">
        <f aca="false">(AU91+AU96)/2</f>
        <v>31039.9013014144</v>
      </c>
      <c r="AV126" s="72" t="n">
        <f aca="false">(AV91+AV96)/2</f>
        <v>32178.2326327754</v>
      </c>
      <c r="AW126" s="72" t="n">
        <f aca="false">(AW91+AW96)/2</f>
        <v>33282.1863579292</v>
      </c>
      <c r="AX126" s="72" t="n">
        <f aca="false">(AX91+AX96)/2</f>
        <v>34352.8006805834</v>
      </c>
      <c r="AY126" s="72" t="n">
        <f aca="false">(AY91+AY96)/2</f>
        <v>35391.0824506934</v>
      </c>
      <c r="AZ126" s="72" t="n">
        <f aca="false">(AZ91+AZ96)/2</f>
        <v>36398.0081113462</v>
      </c>
      <c r="BA126" s="72" t="n">
        <f aca="false">(BA91+BA96)/2</f>
        <v>37374.5246170472</v>
      </c>
      <c r="BB126" s="69" t="n">
        <f aca="false">IFERROR(AVERAGE(BC126:BN126),0)</f>
        <v>45460.7865914359</v>
      </c>
      <c r="BC126" s="72" t="n">
        <f aca="false">(BC91+BC96)/2</f>
        <v>38538.1463312734</v>
      </c>
      <c r="BD126" s="72" t="n">
        <f aca="false">(BD91+BD96)/2</f>
        <v>39905.2255991131</v>
      </c>
      <c r="BE126" s="72" t="n">
        <f aca="false">(BE91+BE96)/2</f>
        <v>41253.706225522</v>
      </c>
      <c r="BF126" s="72" t="n">
        <f aca="false">(BF91+BF96)/2</f>
        <v>42562.8112176398</v>
      </c>
      <c r="BG126" s="72" t="n">
        <f aca="false">(BG91+BG96)/2</f>
        <v>43833.6903439878</v>
      </c>
      <c r="BH126" s="72" t="n">
        <f aca="false">(BH91+BH96)/2</f>
        <v>45067.4597998464</v>
      </c>
      <c r="BI126" s="72" t="n">
        <f aca="false">(BI91+BI96)/2</f>
        <v>46265.2031875939</v>
      </c>
      <c r="BJ126" s="72" t="n">
        <f aca="false">(BJ91+BJ96)/2</f>
        <v>47427.9724684192</v>
      </c>
      <c r="BK126" s="72" t="n">
        <f aca="false">(BK91+BK96)/2</f>
        <v>48556.7888862444</v>
      </c>
      <c r="BL126" s="72" t="n">
        <f aca="false">(BL91+BL96)/2</f>
        <v>49652.6438646691</v>
      </c>
      <c r="BM126" s="72" t="n">
        <f aca="false">(BM91+BM96)/2</f>
        <v>50716.4998777239</v>
      </c>
      <c r="BN126" s="72" t="n">
        <f aca="false">(BN91+BN96)/2</f>
        <v>51749.2912951974</v>
      </c>
    </row>
    <row r="127" customFormat="false" ht="15" hidden="false" customHeight="false" outlineLevel="0" collapsed="false">
      <c r="A127" s="13" t="s">
        <v>726</v>
      </c>
      <c r="B127" s="65" t="n">
        <f aca="false">SUM(C127:N127)</f>
        <v>398.245534054187</v>
      </c>
      <c r="C127" s="83" t="n">
        <f aca="false">C99+C100+C101+C107+C108+C109+C116</f>
        <v>0</v>
      </c>
      <c r="D127" s="83" t="n">
        <f aca="false">D99+D100+D101+D107+D108+D109+D116</f>
        <v>29.6316292793788</v>
      </c>
      <c r="E127" s="83" t="n">
        <f aca="false">E99+E100+E101+E107+E108+E109+E116</f>
        <v>31.053506656101</v>
      </c>
      <c r="F127" s="83" t="n">
        <f aca="false">F99+F100+F101+F107+F108+F109+F116</f>
        <v>32.6927045193025</v>
      </c>
      <c r="G127" s="83" t="n">
        <f aca="false">G99+G100+G101+G107+G108+G109+G116</f>
        <v>34.0074783569971</v>
      </c>
      <c r="H127" s="83" t="n">
        <f aca="false">H99+H100+H101+H107+H108+H109+H116</f>
        <v>35.2717648793242</v>
      </c>
      <c r="I127" s="83" t="n">
        <f aca="false">I99+I100+I101+I107+I108+I109+I116</f>
        <v>36.4875027991939</v>
      </c>
      <c r="J127" s="83" t="n">
        <f aca="false">J99+J100+J101+J107+J108+J109+J116</f>
        <v>37.6565563829407</v>
      </c>
      <c r="K127" s="83" t="n">
        <f aca="false">K99+K100+K101+K107+K108+K109+K116</f>
        <v>38.7807183090715</v>
      </c>
      <c r="L127" s="83" t="n">
        <f aca="false">L99+L100+L101+L107+L108+L109+L116</f>
        <v>39.861712417239</v>
      </c>
      <c r="M127" s="83" t="n">
        <f aca="false">M99+M100+M101+M107+M108+M109+M116</f>
        <v>40.9011963516528</v>
      </c>
      <c r="N127" s="83" t="n">
        <f aca="false">N99+N100+N101+N107+N108+N109+N116</f>
        <v>41.9007641029851</v>
      </c>
      <c r="O127" s="65" t="n">
        <f aca="false">SUM(P127:AA127)</f>
        <v>1251.23005448979</v>
      </c>
      <c r="P127" s="83" t="n">
        <f aca="false">P99+P100+P101+P107+P108+P109+P116</f>
        <v>47.9458469206847</v>
      </c>
      <c r="Q127" s="83" t="n">
        <f aca="false">Q99+Q100+Q101+Q107+Q108+Q109+Q116</f>
        <v>94.9014803206465</v>
      </c>
      <c r="R127" s="83" t="n">
        <f aca="false">R99+R100+R101+R107+R108+R109+R116</f>
        <v>98.0407822207813</v>
      </c>
      <c r="S127" s="83" t="n">
        <f aca="false">S99+S100+S101+S107+S108+S109+S116</f>
        <v>101.426162886246</v>
      </c>
      <c r="T127" s="83" t="n">
        <f aca="false">T99+T100+T101+T107+T108+T109+T116</f>
        <v>104.355621290168</v>
      </c>
      <c r="U127" s="83" t="n">
        <f aca="false">U99+U100+U101+U107+U108+U109+U116</f>
        <v>107.185478108357</v>
      </c>
      <c r="V127" s="83" t="n">
        <f aca="false">V99+V100+V101+V107+V108+V109+V116</f>
        <v>109.919119794727</v>
      </c>
      <c r="W127" s="83" t="n">
        <f aca="false">W99+W100+W101+W107+W108+W109+W116</f>
        <v>112.559817663761</v>
      </c>
      <c r="X127" s="83" t="n">
        <f aca="false">X99+X100+X101+X107+X108+X109+X116</f>
        <v>115.110731805248</v>
      </c>
      <c r="Y127" s="83" t="n">
        <f aca="false">Y99+Y100+Y101+Y107+Y108+Y109+Y116</f>
        <v>117.574914865924</v>
      </c>
      <c r="Z127" s="83" t="n">
        <f aca="false">Z99+Z100+Z101+Z107+Z108+Z109+Z116</f>
        <v>119.955315702537</v>
      </c>
      <c r="AA127" s="83" t="n">
        <f aca="false">AA99+AA100+AA101+AA107+AA108+AA109+AA116</f>
        <v>122.254782910705</v>
      </c>
      <c r="AB127" s="65" t="n">
        <f aca="false">SUM(AC127:AN127)</f>
        <v>2685.2248335952</v>
      </c>
      <c r="AC127" s="83" t="n">
        <f aca="false">AC99+AC100+AC101+AC107+AC108+AC109+AC116</f>
        <v>137.722814550973</v>
      </c>
      <c r="AD127" s="83" t="n">
        <f aca="false">AD99+AD100+AD101+AD107+AD108+AD109+AD116</f>
        <v>207.148082470499</v>
      </c>
      <c r="AE127" s="83" t="n">
        <f aca="false">AE99+AE100+AE101+AE107+AE108+AE109+AE116</f>
        <v>212.430414001664</v>
      </c>
      <c r="AF127" s="83" t="n">
        <f aca="false">AF99+AF100+AF101+AF107+AF108+AF109+AF116</f>
        <v>218.014815238086</v>
      </c>
      <c r="AG127" s="83" t="n">
        <f aca="false">AG99+AG100+AG101+AG107+AG108+AG109+AG116</f>
        <v>222.968578141455</v>
      </c>
      <c r="AH127" s="83" t="n">
        <f aca="false">AH99+AH100+AH101+AH107+AH108+AH109+AH116</f>
        <v>227.765802137077</v>
      </c>
      <c r="AI127" s="83" t="n">
        <f aca="false">AI99+AI100+AI101+AI107+AI108+AI109+AI116</f>
        <v>232.411433854438</v>
      </c>
      <c r="AJ127" s="83" t="n">
        <f aca="false">AJ99+AJ100+AJ101+AJ107+AJ108+AJ109+AJ116</f>
        <v>236.91026360953</v>
      </c>
      <c r="AK127" s="83" t="n">
        <f aca="false">AK99+AK100+AK101+AK107+AK108+AK109+AK116</f>
        <v>241.266930344361</v>
      </c>
      <c r="AL127" s="83" t="n">
        <f aca="false">AL99+AL100+AL101+AL107+AL108+AL109+AL116</f>
        <v>245.485926410372</v>
      </c>
      <c r="AM127" s="83" t="n">
        <f aca="false">AM99+AM100+AM101+AM107+AM108+AM109+AM116</f>
        <v>249.571602200696</v>
      </c>
      <c r="AN127" s="83" t="n">
        <f aca="false">AN99+AN100+AN101+AN107+AN108+AN109+AN116</f>
        <v>253.528170636047</v>
      </c>
      <c r="AO127" s="65" t="n">
        <f aca="false">SUM(AP127:BA127)</f>
        <v>4487.19801778642</v>
      </c>
      <c r="AP127" s="83" t="n">
        <f aca="false">AP99+AP100+AP101+AP107+AP108+AP109+AP116</f>
        <v>277.60683614733</v>
      </c>
      <c r="AQ127" s="83" t="n">
        <f aca="false">AQ99+AQ100+AQ101+AQ107+AQ108+AQ109+AQ116</f>
        <v>351.293735899591</v>
      </c>
      <c r="AR127" s="83" t="n">
        <f aca="false">AR99+AR100+AR101+AR107+AR108+AR109+AR116</f>
        <v>358.088136924319</v>
      </c>
      <c r="AS127" s="83" t="n">
        <f aca="false">AS99+AS100+AS101+AS107+AS108+AS109+AS116</f>
        <v>365.073291729291</v>
      </c>
      <c r="AT127" s="83" t="n">
        <f aca="false">AT99+AT100+AT101+AT107+AT108+AT109+AT116</f>
        <v>371.463507697636</v>
      </c>
      <c r="AU127" s="83" t="n">
        <f aca="false">AU99+AU100+AU101+AU107+AU108+AU109+AU116</f>
        <v>377.660739143738</v>
      </c>
      <c r="AV127" s="83" t="n">
        <f aca="false">AV99+AV100+AV101+AV107+AV108+AV109+AV116</f>
        <v>383.670814200166</v>
      </c>
      <c r="AW127" s="83" t="n">
        <f aca="false">AW99+AW100+AW101+AW107+AW108+AW109+AW116</f>
        <v>389.499384989891</v>
      </c>
      <c r="AX127" s="83" t="n">
        <f aca="false">AX99+AX100+AX101+AX107+AX108+AX109+AX116</f>
        <v>395.151932941766</v>
      </c>
      <c r="AY127" s="83" t="n">
        <f aca="false">AY99+AY100+AY101+AY107+AY108+AY109+AY116</f>
        <v>400.633773945495</v>
      </c>
      <c r="AZ127" s="83" t="n">
        <f aca="false">AZ99+AZ100+AZ101+AZ107+AZ108+AZ109+AZ116</f>
        <v>405.950063350911</v>
      </c>
      <c r="BA127" s="83" t="n">
        <f aca="false">BA99+BA100+BA101+BA107+BA108+BA109+BA116</f>
        <v>411.105800816283</v>
      </c>
      <c r="BB127" s="65" t="n">
        <f aca="false">SUM(BC127:BN127)</f>
        <v>6005.14078415346</v>
      </c>
      <c r="BC127" s="83" t="n">
        <f aca="false">BC99+BC100+BC101+BC107+BC108+BC109+BC116</f>
        <v>423.719896446659</v>
      </c>
      <c r="BD127" s="83" t="n">
        <f aca="false">BD99+BD100+BD101+BD107+BD108+BD109+BD116</f>
        <v>474.45934321738</v>
      </c>
      <c r="BE127" s="83" t="n">
        <f aca="false">BE99+BE100+BE101+BE107+BE108+BE109+BE116</f>
        <v>481.575335968879</v>
      </c>
      <c r="BF127" s="83" t="n">
        <f aca="false">BF99+BF100+BF101+BF107+BF108+BF109+BF116</f>
        <v>488.855834964573</v>
      </c>
      <c r="BG127" s="83" t="n">
        <f aca="false">BG99+BG100+BG101+BG107+BG108+BG109+BG116</f>
        <v>495.562321119444</v>
      </c>
      <c r="BH127" s="83" t="n">
        <f aca="false">BH99+BH100+BH101+BH107+BH108+BH109+BH116</f>
        <v>502.072977878592</v>
      </c>
      <c r="BI127" s="83" t="n">
        <f aca="false">BI99+BI100+BI101+BI107+BI108+BI109+BI116</f>
        <v>508.393523460373</v>
      </c>
      <c r="BJ127" s="83" t="n">
        <f aca="false">BJ99+BJ100+BJ101+BJ107+BJ108+BJ109+BJ116</f>
        <v>514.529509111167</v>
      </c>
      <c r="BK127" s="83" t="n">
        <f aca="false">BK99+BK100+BK101+BK107+BK108+BK109+BK116</f>
        <v>520.486323980957</v>
      </c>
      <c r="BL127" s="83" t="n">
        <f aca="false">BL99+BL100+BL101+BL107+BL108+BL109+BL116</f>
        <v>526.269199856549</v>
      </c>
      <c r="BM127" s="83" t="n">
        <f aca="false">BM99+BM100+BM101+BM107+BM108+BM109+BM116</f>
        <v>531.883215756574</v>
      </c>
      <c r="BN127" s="83" t="n">
        <f aca="false">BN99+BN100+BN101+BN107+BN108+BN109+BN116</f>
        <v>537.333302392318</v>
      </c>
    </row>
    <row r="128" customFormat="false" ht="15" hidden="false" customHeight="false" outlineLevel="0" collapsed="false">
      <c r="A128" s="4" t="s">
        <v>727</v>
      </c>
      <c r="B128" s="65" t="n">
        <f aca="false">SUM(C128:N128)</f>
        <v>396.053577241414</v>
      </c>
      <c r="C128" s="68" t="n">
        <f aca="false">C127-C116</f>
        <v>0</v>
      </c>
      <c r="D128" s="68" t="n">
        <f aca="false">D127-D116</f>
        <v>29.5880968091082</v>
      </c>
      <c r="E128" s="68" t="n">
        <f aca="false">E127-E116</f>
        <v>31.0099741858305</v>
      </c>
      <c r="F128" s="68" t="n">
        <f aca="false">F127-F116</f>
        <v>32.4588276446102</v>
      </c>
      <c r="G128" s="68" t="n">
        <f aca="false">G127-G116</f>
        <v>33.7736014823047</v>
      </c>
      <c r="H128" s="68" t="n">
        <f aca="false">H127-H116</f>
        <v>35.0378880046318</v>
      </c>
      <c r="I128" s="68" t="n">
        <f aca="false">I127-I116</f>
        <v>36.2536259245016</v>
      </c>
      <c r="J128" s="68" t="n">
        <f aca="false">J127-J116</f>
        <v>37.4226795082483</v>
      </c>
      <c r="K128" s="68" t="n">
        <f aca="false">K127-K116</f>
        <v>38.5468414343792</v>
      </c>
      <c r="L128" s="68" t="n">
        <f aca="false">L127-L116</f>
        <v>39.6278355425466</v>
      </c>
      <c r="M128" s="68" t="n">
        <f aca="false">M127-M116</f>
        <v>40.6673194769604</v>
      </c>
      <c r="N128" s="68" t="n">
        <f aca="false">N127-N116</f>
        <v>41.6668872282927</v>
      </c>
      <c r="O128" s="65" t="n">
        <f aca="false">SUM(P128:AA128)</f>
        <v>1245.29883125393</v>
      </c>
      <c r="P128" s="68" t="n">
        <f aca="false">P127-P116</f>
        <v>47.6885823585231</v>
      </c>
      <c r="Q128" s="68" t="n">
        <f aca="false">Q127-Q116</f>
        <v>94.587732685637</v>
      </c>
      <c r="R128" s="68" t="n">
        <f aca="false">R127-R116</f>
        <v>97.7270345857718</v>
      </c>
      <c r="S128" s="68" t="n">
        <f aca="false">S127-S116</f>
        <v>100.865444730282</v>
      </c>
      <c r="T128" s="68" t="n">
        <f aca="false">T127-T116</f>
        <v>103.794903134205</v>
      </c>
      <c r="U128" s="68" t="n">
        <f aca="false">U127-U116</f>
        <v>106.624759952393</v>
      </c>
      <c r="V128" s="68" t="n">
        <f aca="false">V127-V116</f>
        <v>109.358401638764</v>
      </c>
      <c r="W128" s="68" t="n">
        <f aca="false">W127-W116</f>
        <v>111.999099507798</v>
      </c>
      <c r="X128" s="68" t="n">
        <f aca="false">X127-X116</f>
        <v>114.550013649284</v>
      </c>
      <c r="Y128" s="68" t="n">
        <f aca="false">Y127-Y116</f>
        <v>117.01419670996</v>
      </c>
      <c r="Z128" s="68" t="n">
        <f aca="false">Z127-Z116</f>
        <v>119.394597546574</v>
      </c>
      <c r="AA128" s="68" t="n">
        <f aca="false">AA127-AA116</f>
        <v>121.694064754742</v>
      </c>
      <c r="AB128" s="65" t="n">
        <f aca="false">SUM(AC128:AN128)</f>
        <v>2674.22631348417</v>
      </c>
      <c r="AC128" s="68" t="n">
        <f aca="false">AC127-AC116</f>
        <v>137.121316892757</v>
      </c>
      <c r="AD128" s="68" t="n">
        <f aca="false">AD127-AD116</f>
        <v>206.471502766093</v>
      </c>
      <c r="AE128" s="68" t="n">
        <f aca="false">AE127-AE116</f>
        <v>211.753834297258</v>
      </c>
      <c r="AF128" s="68" t="n">
        <f aca="false">AF127-AF116</f>
        <v>217.00994156653</v>
      </c>
      <c r="AG128" s="68" t="n">
        <f aca="false">AG127-AG116</f>
        <v>221.963704469899</v>
      </c>
      <c r="AH128" s="68" t="n">
        <f aca="false">AH127-AH116</f>
        <v>226.760928465521</v>
      </c>
      <c r="AI128" s="68" t="n">
        <f aca="false">AI127-AI116</f>
        <v>231.406560182882</v>
      </c>
      <c r="AJ128" s="68" t="n">
        <f aca="false">AJ127-AJ116</f>
        <v>235.905389937974</v>
      </c>
      <c r="AK128" s="68" t="n">
        <f aca="false">AK127-AK116</f>
        <v>240.262056672805</v>
      </c>
      <c r="AL128" s="68" t="n">
        <f aca="false">AL127-AL116</f>
        <v>244.481052738816</v>
      </c>
      <c r="AM128" s="68" t="n">
        <f aca="false">AM127-AM116</f>
        <v>248.56672852914</v>
      </c>
      <c r="AN128" s="68" t="n">
        <f aca="false">AN127-AN116</f>
        <v>252.52329696449</v>
      </c>
      <c r="AO128" s="65" t="n">
        <f aca="false">SUM(AP128:BA128)</f>
        <v>4471.33467298253</v>
      </c>
      <c r="AP128" s="68" t="n">
        <f aca="false">AP127-AP116</f>
        <v>276.550867204338</v>
      </c>
      <c r="AQ128" s="68" t="n">
        <f aca="false">AQ127-AQ116</f>
        <v>350.174379144464</v>
      </c>
      <c r="AR128" s="68" t="n">
        <f aca="false">AR127-AR116</f>
        <v>356.968780169192</v>
      </c>
      <c r="AS128" s="68" t="n">
        <f aca="false">AS127-AS116</f>
        <v>363.67677369033</v>
      </c>
      <c r="AT128" s="68" t="n">
        <f aca="false">AT127-AT116</f>
        <v>370.066989658676</v>
      </c>
      <c r="AU128" s="68" t="n">
        <f aca="false">AU127-AU116</f>
        <v>376.264221104777</v>
      </c>
      <c r="AV128" s="68" t="n">
        <f aca="false">AV127-AV116</f>
        <v>382.274296161206</v>
      </c>
      <c r="AW128" s="68" t="n">
        <f aca="false">AW127-AW116</f>
        <v>388.102866950931</v>
      </c>
      <c r="AX128" s="68" t="n">
        <f aca="false">AX127-AX116</f>
        <v>393.755414902806</v>
      </c>
      <c r="AY128" s="68" t="n">
        <f aca="false">AY127-AY116</f>
        <v>399.237255906535</v>
      </c>
      <c r="AZ128" s="68" t="n">
        <f aca="false">AZ127-AZ116</f>
        <v>404.55354531195</v>
      </c>
      <c r="BA128" s="68" t="n">
        <f aca="false">BA127-BA116</f>
        <v>409.709282777323</v>
      </c>
      <c r="BB128" s="65" t="n">
        <f aca="false">SUM(BC128:BN128)</f>
        <v>5984.84091741613</v>
      </c>
      <c r="BC128" s="68" t="n">
        <f aca="false">BC127-BC116</f>
        <v>422.2783294387</v>
      </c>
      <c r="BD128" s="68" t="n">
        <f aca="false">BD127-BD116</f>
        <v>472.958174820619</v>
      </c>
      <c r="BE128" s="68" t="n">
        <f aca="false">BE127-BE116</f>
        <v>480.074167572117</v>
      </c>
      <c r="BF128" s="68" t="n">
        <f aca="false">BF127-BF116</f>
        <v>487.094061305034</v>
      </c>
      <c r="BG128" s="68" t="n">
        <f aca="false">BG127-BG116</f>
        <v>493.800547459905</v>
      </c>
      <c r="BH128" s="68" t="n">
        <f aca="false">BH127-BH116</f>
        <v>500.311204219053</v>
      </c>
      <c r="BI128" s="68" t="n">
        <f aca="false">BI127-BI116</f>
        <v>506.631749800834</v>
      </c>
      <c r="BJ128" s="68" t="n">
        <f aca="false">BJ127-BJ116</f>
        <v>512.767735451627</v>
      </c>
      <c r="BK128" s="68" t="n">
        <f aca="false">BK127-BK116</f>
        <v>518.724550321417</v>
      </c>
      <c r="BL128" s="68" t="n">
        <f aca="false">BL127-BL116</f>
        <v>524.507426197009</v>
      </c>
      <c r="BM128" s="68" t="n">
        <f aca="false">BM127-BM116</f>
        <v>530.121442097034</v>
      </c>
      <c r="BN128" s="68" t="n">
        <f aca="false">BN127-BN116</f>
        <v>535.571528732779</v>
      </c>
    </row>
    <row r="129" customFormat="false" ht="15" hidden="false" customHeight="false" outlineLevel="0" collapsed="false">
      <c r="A129" s="4" t="s">
        <v>728</v>
      </c>
      <c r="B129" s="65" t="n">
        <f aca="false">SUM(C129:N129)</f>
        <v>78.3503573304094</v>
      </c>
      <c r="C129" s="68" t="n">
        <f aca="false">-(C103+C112+C118)</f>
        <v>0</v>
      </c>
      <c r="D129" s="68" t="n">
        <f aca="false">-(D103+D112+D118)</f>
        <v>0</v>
      </c>
      <c r="E129" s="68" t="n">
        <f aca="false">-(E103+E112+E118)</f>
        <v>1.45313317069951</v>
      </c>
      <c r="F129" s="68" t="n">
        <f aca="false">-(F103+F112+F118)</f>
        <v>2.89983402701251</v>
      </c>
      <c r="G129" s="68" t="n">
        <f aca="false">-(G103+G112+G118)</f>
        <v>4.34215026232768</v>
      </c>
      <c r="H129" s="68" t="n">
        <f aca="false">-(H103+H112+H118)</f>
        <v>5.77356819566306</v>
      </c>
      <c r="I129" s="68" t="n">
        <f aca="false">-(I103+I112+I118)</f>
        <v>7.19223778909684</v>
      </c>
      <c r="J129" s="68" t="n">
        <f aca="false">-(J103+J112+J118)</f>
        <v>8.59650864542535</v>
      </c>
      <c r="K129" s="68" t="n">
        <f aca="false">-(K103+K112+K118)</f>
        <v>9.98491456291668</v>
      </c>
      <c r="L129" s="68" t="n">
        <f aca="false">-(L103+L112+L118)</f>
        <v>11.3561591708685</v>
      </c>
      <c r="M129" s="68" t="n">
        <f aca="false">-(M103+M112+M118)</f>
        <v>12.7091025733216</v>
      </c>
      <c r="N129" s="68" t="n">
        <f aca="false">-(N103+N112+N118)</f>
        <v>14.0427489330776</v>
      </c>
      <c r="O129" s="65" t="n">
        <f aca="false">SUM(P129:AA129)</f>
        <v>336.322976919268</v>
      </c>
      <c r="P129" s="68" t="n">
        <f aca="false">-(P103+P112+P118)</f>
        <v>12.5173643655695</v>
      </c>
      <c r="Q129" s="68" t="n">
        <f aca="false">-(Q103+Q112+Q118)</f>
        <v>13.8890918207847</v>
      </c>
      <c r="R129" s="68" t="n">
        <f aca="false">-(R103+R112+R118)</f>
        <v>17.0508126055975</v>
      </c>
      <c r="S129" s="68" t="n">
        <f aca="false">-(S103+S112+S118)</f>
        <v>20.2006369052928</v>
      </c>
      <c r="T129" s="68" t="n">
        <f aca="false">-(T103+T112+T118)</f>
        <v>23.3394452138222</v>
      </c>
      <c r="U129" s="68" t="n">
        <f aca="false">-(U103+U112+U118)</f>
        <v>26.4593241957426</v>
      </c>
      <c r="V129" s="68" t="n">
        <f aca="false">-(V103+V112+V118)</f>
        <v>29.5572543015353</v>
      </c>
      <c r="W129" s="68" t="n">
        <f aca="false">-(W103+W112+W118)</f>
        <v>32.6304930521448</v>
      </c>
      <c r="X129" s="68" t="n">
        <f aca="false">-(X103+X112+X118)</f>
        <v>35.6765566256953</v>
      </c>
      <c r="Y129" s="68" t="n">
        <f aca="false">-(Y103+Y112+Y118)</f>
        <v>38.6932025542071</v>
      </c>
      <c r="Z129" s="68" t="n">
        <f aca="false">-(Z103+Z112+Z118)</f>
        <v>41.6784134659712</v>
      </c>
      <c r="AA129" s="68" t="n">
        <f aca="false">-(AA103+AA112+AA118)</f>
        <v>44.6303818129053</v>
      </c>
      <c r="AB129" s="65" t="n">
        <f aca="false">SUM(AC129:AN129)</f>
        <v>830.097976054176</v>
      </c>
      <c r="AC129" s="68" t="n">
        <f aca="false">-(AC103+AC112+AC118)</f>
        <v>41.7810551645001</v>
      </c>
      <c r="AD129" s="68" t="n">
        <f aca="false">-(AD103+AD112+AD118)</f>
        <v>44.9663168554638</v>
      </c>
      <c r="AE129" s="68" t="n">
        <f aca="false">-(AE103+AE112+AE118)</f>
        <v>50.4104350061772</v>
      </c>
      <c r="AF129" s="68" t="n">
        <f aca="false">-(AF103+AF112+AF118)</f>
        <v>55.8266592637621</v>
      </c>
      <c r="AG129" s="68" t="n">
        <f aca="false">-(AG103+AG112+AG118)</f>
        <v>61.2156235778224</v>
      </c>
      <c r="AH129" s="68" t="n">
        <f aca="false">-(AH103+AH112+AH118)</f>
        <v>66.5680376725881</v>
      </c>
      <c r="AI129" s="68" t="n">
        <f aca="false">-(AI103+AI112+AI118)</f>
        <v>71.8801534285526</v>
      </c>
      <c r="AJ129" s="68" t="n">
        <f aca="false">-(AJ103+AJ112+AJ118)</f>
        <v>77.1485535978512</v>
      </c>
      <c r="AK129" s="68" t="n">
        <f aca="false">-(AK103+AK112+AK118)</f>
        <v>82.3701312197649</v>
      </c>
      <c r="AL129" s="68" t="n">
        <f aca="false">-(AL103+AL112+AL118)</f>
        <v>87.5420701933443</v>
      </c>
      <c r="AM129" s="68" t="n">
        <f aca="false">-(AM103+AM112+AM118)</f>
        <v>92.6618269446809</v>
      </c>
      <c r="AN129" s="68" t="n">
        <f aca="false">-(AN103+AN112+AN118)</f>
        <v>97.727113129668</v>
      </c>
      <c r="AO129" s="65" t="n">
        <f aca="false">SUM(AP129:BA129)</f>
        <v>1572.70971147609</v>
      </c>
      <c r="AP129" s="68" t="n">
        <f aca="false">-(AP103+AP112+AP118)</f>
        <v>92.4515409331731</v>
      </c>
      <c r="AQ129" s="68" t="n">
        <f aca="false">-(AQ103+AQ112+AQ118)</f>
        <v>97.8982031642326</v>
      </c>
      <c r="AR129" s="68" t="n">
        <f aca="false">-(AR103+AR112+AR118)</f>
        <v>105.408628198627</v>
      </c>
      <c r="AS129" s="68" t="n">
        <f aca="false">-(AS103+AS112+AS118)</f>
        <v>112.866901526989</v>
      </c>
      <c r="AT129" s="68" t="n">
        <f aca="false">-(AT103+AT112+AT118)</f>
        <v>120.272652553977</v>
      </c>
      <c r="AU129" s="68" t="n">
        <f aca="false">-(AU103+AU112+AU118)</f>
        <v>127.618209483007</v>
      </c>
      <c r="AV129" s="68" t="n">
        <f aca="false">-(AV103+AV112+AV118)</f>
        <v>134.900085503875</v>
      </c>
      <c r="AW129" s="68" t="n">
        <f aca="false">-(AW103+AW112+AW118)</f>
        <v>142.115106063387</v>
      </c>
      <c r="AX129" s="68" t="n">
        <f aca="false">-(AX103+AX112+AX118)</f>
        <v>149.260390435761</v>
      </c>
      <c r="AY129" s="68" t="n">
        <f aca="false">-(AY103+AY112+AY118)</f>
        <v>156.333334263012</v>
      </c>
      <c r="AZ129" s="68" t="n">
        <f aca="false">-(AZ103+AZ112+AZ118)</f>
        <v>163.33159301653</v>
      </c>
      <c r="BA129" s="68" t="n">
        <f aca="false">-(BA103+BA112+BA118)</f>
        <v>170.253066333514</v>
      </c>
      <c r="BB129" s="65" t="n">
        <f aca="false">SUM(BC129:BN129)</f>
        <v>2442.04285163309</v>
      </c>
      <c r="BC129" s="68" t="n">
        <f aca="false">-(BC103+BC112+BC118)</f>
        <v>161.280272649332</v>
      </c>
      <c r="BD129" s="68" t="n">
        <f aca="false">-(BD103+BD112+BD118)</f>
        <v>168.098102059252</v>
      </c>
      <c r="BE129" s="68" t="n">
        <f aca="false">-(BE103+BE112+BE118)</f>
        <v>176.132423610197</v>
      </c>
      <c r="BF129" s="68" t="n">
        <f aca="false">-(BF103+BF112+BF118)</f>
        <v>184.110936845387</v>
      </c>
      <c r="BG129" s="68" t="n">
        <f aca="false">-(BG103+BG112+BG118)</f>
        <v>192.032979699409</v>
      </c>
      <c r="BH129" s="68" t="n">
        <f aca="false">-(BH103+BH112+BH118)</f>
        <v>199.891979359787</v>
      </c>
      <c r="BI129" s="68" t="n">
        <f aca="false">-(BI103+BI112+BI118)</f>
        <v>207.684781034362</v>
      </c>
      <c r="BJ129" s="68" t="n">
        <f aca="false">-(BJ103+BJ112+BJ118)</f>
        <v>215.408503555954</v>
      </c>
      <c r="BK129" s="68" t="n">
        <f aca="false">-(BK103+BK112+BK118)</f>
        <v>223.060523988736</v>
      </c>
      <c r="BL129" s="68" t="n">
        <f aca="false">-(BL103+BL112+BL118)</f>
        <v>230.638463003613</v>
      </c>
      <c r="BM129" s="68" t="n">
        <f aca="false">-(BM103+BM112+BM118)</f>
        <v>238.14017098599</v>
      </c>
      <c r="BN129" s="68" t="n">
        <f aca="false">-(BN103+BN112+BN118)</f>
        <v>245.563714841067</v>
      </c>
    </row>
    <row r="130" customFormat="false" ht="15" hidden="false" customHeight="false" outlineLevel="0" collapsed="false">
      <c r="A130" s="4" t="s">
        <v>729</v>
      </c>
      <c r="B130" s="69" t="n">
        <f aca="false">N130</f>
        <v>4527.34345770404</v>
      </c>
      <c r="C130" s="72" t="n">
        <f aca="false">C96+C124</f>
        <v>396.154576409091</v>
      </c>
      <c r="D130" s="72" t="n">
        <f aca="false">D96+D124</f>
        <v>843.985434136179</v>
      </c>
      <c r="E130" s="72" t="n">
        <f aca="false">E96+E124</f>
        <v>1275.7261856969</v>
      </c>
      <c r="F130" s="72" t="n">
        <f aca="false">F96+F124</f>
        <v>1692.21724374641</v>
      </c>
      <c r="G130" s="72" t="n">
        <f aca="false">G96+G124</f>
        <v>2093.73154899611</v>
      </c>
      <c r="H130" s="72" t="n">
        <f aca="false">H96+H124</f>
        <v>2480.79972211204</v>
      </c>
      <c r="I130" s="72" t="n">
        <f aca="false">I96+I124</f>
        <v>2853.93427645942</v>
      </c>
      <c r="J130" s="72" t="n">
        <f aca="false">J96+J124</f>
        <v>3213.63018482366</v>
      </c>
      <c r="K130" s="72" t="n">
        <f aca="false">K96+K124</f>
        <v>3560.36543214847</v>
      </c>
      <c r="L130" s="72" t="n">
        <f aca="false">L96+L124</f>
        <v>3894.60155434008</v>
      </c>
      <c r="M130" s="72" t="n">
        <f aca="false">M96+M124</f>
        <v>4216.78416321615</v>
      </c>
      <c r="N130" s="72" t="n">
        <f aca="false">N96+N124</f>
        <v>4527.34345770404</v>
      </c>
      <c r="O130" s="69" t="n">
        <f aca="false">AA130</f>
        <v>13504.8026022061</v>
      </c>
      <c r="P130" s="72" t="n">
        <f aca="false">P96+P124</f>
        <v>5319.88078638696</v>
      </c>
      <c r="Q130" s="72" t="n">
        <f aca="false">Q96+Q124</f>
        <v>6185.71864992052</v>
      </c>
      <c r="R130" s="72" t="n">
        <f aca="false">R96+R124</f>
        <v>7024.85002841825</v>
      </c>
      <c r="S130" s="72" t="n">
        <f aca="false">S96+S124</f>
        <v>7838.44015537975</v>
      </c>
      <c r="T130" s="72" t="n">
        <f aca="false">T96+T124</f>
        <v>8626.9205360033</v>
      </c>
      <c r="U130" s="72" t="n">
        <f aca="false">U96+U124</f>
        <v>9391.05711150852</v>
      </c>
      <c r="V130" s="72" t="n">
        <f aca="false">V96+V124</f>
        <v>10131.5934442602</v>
      </c>
      <c r="W130" s="72" t="n">
        <f aca="false">W96+W124</f>
        <v>10849.2513042434</v>
      </c>
      <c r="X130" s="72" t="n">
        <f aca="false">X96+X124</f>
        <v>11544.731244592</v>
      </c>
      <c r="Y130" s="72" t="n">
        <f aca="false">Y96+Y124</f>
        <v>12218.713166057</v>
      </c>
      <c r="Z130" s="72" t="n">
        <f aca="false">Z96+Z124</f>
        <v>12871.8568703357</v>
      </c>
      <c r="AA130" s="72" t="n">
        <f aca="false">AA96+AA124</f>
        <v>13504.8026022061</v>
      </c>
      <c r="AB130" s="69" t="n">
        <f aca="false">AN130</f>
        <v>27285.5350668573</v>
      </c>
      <c r="AC130" s="72" t="n">
        <f aca="false">AC96+AC124</f>
        <v>14712.7330868119</v>
      </c>
      <c r="AD130" s="72" t="n">
        <f aca="false">AD96+AD124</f>
        <v>16023.2477939845</v>
      </c>
      <c r="AE130" s="72" t="n">
        <f aca="false">AE96+AE124</f>
        <v>17297.3133935843</v>
      </c>
      <c r="AF130" s="72" t="n">
        <f aca="false">AF96+AF124</f>
        <v>18536.4065285518</v>
      </c>
      <c r="AG130" s="72" t="n">
        <f aca="false">AG96+AG124</f>
        <v>19741.0342647725</v>
      </c>
      <c r="AH130" s="72" t="n">
        <f aca="false">AH96+AH124</f>
        <v>20912.1519677936</v>
      </c>
      <c r="AI130" s="72" t="n">
        <f aca="false">AI96+AI124</f>
        <v>22050.6897167178</v>
      </c>
      <c r="AJ130" s="72" t="n">
        <f aca="false">AJ96+AJ124</f>
        <v>23157.5528908232</v>
      </c>
      <c r="AK130" s="72" t="n">
        <f aca="false">AK96+AK124</f>
        <v>24233.6227477762</v>
      </c>
      <c r="AL130" s="72" t="n">
        <f aca="false">AL96+AL124</f>
        <v>25279.7569931942</v>
      </c>
      <c r="AM130" s="72" t="n">
        <f aca="false">AM96+AM124</f>
        <v>26296.7903413524</v>
      </c>
      <c r="AN130" s="72" t="n">
        <f aca="false">AN96+AN124</f>
        <v>27285.5350668573</v>
      </c>
      <c r="AO130" s="69" t="n">
        <f aca="false">BA130</f>
        <v>43859.7145538388</v>
      </c>
      <c r="AP130" s="72" t="n">
        <f aca="false">AP96+AP124</f>
        <v>28742.659539008</v>
      </c>
      <c r="AQ130" s="72" t="n">
        <f aca="false">AQ96+AQ124</f>
        <v>30302.6706534218</v>
      </c>
      <c r="AR130" s="72" t="n">
        <f aca="false">AR96+AR124</f>
        <v>31822.5059532593</v>
      </c>
      <c r="AS130" s="72" t="n">
        <f aca="false">AS96+AS124</f>
        <v>33303.6000296819</v>
      </c>
      <c r="AT130" s="72" t="n">
        <f aca="false">AT96+AT124</f>
        <v>34746.566162922</v>
      </c>
      <c r="AU130" s="72" t="n">
        <f aca="false">AU96+AU124</f>
        <v>36152.3923572806</v>
      </c>
      <c r="AV130" s="72" t="n">
        <f aca="false">AV96+AV124</f>
        <v>37522.0420840009</v>
      </c>
      <c r="AW130" s="72" t="n">
        <f aca="false">AW96+AW124</f>
        <v>38856.454815211</v>
      </c>
      <c r="AX130" s="72" t="n">
        <f aca="false">AX96+AX124</f>
        <v>40156.5465507418</v>
      </c>
      <c r="AY130" s="72" t="n">
        <f aca="false">AY96+AY124</f>
        <v>41423.2103376196</v>
      </c>
      <c r="AZ130" s="72" t="n">
        <f aca="false">AZ96+AZ124</f>
        <v>42657.3167820641</v>
      </c>
      <c r="BA130" s="72" t="n">
        <f aca="false">BA96+BA124</f>
        <v>43859.7145538388</v>
      </c>
      <c r="BB130" s="69" t="n">
        <f aca="false">BN130</f>
        <v>61825.5512714384</v>
      </c>
      <c r="BC130" s="72" t="n">
        <f aca="false">BC96+BC124</f>
        <v>45487.8525687966</v>
      </c>
      <c r="BD130" s="72" t="n">
        <f aca="false">BD96+BD124</f>
        <v>47162.6739544736</v>
      </c>
      <c r="BE130" s="72" t="n">
        <f aca="false">BE96+BE124</f>
        <v>48796.6179751313</v>
      </c>
      <c r="BF130" s="72" t="n">
        <f aca="false">BF96+BF124</f>
        <v>50391.0717491871</v>
      </c>
      <c r="BG130" s="72" t="n">
        <f aca="false">BG96+BG124</f>
        <v>51946.6504673664</v>
      </c>
      <c r="BH130" s="72" t="n">
        <f aca="false">BH96+BH124</f>
        <v>53464.3210008432</v>
      </c>
      <c r="BI130" s="72" t="n">
        <f aca="false">BI96+BI124</f>
        <v>54945.0269838063</v>
      </c>
      <c r="BJ130" s="72" t="n">
        <f aca="false">BJ96+BJ124</f>
        <v>56389.689310475</v>
      </c>
      <c r="BK130" s="72" t="n">
        <f aca="false">BK96+BK124</f>
        <v>57799.2066250042</v>
      </c>
      <c r="BL130" s="72" t="n">
        <f aca="false">BL96+BL124</f>
        <v>59174.4558041696</v>
      </c>
      <c r="BM130" s="72" t="n">
        <f aca="false">BM96+BM124</f>
        <v>60516.2924327371</v>
      </c>
      <c r="BN130" s="72" t="n">
        <f aca="false">BN96+BN124</f>
        <v>61825.5512714384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4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646</v>
      </c>
    </row>
    <row r="2" customFormat="false" ht="15" hidden="false" customHeight="false" outlineLevel="0" collapsed="false">
      <c r="A2" s="8" t="s">
        <v>730</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731</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732</v>
      </c>
      <c r="B6" s="65" t="n">
        <f aca="false">SUM(C6:N6)</f>
        <v>271.920577745455</v>
      </c>
      <c r="C6" s="66" t="n">
        <f aca="false">Acquisitions!C81</f>
        <v>22.6600481454545</v>
      </c>
      <c r="D6" s="66" t="n">
        <f aca="false">Acquisitions!D81</f>
        <v>22.6600481454545</v>
      </c>
      <c r="E6" s="66" t="n">
        <f aca="false">Acquisitions!E81</f>
        <v>22.6600481454545</v>
      </c>
      <c r="F6" s="66" t="n">
        <f aca="false">Acquisitions!F81</f>
        <v>22.6600481454545</v>
      </c>
      <c r="G6" s="66" t="n">
        <f aca="false">Acquisitions!G81</f>
        <v>22.6600481454545</v>
      </c>
      <c r="H6" s="66" t="n">
        <f aca="false">Acquisitions!H81</f>
        <v>22.6600481454545</v>
      </c>
      <c r="I6" s="66" t="n">
        <f aca="false">Acquisitions!I81</f>
        <v>22.6600481454545</v>
      </c>
      <c r="J6" s="66" t="n">
        <f aca="false">Acquisitions!J81</f>
        <v>22.6600481454545</v>
      </c>
      <c r="K6" s="66" t="n">
        <f aca="false">Acquisitions!K81</f>
        <v>22.6600481454545</v>
      </c>
      <c r="L6" s="66" t="n">
        <f aca="false">Acquisitions!L81</f>
        <v>22.6600481454545</v>
      </c>
      <c r="M6" s="66" t="n">
        <f aca="false">Acquisitions!M81</f>
        <v>22.6600481454545</v>
      </c>
      <c r="N6" s="66" t="n">
        <f aca="false">Acquisitions!N81</f>
        <v>22.6600481454545</v>
      </c>
      <c r="O6" s="65" t="n">
        <f aca="false">SUM(P6:AA6)</f>
        <v>592.661514049587</v>
      </c>
      <c r="P6" s="66" t="n">
        <f aca="false">Acquisitions!P81</f>
        <v>49.3884595041322</v>
      </c>
      <c r="Q6" s="66" t="n">
        <f aca="false">Acquisitions!Q81</f>
        <v>49.3884595041322</v>
      </c>
      <c r="R6" s="66" t="n">
        <f aca="false">Acquisitions!R81</f>
        <v>49.3884595041322</v>
      </c>
      <c r="S6" s="66" t="n">
        <f aca="false">Acquisitions!S81</f>
        <v>49.3884595041322</v>
      </c>
      <c r="T6" s="66" t="n">
        <f aca="false">Acquisitions!T81</f>
        <v>49.3884595041322</v>
      </c>
      <c r="U6" s="66" t="n">
        <f aca="false">Acquisitions!U81</f>
        <v>49.3884595041322</v>
      </c>
      <c r="V6" s="66" t="n">
        <f aca="false">Acquisitions!V81</f>
        <v>49.3884595041322</v>
      </c>
      <c r="W6" s="66" t="n">
        <f aca="false">Acquisitions!W81</f>
        <v>49.3884595041322</v>
      </c>
      <c r="X6" s="66" t="n">
        <f aca="false">Acquisitions!X81</f>
        <v>49.3884595041322</v>
      </c>
      <c r="Y6" s="66" t="n">
        <f aca="false">Acquisitions!Y81</f>
        <v>49.3884595041322</v>
      </c>
      <c r="Z6" s="66" t="n">
        <f aca="false">Acquisitions!Z81</f>
        <v>49.3884595041322</v>
      </c>
      <c r="AA6" s="66" t="n">
        <f aca="false">Acquisitions!AA81</f>
        <v>49.3884595041322</v>
      </c>
      <c r="AB6" s="65" t="n">
        <f aca="false">SUM(AC6:AN6)</f>
        <v>990.111837475582</v>
      </c>
      <c r="AC6" s="66" t="n">
        <f aca="false">Acquisitions!AC81</f>
        <v>82.5093197896319</v>
      </c>
      <c r="AD6" s="66" t="n">
        <f aca="false">Acquisitions!AD81</f>
        <v>82.5093197896319</v>
      </c>
      <c r="AE6" s="66" t="n">
        <f aca="false">Acquisitions!AE81</f>
        <v>82.5093197896319</v>
      </c>
      <c r="AF6" s="66" t="n">
        <f aca="false">Acquisitions!AF81</f>
        <v>82.5093197896319</v>
      </c>
      <c r="AG6" s="66" t="n">
        <f aca="false">Acquisitions!AG81</f>
        <v>82.5093197896319</v>
      </c>
      <c r="AH6" s="66" t="n">
        <f aca="false">Acquisitions!AH81</f>
        <v>82.5093197896319</v>
      </c>
      <c r="AI6" s="66" t="n">
        <f aca="false">Acquisitions!AI81</f>
        <v>82.5093197896319</v>
      </c>
      <c r="AJ6" s="66" t="n">
        <f aca="false">Acquisitions!AJ81</f>
        <v>82.5093197896319</v>
      </c>
      <c r="AK6" s="66" t="n">
        <f aca="false">Acquisitions!AK81</f>
        <v>82.5093197896319</v>
      </c>
      <c r="AL6" s="66" t="n">
        <f aca="false">Acquisitions!AL81</f>
        <v>82.5093197896319</v>
      </c>
      <c r="AM6" s="66" t="n">
        <f aca="false">Acquisitions!AM81</f>
        <v>82.5093197896319</v>
      </c>
      <c r="AN6" s="66" t="n">
        <f aca="false">Acquisitions!AN81</f>
        <v>82.5093197896319</v>
      </c>
      <c r="AO6" s="65" t="n">
        <f aca="false">SUM(AP6:BA6)</f>
        <v>1309.42207230654</v>
      </c>
      <c r="AP6" s="66" t="n">
        <f aca="false">Acquisitions!AP81</f>
        <v>109.118506025545</v>
      </c>
      <c r="AQ6" s="66" t="n">
        <f aca="false">Acquisitions!AQ81</f>
        <v>109.118506025545</v>
      </c>
      <c r="AR6" s="66" t="n">
        <f aca="false">Acquisitions!AR81</f>
        <v>109.118506025545</v>
      </c>
      <c r="AS6" s="66" t="n">
        <f aca="false">Acquisitions!AS81</f>
        <v>109.118506025545</v>
      </c>
      <c r="AT6" s="66" t="n">
        <f aca="false">Acquisitions!AT81</f>
        <v>109.118506025545</v>
      </c>
      <c r="AU6" s="66" t="n">
        <f aca="false">Acquisitions!AU81</f>
        <v>109.118506025545</v>
      </c>
      <c r="AV6" s="66" t="n">
        <f aca="false">Acquisitions!AV81</f>
        <v>109.118506025545</v>
      </c>
      <c r="AW6" s="66" t="n">
        <f aca="false">Acquisitions!AW81</f>
        <v>109.118506025545</v>
      </c>
      <c r="AX6" s="66" t="n">
        <f aca="false">Acquisitions!AX81</f>
        <v>109.118506025545</v>
      </c>
      <c r="AY6" s="66" t="n">
        <f aca="false">Acquisitions!AY81</f>
        <v>109.118506025545</v>
      </c>
      <c r="AZ6" s="66" t="n">
        <f aca="false">Acquisitions!AZ81</f>
        <v>109.118506025545</v>
      </c>
      <c r="BA6" s="66" t="n">
        <f aca="false">Acquisitions!BA81</f>
        <v>109.118506025545</v>
      </c>
      <c r="BB6" s="65" t="n">
        <f aca="false">SUM(BC6:BN6)</f>
        <v>1600.2761602285</v>
      </c>
      <c r="BC6" s="66" t="n">
        <f aca="false">Acquisitions!BC81</f>
        <v>133.356346685708</v>
      </c>
      <c r="BD6" s="66" t="n">
        <f aca="false">Acquisitions!BD81</f>
        <v>133.356346685708</v>
      </c>
      <c r="BE6" s="66" t="n">
        <f aca="false">Acquisitions!BE81</f>
        <v>133.356346685708</v>
      </c>
      <c r="BF6" s="66" t="n">
        <f aca="false">Acquisitions!BF81</f>
        <v>133.356346685708</v>
      </c>
      <c r="BG6" s="66" t="n">
        <f aca="false">Acquisitions!BG81</f>
        <v>133.356346685708</v>
      </c>
      <c r="BH6" s="66" t="n">
        <f aca="false">Acquisitions!BH81</f>
        <v>133.356346685708</v>
      </c>
      <c r="BI6" s="66" t="n">
        <f aca="false">Acquisitions!BI81</f>
        <v>133.356346685708</v>
      </c>
      <c r="BJ6" s="66" t="n">
        <f aca="false">Acquisitions!BJ81</f>
        <v>133.356346685708</v>
      </c>
      <c r="BK6" s="66" t="n">
        <f aca="false">Acquisitions!BK81</f>
        <v>133.356346685708</v>
      </c>
      <c r="BL6" s="66" t="n">
        <f aca="false">Acquisitions!BL81</f>
        <v>133.356346685708</v>
      </c>
      <c r="BM6" s="66" t="n">
        <f aca="false">Acquisitions!BM81</f>
        <v>133.356346685708</v>
      </c>
      <c r="BN6" s="66" t="n">
        <f aca="false">Acquisitions!BN81</f>
        <v>133.356346685708</v>
      </c>
    </row>
    <row r="7" customFormat="false" ht="15" hidden="false" customHeight="false" outlineLevel="0" collapsed="false">
      <c r="A7" s="4" t="s">
        <v>733</v>
      </c>
      <c r="B7" s="65" t="n">
        <f aca="false">IFERROR(AVERAGE(C7:N7),0)</f>
        <v>0.412000875371901</v>
      </c>
      <c r="C7" s="68" t="n">
        <f aca="false">C6/'Assumption Setting'!$C$81</f>
        <v>0.412000875371901</v>
      </c>
      <c r="D7" s="68" t="n">
        <f aca="false">D6/'Assumption Setting'!$C$81</f>
        <v>0.412000875371901</v>
      </c>
      <c r="E7" s="68" t="n">
        <f aca="false">E6/'Assumption Setting'!$C$81</f>
        <v>0.412000875371901</v>
      </c>
      <c r="F7" s="68" t="n">
        <f aca="false">F6/'Assumption Setting'!$C$81</f>
        <v>0.412000875371901</v>
      </c>
      <c r="G7" s="68" t="n">
        <f aca="false">G6/'Assumption Setting'!$C$81</f>
        <v>0.412000875371901</v>
      </c>
      <c r="H7" s="68" t="n">
        <f aca="false">H6/'Assumption Setting'!$C$81</f>
        <v>0.412000875371901</v>
      </c>
      <c r="I7" s="68" t="n">
        <f aca="false">I6/'Assumption Setting'!$C$81</f>
        <v>0.412000875371901</v>
      </c>
      <c r="J7" s="68" t="n">
        <f aca="false">J6/'Assumption Setting'!$C$81</f>
        <v>0.412000875371901</v>
      </c>
      <c r="K7" s="68" t="n">
        <f aca="false">K6/'Assumption Setting'!$C$81</f>
        <v>0.412000875371901</v>
      </c>
      <c r="L7" s="68" t="n">
        <f aca="false">L6/'Assumption Setting'!$C$81</f>
        <v>0.412000875371901</v>
      </c>
      <c r="M7" s="68" t="n">
        <f aca="false">M6/'Assumption Setting'!$C$81</f>
        <v>0.412000875371901</v>
      </c>
      <c r="N7" s="68" t="n">
        <f aca="false">N6/'Assumption Setting'!$C$81</f>
        <v>0.412000875371901</v>
      </c>
      <c r="O7" s="65" t="n">
        <f aca="false">IFERROR(AVERAGE(P7:AA7),0)</f>
        <v>0.897971990984223</v>
      </c>
      <c r="P7" s="68" t="n">
        <f aca="false">P6/'Assumption Setting'!$C$81</f>
        <v>0.897971990984223</v>
      </c>
      <c r="Q7" s="68" t="n">
        <f aca="false">Q6/'Assumption Setting'!$C$81</f>
        <v>0.897971990984223</v>
      </c>
      <c r="R7" s="68" t="n">
        <f aca="false">R6/'Assumption Setting'!$C$81</f>
        <v>0.897971990984223</v>
      </c>
      <c r="S7" s="68" t="n">
        <f aca="false">S6/'Assumption Setting'!$C$81</f>
        <v>0.897971990984223</v>
      </c>
      <c r="T7" s="68" t="n">
        <f aca="false">T6/'Assumption Setting'!$C$81</f>
        <v>0.897971990984223</v>
      </c>
      <c r="U7" s="68" t="n">
        <f aca="false">U6/'Assumption Setting'!$C$81</f>
        <v>0.897971990984223</v>
      </c>
      <c r="V7" s="68" t="n">
        <f aca="false">V6/'Assumption Setting'!$C$81</f>
        <v>0.897971990984223</v>
      </c>
      <c r="W7" s="68" t="n">
        <f aca="false">W6/'Assumption Setting'!$C$81</f>
        <v>0.897971990984223</v>
      </c>
      <c r="X7" s="68" t="n">
        <f aca="false">X6/'Assumption Setting'!$C$81</f>
        <v>0.897971990984223</v>
      </c>
      <c r="Y7" s="68" t="n">
        <f aca="false">Y6/'Assumption Setting'!$C$81</f>
        <v>0.897971990984223</v>
      </c>
      <c r="Z7" s="68" t="n">
        <f aca="false">Z6/'Assumption Setting'!$C$81</f>
        <v>0.897971990984223</v>
      </c>
      <c r="AA7" s="68" t="n">
        <f aca="false">AA6/'Assumption Setting'!$C$81</f>
        <v>0.897971990984223</v>
      </c>
      <c r="AB7" s="65" t="n">
        <f aca="false">IFERROR(AVERAGE(AC7:AN7),0)</f>
        <v>1.50016945072058</v>
      </c>
      <c r="AC7" s="68" t="n">
        <f aca="false">AC6/'Assumption Setting'!$C$81</f>
        <v>1.50016945072058</v>
      </c>
      <c r="AD7" s="68" t="n">
        <f aca="false">AD6/'Assumption Setting'!$C$81</f>
        <v>1.50016945072058</v>
      </c>
      <c r="AE7" s="68" t="n">
        <f aca="false">AE6/'Assumption Setting'!$C$81</f>
        <v>1.50016945072058</v>
      </c>
      <c r="AF7" s="68" t="n">
        <f aca="false">AF6/'Assumption Setting'!$C$81</f>
        <v>1.50016945072058</v>
      </c>
      <c r="AG7" s="68" t="n">
        <f aca="false">AG6/'Assumption Setting'!$C$81</f>
        <v>1.50016945072058</v>
      </c>
      <c r="AH7" s="68" t="n">
        <f aca="false">AH6/'Assumption Setting'!$C$81</f>
        <v>1.50016945072058</v>
      </c>
      <c r="AI7" s="68" t="n">
        <f aca="false">AI6/'Assumption Setting'!$C$81</f>
        <v>1.50016945072058</v>
      </c>
      <c r="AJ7" s="68" t="n">
        <f aca="false">AJ6/'Assumption Setting'!$C$81</f>
        <v>1.50016945072058</v>
      </c>
      <c r="AK7" s="68" t="n">
        <f aca="false">AK6/'Assumption Setting'!$C$81</f>
        <v>1.50016945072058</v>
      </c>
      <c r="AL7" s="68" t="n">
        <f aca="false">AL6/'Assumption Setting'!$C$81</f>
        <v>1.50016945072058</v>
      </c>
      <c r="AM7" s="68" t="n">
        <f aca="false">AM6/'Assumption Setting'!$C$81</f>
        <v>1.50016945072058</v>
      </c>
      <c r="AN7" s="68" t="n">
        <f aca="false">AN6/'Assumption Setting'!$C$81</f>
        <v>1.50016945072058</v>
      </c>
      <c r="AO7" s="65" t="n">
        <f aca="false">IFERROR(AVERAGE(AP7:BA7),0)</f>
        <v>1.98397283682809</v>
      </c>
      <c r="AP7" s="68" t="n">
        <f aca="false">AP6/'Assumption Setting'!$C$81</f>
        <v>1.98397283682809</v>
      </c>
      <c r="AQ7" s="68" t="n">
        <f aca="false">AQ6/'Assumption Setting'!$C$81</f>
        <v>1.98397283682809</v>
      </c>
      <c r="AR7" s="68" t="n">
        <f aca="false">AR6/'Assumption Setting'!$C$81</f>
        <v>1.98397283682809</v>
      </c>
      <c r="AS7" s="68" t="n">
        <f aca="false">AS6/'Assumption Setting'!$C$81</f>
        <v>1.98397283682809</v>
      </c>
      <c r="AT7" s="68" t="n">
        <f aca="false">AT6/'Assumption Setting'!$C$81</f>
        <v>1.98397283682809</v>
      </c>
      <c r="AU7" s="68" t="n">
        <f aca="false">AU6/'Assumption Setting'!$C$81</f>
        <v>1.98397283682809</v>
      </c>
      <c r="AV7" s="68" t="n">
        <f aca="false">AV6/'Assumption Setting'!$C$81</f>
        <v>1.98397283682809</v>
      </c>
      <c r="AW7" s="68" t="n">
        <f aca="false">AW6/'Assumption Setting'!$C$81</f>
        <v>1.98397283682809</v>
      </c>
      <c r="AX7" s="68" t="n">
        <f aca="false">AX6/'Assumption Setting'!$C$81</f>
        <v>1.98397283682809</v>
      </c>
      <c r="AY7" s="68" t="n">
        <f aca="false">AY6/'Assumption Setting'!$C$81</f>
        <v>1.98397283682809</v>
      </c>
      <c r="AZ7" s="68" t="n">
        <f aca="false">AZ6/'Assumption Setting'!$C$81</f>
        <v>1.98397283682809</v>
      </c>
      <c r="BA7" s="68" t="n">
        <f aca="false">BA6/'Assumption Setting'!$C$81</f>
        <v>1.98397283682809</v>
      </c>
      <c r="BB7" s="65" t="n">
        <f aca="false">IFERROR(AVERAGE(BC7:BN7),0)</f>
        <v>2.42466084883106</v>
      </c>
      <c r="BC7" s="68" t="n">
        <f aca="false">BC6/'Assumption Setting'!$C$81</f>
        <v>2.42466084883106</v>
      </c>
      <c r="BD7" s="68" t="n">
        <f aca="false">BD6/'Assumption Setting'!$C$81</f>
        <v>2.42466084883106</v>
      </c>
      <c r="BE7" s="68" t="n">
        <f aca="false">BE6/'Assumption Setting'!$C$81</f>
        <v>2.42466084883106</v>
      </c>
      <c r="BF7" s="68" t="n">
        <f aca="false">BF6/'Assumption Setting'!$C$81</f>
        <v>2.42466084883106</v>
      </c>
      <c r="BG7" s="68" t="n">
        <f aca="false">BG6/'Assumption Setting'!$C$81</f>
        <v>2.42466084883106</v>
      </c>
      <c r="BH7" s="68" t="n">
        <f aca="false">BH6/'Assumption Setting'!$C$81</f>
        <v>2.42466084883106</v>
      </c>
      <c r="BI7" s="68" t="n">
        <f aca="false">BI6/'Assumption Setting'!$C$81</f>
        <v>2.42466084883106</v>
      </c>
      <c r="BJ7" s="68" t="n">
        <f aca="false">BJ6/'Assumption Setting'!$C$81</f>
        <v>2.42466084883106</v>
      </c>
      <c r="BK7" s="68" t="n">
        <f aca="false">BK6/'Assumption Setting'!$C$81</f>
        <v>2.42466084883106</v>
      </c>
      <c r="BL7" s="68" t="n">
        <f aca="false">BL6/'Assumption Setting'!$C$81</f>
        <v>2.42466084883106</v>
      </c>
      <c r="BM7" s="68" t="n">
        <f aca="false">BM6/'Assumption Setting'!$C$81</f>
        <v>2.42466084883106</v>
      </c>
      <c r="BN7" s="68" t="n">
        <f aca="false">BN6/'Assumption Setting'!$C$81</f>
        <v>2.42466084883106</v>
      </c>
    </row>
    <row r="8" customFormat="false" ht="15" hidden="false" customHeight="false" outlineLevel="0" collapsed="false">
      <c r="A8" s="4" t="s">
        <v>734</v>
      </c>
      <c r="B8" s="65" t="n">
        <f aca="false">IFERROR(AVERAGE(C8:N8),0)</f>
        <v>1</v>
      </c>
      <c r="C8" s="66" t="n">
        <f aca="false">Payroll!C77</f>
        <v>1</v>
      </c>
      <c r="D8" s="66" t="n">
        <f aca="false">Payroll!D77</f>
        <v>1</v>
      </c>
      <c r="E8" s="66" t="n">
        <f aca="false">Payroll!E77</f>
        <v>1</v>
      </c>
      <c r="F8" s="66" t="n">
        <f aca="false">Payroll!F77</f>
        <v>1</v>
      </c>
      <c r="G8" s="66" t="n">
        <f aca="false">Payroll!G77</f>
        <v>1</v>
      </c>
      <c r="H8" s="66" t="n">
        <f aca="false">Payroll!H77</f>
        <v>1</v>
      </c>
      <c r="I8" s="66" t="n">
        <f aca="false">Payroll!I77</f>
        <v>1</v>
      </c>
      <c r="J8" s="66" t="n">
        <f aca="false">Payroll!J77</f>
        <v>1</v>
      </c>
      <c r="K8" s="66" t="n">
        <f aca="false">Payroll!K77</f>
        <v>1</v>
      </c>
      <c r="L8" s="66" t="n">
        <f aca="false">Payroll!L77</f>
        <v>1</v>
      </c>
      <c r="M8" s="66" t="n">
        <f aca="false">Payroll!M77</f>
        <v>1</v>
      </c>
      <c r="N8" s="66" t="n">
        <f aca="false">Payroll!N77</f>
        <v>1</v>
      </c>
      <c r="O8" s="65" t="n">
        <f aca="false">IFERROR(AVERAGE(P8:AA8),0)</f>
        <v>2</v>
      </c>
      <c r="P8" s="66" t="n">
        <f aca="false">Payroll!P77</f>
        <v>2</v>
      </c>
      <c r="Q8" s="66" t="n">
        <f aca="false">Payroll!Q77</f>
        <v>2</v>
      </c>
      <c r="R8" s="66" t="n">
        <f aca="false">Payroll!R77</f>
        <v>2</v>
      </c>
      <c r="S8" s="66" t="n">
        <f aca="false">Payroll!S77</f>
        <v>2</v>
      </c>
      <c r="T8" s="66" t="n">
        <f aca="false">Payroll!T77</f>
        <v>2</v>
      </c>
      <c r="U8" s="66" t="n">
        <f aca="false">Payroll!U77</f>
        <v>2</v>
      </c>
      <c r="V8" s="66" t="n">
        <f aca="false">Payroll!V77</f>
        <v>2</v>
      </c>
      <c r="W8" s="66" t="n">
        <f aca="false">Payroll!W77</f>
        <v>2</v>
      </c>
      <c r="X8" s="66" t="n">
        <f aca="false">Payroll!X77</f>
        <v>2</v>
      </c>
      <c r="Y8" s="66" t="n">
        <f aca="false">Payroll!Y77</f>
        <v>2</v>
      </c>
      <c r="Z8" s="66" t="n">
        <f aca="false">Payroll!Z77</f>
        <v>2</v>
      </c>
      <c r="AA8" s="66" t="n">
        <f aca="false">Payroll!AA77</f>
        <v>2</v>
      </c>
      <c r="AB8" s="65" t="n">
        <f aca="false">IFERROR(AVERAGE(AC8:AN8),0)</f>
        <v>3</v>
      </c>
      <c r="AC8" s="66" t="n">
        <f aca="false">Payroll!AC77</f>
        <v>3</v>
      </c>
      <c r="AD8" s="66" t="n">
        <f aca="false">Payroll!AD77</f>
        <v>3</v>
      </c>
      <c r="AE8" s="66" t="n">
        <f aca="false">Payroll!AE77</f>
        <v>3</v>
      </c>
      <c r="AF8" s="66" t="n">
        <f aca="false">Payroll!AF77</f>
        <v>3</v>
      </c>
      <c r="AG8" s="66" t="n">
        <f aca="false">Payroll!AG77</f>
        <v>3</v>
      </c>
      <c r="AH8" s="66" t="n">
        <f aca="false">Payroll!AH77</f>
        <v>3</v>
      </c>
      <c r="AI8" s="66" t="n">
        <f aca="false">Payroll!AI77</f>
        <v>3</v>
      </c>
      <c r="AJ8" s="66" t="n">
        <f aca="false">Payroll!AJ77</f>
        <v>3</v>
      </c>
      <c r="AK8" s="66" t="n">
        <f aca="false">Payroll!AK77</f>
        <v>3</v>
      </c>
      <c r="AL8" s="66" t="n">
        <f aca="false">Payroll!AL77</f>
        <v>3</v>
      </c>
      <c r="AM8" s="66" t="n">
        <f aca="false">Payroll!AM77</f>
        <v>3</v>
      </c>
      <c r="AN8" s="66" t="n">
        <f aca="false">Payroll!AN77</f>
        <v>3</v>
      </c>
      <c r="AO8" s="65" t="n">
        <f aca="false">IFERROR(AVERAGE(AP8:BA8),0)</f>
        <v>4</v>
      </c>
      <c r="AP8" s="66" t="n">
        <f aca="false">Payroll!AP77</f>
        <v>4</v>
      </c>
      <c r="AQ8" s="66" t="n">
        <f aca="false">Payroll!AQ77</f>
        <v>4</v>
      </c>
      <c r="AR8" s="66" t="n">
        <f aca="false">Payroll!AR77</f>
        <v>4</v>
      </c>
      <c r="AS8" s="66" t="n">
        <f aca="false">Payroll!AS77</f>
        <v>4</v>
      </c>
      <c r="AT8" s="66" t="n">
        <f aca="false">Payroll!AT77</f>
        <v>4</v>
      </c>
      <c r="AU8" s="66" t="n">
        <f aca="false">Payroll!AU77</f>
        <v>4</v>
      </c>
      <c r="AV8" s="66" t="n">
        <f aca="false">Payroll!AV77</f>
        <v>4</v>
      </c>
      <c r="AW8" s="66" t="n">
        <f aca="false">Payroll!AW77</f>
        <v>4</v>
      </c>
      <c r="AX8" s="66" t="n">
        <f aca="false">Payroll!AX77</f>
        <v>4</v>
      </c>
      <c r="AY8" s="66" t="n">
        <f aca="false">Payroll!AY77</f>
        <v>4</v>
      </c>
      <c r="AZ8" s="66" t="n">
        <f aca="false">Payroll!AZ77</f>
        <v>4</v>
      </c>
      <c r="BA8" s="66" t="n">
        <f aca="false">Payroll!BA77</f>
        <v>4</v>
      </c>
      <c r="BB8" s="65" t="n">
        <f aca="false">IFERROR(AVERAGE(BC8:BN8),0)</f>
        <v>5</v>
      </c>
      <c r="BC8" s="66" t="n">
        <f aca="false">Payroll!BC77</f>
        <v>5</v>
      </c>
      <c r="BD8" s="66" t="n">
        <f aca="false">Payroll!BD77</f>
        <v>5</v>
      </c>
      <c r="BE8" s="66" t="n">
        <f aca="false">Payroll!BE77</f>
        <v>5</v>
      </c>
      <c r="BF8" s="66" t="n">
        <f aca="false">Payroll!BF77</f>
        <v>5</v>
      </c>
      <c r="BG8" s="66" t="n">
        <f aca="false">Payroll!BG77</f>
        <v>5</v>
      </c>
      <c r="BH8" s="66" t="n">
        <f aca="false">Payroll!BH77</f>
        <v>5</v>
      </c>
      <c r="BI8" s="66" t="n">
        <f aca="false">Payroll!BI77</f>
        <v>5</v>
      </c>
      <c r="BJ8" s="66" t="n">
        <f aca="false">Payroll!BJ77</f>
        <v>5</v>
      </c>
      <c r="BK8" s="66" t="n">
        <f aca="false">Payroll!BK77</f>
        <v>5</v>
      </c>
      <c r="BL8" s="66" t="n">
        <f aca="false">Payroll!BL77</f>
        <v>5</v>
      </c>
      <c r="BM8" s="66" t="n">
        <f aca="false">Payroll!BM77</f>
        <v>5</v>
      </c>
      <c r="BN8" s="66" t="n">
        <f aca="false">Payroll!BN77</f>
        <v>5</v>
      </c>
    </row>
    <row r="9" customFormat="false" ht="15" hidden="false" customHeight="false" outlineLevel="0" collapsed="false">
      <c r="A9" s="4" t="s">
        <v>735</v>
      </c>
      <c r="B9" s="84" t="n">
        <f aca="false">SUM(C9:N9)</f>
        <v>0</v>
      </c>
      <c r="C9" s="74" t="n">
        <f aca="false">IF(C8&lt;C7,1,0)</f>
        <v>0</v>
      </c>
      <c r="D9" s="74" t="n">
        <f aca="false">IF(D8&lt;D7,1,0)</f>
        <v>0</v>
      </c>
      <c r="E9" s="74" t="n">
        <f aca="false">IF(E8&lt;E7,1,0)</f>
        <v>0</v>
      </c>
      <c r="F9" s="74" t="n">
        <f aca="false">IF(F8&lt;F7,1,0)</f>
        <v>0</v>
      </c>
      <c r="G9" s="74" t="n">
        <f aca="false">IF(G8&lt;G7,1,0)</f>
        <v>0</v>
      </c>
      <c r="H9" s="74" t="n">
        <f aca="false">IF(H8&lt;H7,1,0)</f>
        <v>0</v>
      </c>
      <c r="I9" s="74" t="n">
        <f aca="false">IF(I8&lt;I7,1,0)</f>
        <v>0</v>
      </c>
      <c r="J9" s="74" t="n">
        <f aca="false">IF(J8&lt;J7,1,0)</f>
        <v>0</v>
      </c>
      <c r="K9" s="74" t="n">
        <f aca="false">IF(K8&lt;K7,1,0)</f>
        <v>0</v>
      </c>
      <c r="L9" s="74" t="n">
        <f aca="false">IF(L8&lt;L7,1,0)</f>
        <v>0</v>
      </c>
      <c r="M9" s="74" t="n">
        <f aca="false">IF(M8&lt;M7,1,0)</f>
        <v>0</v>
      </c>
      <c r="N9" s="74" t="n">
        <f aca="false">IF(N8&lt;N7,1,0)</f>
        <v>0</v>
      </c>
      <c r="O9" s="84" t="n">
        <f aca="false">SUM(P9:AA9)</f>
        <v>0</v>
      </c>
      <c r="P9" s="74" t="n">
        <f aca="false">IF(P8&lt;P7,1,0)</f>
        <v>0</v>
      </c>
      <c r="Q9" s="74" t="n">
        <f aca="false">IF(Q8&lt;Q7,1,0)</f>
        <v>0</v>
      </c>
      <c r="R9" s="74" t="n">
        <f aca="false">IF(R8&lt;R7,1,0)</f>
        <v>0</v>
      </c>
      <c r="S9" s="74" t="n">
        <f aca="false">IF(S8&lt;S7,1,0)</f>
        <v>0</v>
      </c>
      <c r="T9" s="74" t="n">
        <f aca="false">IF(T8&lt;T7,1,0)</f>
        <v>0</v>
      </c>
      <c r="U9" s="74" t="n">
        <f aca="false">IF(U8&lt;U7,1,0)</f>
        <v>0</v>
      </c>
      <c r="V9" s="74" t="n">
        <f aca="false">IF(V8&lt;V7,1,0)</f>
        <v>0</v>
      </c>
      <c r="W9" s="74" t="n">
        <f aca="false">IF(W8&lt;W7,1,0)</f>
        <v>0</v>
      </c>
      <c r="X9" s="74" t="n">
        <f aca="false">IF(X8&lt;X7,1,0)</f>
        <v>0</v>
      </c>
      <c r="Y9" s="74" t="n">
        <f aca="false">IF(Y8&lt;Y7,1,0)</f>
        <v>0</v>
      </c>
      <c r="Z9" s="74" t="n">
        <f aca="false">IF(Z8&lt;Z7,1,0)</f>
        <v>0</v>
      </c>
      <c r="AA9" s="74" t="n">
        <f aca="false">IF(AA8&lt;AA7,1,0)</f>
        <v>0</v>
      </c>
      <c r="AB9" s="84" t="n">
        <f aca="false">SUM(AC9:AN9)</f>
        <v>0</v>
      </c>
      <c r="AC9" s="74" t="n">
        <f aca="false">IF(AC8&lt;AC7,1,0)</f>
        <v>0</v>
      </c>
      <c r="AD9" s="74" t="n">
        <f aca="false">IF(AD8&lt;AD7,1,0)</f>
        <v>0</v>
      </c>
      <c r="AE9" s="74" t="n">
        <f aca="false">IF(AE8&lt;AE7,1,0)</f>
        <v>0</v>
      </c>
      <c r="AF9" s="74" t="n">
        <f aca="false">IF(AF8&lt;AF7,1,0)</f>
        <v>0</v>
      </c>
      <c r="AG9" s="74" t="n">
        <f aca="false">IF(AG8&lt;AG7,1,0)</f>
        <v>0</v>
      </c>
      <c r="AH9" s="74" t="n">
        <f aca="false">IF(AH8&lt;AH7,1,0)</f>
        <v>0</v>
      </c>
      <c r="AI9" s="74" t="n">
        <f aca="false">IF(AI8&lt;AI7,1,0)</f>
        <v>0</v>
      </c>
      <c r="AJ9" s="74" t="n">
        <f aca="false">IF(AJ8&lt;AJ7,1,0)</f>
        <v>0</v>
      </c>
      <c r="AK9" s="74" t="n">
        <f aca="false">IF(AK8&lt;AK7,1,0)</f>
        <v>0</v>
      </c>
      <c r="AL9" s="74" t="n">
        <f aca="false">IF(AL8&lt;AL7,1,0)</f>
        <v>0</v>
      </c>
      <c r="AM9" s="74" t="n">
        <f aca="false">IF(AM8&lt;AM7,1,0)</f>
        <v>0</v>
      </c>
      <c r="AN9" s="74" t="n">
        <f aca="false">IF(AN8&lt;AN7,1,0)</f>
        <v>0</v>
      </c>
      <c r="AO9" s="84" t="n">
        <f aca="false">SUM(AP9:BA9)</f>
        <v>0</v>
      </c>
      <c r="AP9" s="74" t="n">
        <f aca="false">IF(AP8&lt;AP7,1,0)</f>
        <v>0</v>
      </c>
      <c r="AQ9" s="74" t="n">
        <f aca="false">IF(AQ8&lt;AQ7,1,0)</f>
        <v>0</v>
      </c>
      <c r="AR9" s="74" t="n">
        <f aca="false">IF(AR8&lt;AR7,1,0)</f>
        <v>0</v>
      </c>
      <c r="AS9" s="74" t="n">
        <f aca="false">IF(AS8&lt;AS7,1,0)</f>
        <v>0</v>
      </c>
      <c r="AT9" s="74" t="n">
        <f aca="false">IF(AT8&lt;AT7,1,0)</f>
        <v>0</v>
      </c>
      <c r="AU9" s="74" t="n">
        <f aca="false">IF(AU8&lt;AU7,1,0)</f>
        <v>0</v>
      </c>
      <c r="AV9" s="74" t="n">
        <f aca="false">IF(AV8&lt;AV7,1,0)</f>
        <v>0</v>
      </c>
      <c r="AW9" s="74" t="n">
        <f aca="false">IF(AW8&lt;AW7,1,0)</f>
        <v>0</v>
      </c>
      <c r="AX9" s="74" t="n">
        <f aca="false">IF(AX8&lt;AX7,1,0)</f>
        <v>0</v>
      </c>
      <c r="AY9" s="74" t="n">
        <f aca="false">IF(AY8&lt;AY7,1,0)</f>
        <v>0</v>
      </c>
      <c r="AZ9" s="74" t="n">
        <f aca="false">IF(AZ8&lt;AZ7,1,0)</f>
        <v>0</v>
      </c>
      <c r="BA9" s="74" t="n">
        <f aca="false">IF(BA8&lt;BA7,1,0)</f>
        <v>0</v>
      </c>
      <c r="BB9" s="84" t="n">
        <f aca="false">SUM(BC9:BN9)</f>
        <v>0</v>
      </c>
      <c r="BC9" s="74" t="n">
        <f aca="false">IF(BC8&lt;BC7,1,0)</f>
        <v>0</v>
      </c>
      <c r="BD9" s="74" t="n">
        <f aca="false">IF(BD8&lt;BD7,1,0)</f>
        <v>0</v>
      </c>
      <c r="BE9" s="74" t="n">
        <f aca="false">IF(BE8&lt;BE7,1,0)</f>
        <v>0</v>
      </c>
      <c r="BF9" s="74" t="n">
        <f aca="false">IF(BF8&lt;BF7,1,0)</f>
        <v>0</v>
      </c>
      <c r="BG9" s="74" t="n">
        <f aca="false">IF(BG8&lt;BG7,1,0)</f>
        <v>0</v>
      </c>
      <c r="BH9" s="74" t="n">
        <f aca="false">IF(BH8&lt;BH7,1,0)</f>
        <v>0</v>
      </c>
      <c r="BI9" s="74" t="n">
        <f aca="false">IF(BI8&lt;BI7,1,0)</f>
        <v>0</v>
      </c>
      <c r="BJ9" s="74" t="n">
        <f aca="false">IF(BJ8&lt;BJ7,1,0)</f>
        <v>0</v>
      </c>
      <c r="BK9" s="74" t="n">
        <f aca="false">IF(BK8&lt;BK7,1,0)</f>
        <v>0</v>
      </c>
      <c r="BL9" s="74" t="n">
        <f aca="false">IF(BL8&lt;BL7,1,0)</f>
        <v>0</v>
      </c>
      <c r="BM9" s="74" t="n">
        <f aca="false">IF(BM8&lt;BM7,1,0)</f>
        <v>0</v>
      </c>
      <c r="BN9" s="74" t="n">
        <f aca="false">IF(BN8&lt;BN7,1,0)</f>
        <v>0</v>
      </c>
    </row>
    <row r="11" customFormat="false" ht="15" hidden="false" customHeight="false" outlineLevel="0" collapsed="false">
      <c r="A11" s="4" t="s">
        <v>736</v>
      </c>
      <c r="B11" s="65" t="n">
        <f aca="false">SUM(C11:N11)</f>
        <v>398.245534054187</v>
      </c>
      <c r="C11" s="66" t="n">
        <f aca="false">Acquisitions!C127</f>
        <v>0</v>
      </c>
      <c r="D11" s="66" t="n">
        <f aca="false">Acquisitions!D127</f>
        <v>29.6316292793788</v>
      </c>
      <c r="E11" s="66" t="n">
        <f aca="false">Acquisitions!E127</f>
        <v>31.053506656101</v>
      </c>
      <c r="F11" s="66" t="n">
        <f aca="false">Acquisitions!F127</f>
        <v>32.6927045193025</v>
      </c>
      <c r="G11" s="66" t="n">
        <f aca="false">Acquisitions!G127</f>
        <v>34.0074783569971</v>
      </c>
      <c r="H11" s="66" t="n">
        <f aca="false">Acquisitions!H127</f>
        <v>35.2717648793242</v>
      </c>
      <c r="I11" s="66" t="n">
        <f aca="false">Acquisitions!I127</f>
        <v>36.4875027991939</v>
      </c>
      <c r="J11" s="66" t="n">
        <f aca="false">Acquisitions!J127</f>
        <v>37.6565563829407</v>
      </c>
      <c r="K11" s="66" t="n">
        <f aca="false">Acquisitions!K127</f>
        <v>38.7807183090715</v>
      </c>
      <c r="L11" s="66" t="n">
        <f aca="false">Acquisitions!L127</f>
        <v>39.861712417239</v>
      </c>
      <c r="M11" s="66" t="n">
        <f aca="false">Acquisitions!M127</f>
        <v>40.9011963516528</v>
      </c>
      <c r="N11" s="66" t="n">
        <f aca="false">Acquisitions!N127</f>
        <v>41.9007641029851</v>
      </c>
      <c r="O11" s="65" t="n">
        <f aca="false">SUM(P11:AA11)</f>
        <v>1251.23005448979</v>
      </c>
      <c r="P11" s="66" t="n">
        <f aca="false">Acquisitions!P127</f>
        <v>47.9458469206847</v>
      </c>
      <c r="Q11" s="66" t="n">
        <f aca="false">Acquisitions!Q127</f>
        <v>94.9014803206465</v>
      </c>
      <c r="R11" s="66" t="n">
        <f aca="false">Acquisitions!R127</f>
        <v>98.0407822207813</v>
      </c>
      <c r="S11" s="66" t="n">
        <f aca="false">Acquisitions!S127</f>
        <v>101.426162886246</v>
      </c>
      <c r="T11" s="66" t="n">
        <f aca="false">Acquisitions!T127</f>
        <v>104.355621290168</v>
      </c>
      <c r="U11" s="66" t="n">
        <f aca="false">Acquisitions!U127</f>
        <v>107.185478108357</v>
      </c>
      <c r="V11" s="66" t="n">
        <f aca="false">Acquisitions!V127</f>
        <v>109.919119794727</v>
      </c>
      <c r="W11" s="66" t="n">
        <f aca="false">Acquisitions!W127</f>
        <v>112.559817663761</v>
      </c>
      <c r="X11" s="66" t="n">
        <f aca="false">Acquisitions!X127</f>
        <v>115.110731805248</v>
      </c>
      <c r="Y11" s="66" t="n">
        <f aca="false">Acquisitions!Y127</f>
        <v>117.574914865924</v>
      </c>
      <c r="Z11" s="66" t="n">
        <f aca="false">Acquisitions!Z127</f>
        <v>119.955315702537</v>
      </c>
      <c r="AA11" s="66" t="n">
        <f aca="false">Acquisitions!AA127</f>
        <v>122.254782910705</v>
      </c>
      <c r="AB11" s="65" t="n">
        <f aca="false">SUM(AC11:AN11)</f>
        <v>2685.2248335952</v>
      </c>
      <c r="AC11" s="66" t="n">
        <f aca="false">Acquisitions!AC127</f>
        <v>137.722814550973</v>
      </c>
      <c r="AD11" s="66" t="n">
        <f aca="false">Acquisitions!AD127</f>
        <v>207.148082470499</v>
      </c>
      <c r="AE11" s="66" t="n">
        <f aca="false">Acquisitions!AE127</f>
        <v>212.430414001664</v>
      </c>
      <c r="AF11" s="66" t="n">
        <f aca="false">Acquisitions!AF127</f>
        <v>218.014815238086</v>
      </c>
      <c r="AG11" s="66" t="n">
        <f aca="false">Acquisitions!AG127</f>
        <v>222.968578141455</v>
      </c>
      <c r="AH11" s="66" t="n">
        <f aca="false">Acquisitions!AH127</f>
        <v>227.765802137077</v>
      </c>
      <c r="AI11" s="66" t="n">
        <f aca="false">Acquisitions!AI127</f>
        <v>232.411433854438</v>
      </c>
      <c r="AJ11" s="66" t="n">
        <f aca="false">Acquisitions!AJ127</f>
        <v>236.91026360953</v>
      </c>
      <c r="AK11" s="66" t="n">
        <f aca="false">Acquisitions!AK127</f>
        <v>241.266930344361</v>
      </c>
      <c r="AL11" s="66" t="n">
        <f aca="false">Acquisitions!AL127</f>
        <v>245.485926410372</v>
      </c>
      <c r="AM11" s="66" t="n">
        <f aca="false">Acquisitions!AM127</f>
        <v>249.571602200696</v>
      </c>
      <c r="AN11" s="66" t="n">
        <f aca="false">Acquisitions!AN127</f>
        <v>253.528170636047</v>
      </c>
      <c r="AO11" s="65" t="n">
        <f aca="false">SUM(AP11:BA11)</f>
        <v>4487.19801778642</v>
      </c>
      <c r="AP11" s="66" t="n">
        <f aca="false">Acquisitions!AP127</f>
        <v>277.60683614733</v>
      </c>
      <c r="AQ11" s="66" t="n">
        <f aca="false">Acquisitions!AQ127</f>
        <v>351.293735899591</v>
      </c>
      <c r="AR11" s="66" t="n">
        <f aca="false">Acquisitions!AR127</f>
        <v>358.088136924319</v>
      </c>
      <c r="AS11" s="66" t="n">
        <f aca="false">Acquisitions!AS127</f>
        <v>365.073291729291</v>
      </c>
      <c r="AT11" s="66" t="n">
        <f aca="false">Acquisitions!AT127</f>
        <v>371.463507697636</v>
      </c>
      <c r="AU11" s="66" t="n">
        <f aca="false">Acquisitions!AU127</f>
        <v>377.660739143738</v>
      </c>
      <c r="AV11" s="66" t="n">
        <f aca="false">Acquisitions!AV127</f>
        <v>383.670814200166</v>
      </c>
      <c r="AW11" s="66" t="n">
        <f aca="false">Acquisitions!AW127</f>
        <v>389.499384989891</v>
      </c>
      <c r="AX11" s="66" t="n">
        <f aca="false">Acquisitions!AX127</f>
        <v>395.151932941766</v>
      </c>
      <c r="AY11" s="66" t="n">
        <f aca="false">Acquisitions!AY127</f>
        <v>400.633773945495</v>
      </c>
      <c r="AZ11" s="66" t="n">
        <f aca="false">Acquisitions!AZ127</f>
        <v>405.950063350911</v>
      </c>
      <c r="BA11" s="66" t="n">
        <f aca="false">Acquisitions!BA127</f>
        <v>411.105800816283</v>
      </c>
      <c r="BB11" s="65" t="n">
        <f aca="false">SUM(BC11:BN11)</f>
        <v>6005.14078415346</v>
      </c>
      <c r="BC11" s="66" t="n">
        <f aca="false">Acquisitions!BC127</f>
        <v>423.719896446659</v>
      </c>
      <c r="BD11" s="66" t="n">
        <f aca="false">Acquisitions!BD127</f>
        <v>474.45934321738</v>
      </c>
      <c r="BE11" s="66" t="n">
        <f aca="false">Acquisitions!BE127</f>
        <v>481.575335968879</v>
      </c>
      <c r="BF11" s="66" t="n">
        <f aca="false">Acquisitions!BF127</f>
        <v>488.855834964573</v>
      </c>
      <c r="BG11" s="66" t="n">
        <f aca="false">Acquisitions!BG127</f>
        <v>495.562321119444</v>
      </c>
      <c r="BH11" s="66" t="n">
        <f aca="false">Acquisitions!BH127</f>
        <v>502.072977878592</v>
      </c>
      <c r="BI11" s="66" t="n">
        <f aca="false">Acquisitions!BI127</f>
        <v>508.393523460373</v>
      </c>
      <c r="BJ11" s="66" t="n">
        <f aca="false">Acquisitions!BJ127</f>
        <v>514.529509111167</v>
      </c>
      <c r="BK11" s="66" t="n">
        <f aca="false">Acquisitions!BK127</f>
        <v>520.486323980957</v>
      </c>
      <c r="BL11" s="66" t="n">
        <f aca="false">Acquisitions!BL127</f>
        <v>526.269199856549</v>
      </c>
      <c r="BM11" s="66" t="n">
        <f aca="false">Acquisitions!BM127</f>
        <v>531.883215756574</v>
      </c>
      <c r="BN11" s="66" t="n">
        <f aca="false">Acquisitions!BN127</f>
        <v>537.333302392318</v>
      </c>
    </row>
    <row r="12" customFormat="false" ht="15" hidden="false" customHeight="false" outlineLevel="0" collapsed="false">
      <c r="A12" s="4" t="s">
        <v>737</v>
      </c>
      <c r="B12" s="65" t="n">
        <f aca="false">IFERROR(AVERAGE(C12:N12),0)</f>
        <v>0.368745864864988</v>
      </c>
      <c r="C12" s="68" t="n">
        <f aca="false">C11/'Assumption Setting'!$C$82</f>
        <v>0</v>
      </c>
      <c r="D12" s="68" t="n">
        <f aca="false">D11/'Assumption Setting'!$C$82</f>
        <v>0.329240325326431</v>
      </c>
      <c r="E12" s="68" t="n">
        <f aca="false">E11/'Assumption Setting'!$C$82</f>
        <v>0.345038962845567</v>
      </c>
      <c r="F12" s="68" t="n">
        <f aca="false">F11/'Assumption Setting'!$C$82</f>
        <v>0.363252272436695</v>
      </c>
      <c r="G12" s="68" t="n">
        <f aca="false">G11/'Assumption Setting'!$C$82</f>
        <v>0.377860870633301</v>
      </c>
      <c r="H12" s="68" t="n">
        <f aca="false">H11/'Assumption Setting'!$C$82</f>
        <v>0.391908498659158</v>
      </c>
      <c r="I12" s="68" t="n">
        <f aca="false">I11/'Assumption Setting'!$C$82</f>
        <v>0.405416697768821</v>
      </c>
      <c r="J12" s="68" t="n">
        <f aca="false">J11/'Assumption Setting'!$C$82</f>
        <v>0.418406182032674</v>
      </c>
      <c r="K12" s="68" t="n">
        <f aca="false">K11/'Assumption Setting'!$C$82</f>
        <v>0.430896870100795</v>
      </c>
      <c r="L12" s="68" t="n">
        <f aca="false">L11/'Assumption Setting'!$C$82</f>
        <v>0.4429079157471</v>
      </c>
      <c r="M12" s="68" t="n">
        <f aca="false">M11/'Assumption Setting'!$C$82</f>
        <v>0.454457737240586</v>
      </c>
      <c r="N12" s="68" t="n">
        <f aca="false">N11/'Assumption Setting'!$C$82</f>
        <v>0.465564045588723</v>
      </c>
      <c r="O12" s="65" t="n">
        <f aca="false">IFERROR(AVERAGE(P12:AA12),0)</f>
        <v>1.1585463467498</v>
      </c>
      <c r="P12" s="68" t="n">
        <f aca="false">P11/'Assumption Setting'!$C$82</f>
        <v>0.532731632452052</v>
      </c>
      <c r="Q12" s="68" t="n">
        <f aca="false">Q11/'Assumption Setting'!$C$82</f>
        <v>1.05446089245163</v>
      </c>
      <c r="R12" s="68" t="n">
        <f aca="false">R11/'Assumption Setting'!$C$82</f>
        <v>1.08934202467535</v>
      </c>
      <c r="S12" s="68" t="n">
        <f aca="false">S11/'Assumption Setting'!$C$82</f>
        <v>1.12695736540273</v>
      </c>
      <c r="T12" s="68" t="n">
        <f aca="false">T11/'Assumption Setting'!$C$82</f>
        <v>1.15950690322409</v>
      </c>
      <c r="U12" s="68" t="n">
        <f aca="false">U11/'Assumption Setting'!$C$82</f>
        <v>1.19094975675952</v>
      </c>
      <c r="V12" s="68" t="n">
        <f aca="false">V11/'Assumption Setting'!$C$82</f>
        <v>1.22132355327475</v>
      </c>
      <c r="W12" s="68" t="n">
        <f aca="false">W11/'Assumption Setting'!$C$82</f>
        <v>1.25066464070846</v>
      </c>
      <c r="X12" s="68" t="n">
        <f aca="false">X11/'Assumption Setting'!$C$82</f>
        <v>1.27900813116942</v>
      </c>
      <c r="Y12" s="68" t="n">
        <f aca="false">Y11/'Assumption Setting'!$C$82</f>
        <v>1.30638794295471</v>
      </c>
      <c r="Z12" s="68" t="n">
        <f aca="false">Z11/'Assumption Setting'!$C$82</f>
        <v>1.3328368411393</v>
      </c>
      <c r="AA12" s="68" t="n">
        <f aca="false">AA11/'Assumption Setting'!$C$82</f>
        <v>1.35838647678562</v>
      </c>
      <c r="AB12" s="65" t="n">
        <f aca="false">IFERROR(AVERAGE(AC12:AN12),0)</f>
        <v>2.48631929036593</v>
      </c>
      <c r="AC12" s="68" t="n">
        <f aca="false">AC11/'Assumption Setting'!$C$82</f>
        <v>1.53025349501081</v>
      </c>
      <c r="AD12" s="68" t="n">
        <f aca="false">AD11/'Assumption Setting'!$C$82</f>
        <v>2.30164536078332</v>
      </c>
      <c r="AE12" s="68" t="n">
        <f aca="false">AE11/'Assumption Setting'!$C$82</f>
        <v>2.36033793335182</v>
      </c>
      <c r="AF12" s="68" t="n">
        <f aca="false">AF11/'Assumption Setting'!$C$82</f>
        <v>2.42238683597874</v>
      </c>
      <c r="AG12" s="68" t="n">
        <f aca="false">AG11/'Assumption Setting'!$C$82</f>
        <v>2.47742864601617</v>
      </c>
      <c r="AH12" s="68" t="n">
        <f aca="false">AH11/'Assumption Setting'!$C$82</f>
        <v>2.53073113485642</v>
      </c>
      <c r="AI12" s="68" t="n">
        <f aca="false">AI11/'Assumption Setting'!$C$82</f>
        <v>2.58234926504931</v>
      </c>
      <c r="AJ12" s="68" t="n">
        <f aca="false">AJ11/'Assumption Setting'!$C$82</f>
        <v>2.63233626232811</v>
      </c>
      <c r="AK12" s="68" t="n">
        <f aca="false">AK11/'Assumption Setting'!$C$82</f>
        <v>2.6807436704929</v>
      </c>
      <c r="AL12" s="68" t="n">
        <f aca="false">AL11/'Assumption Setting'!$C$82</f>
        <v>2.72762140455969</v>
      </c>
      <c r="AM12" s="68" t="n">
        <f aca="false">AM11/'Assumption Setting'!$C$82</f>
        <v>2.77301780222996</v>
      </c>
      <c r="AN12" s="68" t="n">
        <f aca="false">AN11/'Assumption Setting'!$C$82</f>
        <v>2.81697967373385</v>
      </c>
      <c r="AO12" s="65" t="n">
        <f aca="false">IFERROR(AVERAGE(AP12:BA12),0)</f>
        <v>4.15481297943187</v>
      </c>
      <c r="AP12" s="68" t="n">
        <f aca="false">AP11/'Assumption Setting'!$C$82</f>
        <v>3.084520401637</v>
      </c>
      <c r="AQ12" s="68" t="n">
        <f aca="false">AQ11/'Assumption Setting'!$C$82</f>
        <v>3.90326373221768</v>
      </c>
      <c r="AR12" s="68" t="n">
        <f aca="false">AR11/'Assumption Setting'!$C$82</f>
        <v>3.97875707693688</v>
      </c>
      <c r="AS12" s="68" t="n">
        <f aca="false">AS11/'Assumption Setting'!$C$82</f>
        <v>4.05636990810323</v>
      </c>
      <c r="AT12" s="68" t="n">
        <f aca="false">AT11/'Assumption Setting'!$C$82</f>
        <v>4.12737230775151</v>
      </c>
      <c r="AU12" s="68" t="n">
        <f aca="false">AU11/'Assumption Setting'!$C$82</f>
        <v>4.19623043493042</v>
      </c>
      <c r="AV12" s="68" t="n">
        <f aca="false">AV11/'Assumption Setting'!$C$82</f>
        <v>4.26300904666852</v>
      </c>
      <c r="AW12" s="68" t="n">
        <f aca="false">AW11/'Assumption Setting'!$C$82</f>
        <v>4.32777094433213</v>
      </c>
      <c r="AX12" s="68" t="n">
        <f aca="false">AX11/'Assumption Setting'!$C$82</f>
        <v>4.39057703268629</v>
      </c>
      <c r="AY12" s="68" t="n">
        <f aca="false">AY11/'Assumption Setting'!$C$82</f>
        <v>4.45148637717217</v>
      </c>
      <c r="AZ12" s="68" t="n">
        <f aca="false">AZ11/'Assumption Setting'!$C$82</f>
        <v>4.51055625945457</v>
      </c>
      <c r="BA12" s="68" t="n">
        <f aca="false">BA11/'Assumption Setting'!$C$82</f>
        <v>4.56784223129204</v>
      </c>
      <c r="BB12" s="65" t="n">
        <f aca="false">IFERROR(AVERAGE(BC12:BN12),0)</f>
        <v>5.56031554088284</v>
      </c>
      <c r="BC12" s="68" t="n">
        <f aca="false">BC11/'Assumption Setting'!$C$82</f>
        <v>4.70799884940732</v>
      </c>
      <c r="BD12" s="68" t="n">
        <f aca="false">BD11/'Assumption Setting'!$C$82</f>
        <v>5.27177048019311</v>
      </c>
      <c r="BE12" s="68" t="n">
        <f aca="false">BE11/'Assumption Setting'!$C$82</f>
        <v>5.35083706632087</v>
      </c>
      <c r="BF12" s="68" t="n">
        <f aca="false">BF11/'Assumption Setting'!$C$82</f>
        <v>5.43173149960637</v>
      </c>
      <c r="BG12" s="68" t="n">
        <f aca="false">BG11/'Assumption Setting'!$C$82</f>
        <v>5.50624801243827</v>
      </c>
      <c r="BH12" s="68" t="n">
        <f aca="false">BH11/'Assumption Setting'!$C$82</f>
        <v>5.57858864309547</v>
      </c>
      <c r="BI12" s="68" t="n">
        <f aca="false">BI11/'Assumption Setting'!$C$82</f>
        <v>5.64881692733748</v>
      </c>
      <c r="BJ12" s="68" t="n">
        <f aca="false">BJ11/'Assumption Setting'!$C$82</f>
        <v>5.71699454567963</v>
      </c>
      <c r="BK12" s="68" t="n">
        <f aca="false">BK11/'Assumption Setting'!$C$82</f>
        <v>5.78318137756618</v>
      </c>
      <c r="BL12" s="68" t="n">
        <f aca="false">BL11/'Assumption Setting'!$C$82</f>
        <v>5.84743555396165</v>
      </c>
      <c r="BM12" s="68" t="n">
        <f aca="false">BM11/'Assumption Setting'!$C$82</f>
        <v>5.90981350840637</v>
      </c>
      <c r="BN12" s="68" t="n">
        <f aca="false">BN11/'Assumption Setting'!$C$82</f>
        <v>5.97037002658131</v>
      </c>
    </row>
    <row r="13" customFormat="false" ht="15" hidden="false" customHeight="false" outlineLevel="0" collapsed="false">
      <c r="A13" s="4" t="s">
        <v>738</v>
      </c>
      <c r="B13" s="65" t="n">
        <f aca="false">IFERROR(AVERAGE(C13:N13),0)</f>
        <v>1</v>
      </c>
      <c r="C13" s="66" t="n">
        <f aca="false">Payroll!C79</f>
        <v>1</v>
      </c>
      <c r="D13" s="66" t="n">
        <f aca="false">Payroll!D79</f>
        <v>1</v>
      </c>
      <c r="E13" s="66" t="n">
        <f aca="false">Payroll!E79</f>
        <v>1</v>
      </c>
      <c r="F13" s="66" t="n">
        <f aca="false">Payroll!F79</f>
        <v>1</v>
      </c>
      <c r="G13" s="66" t="n">
        <f aca="false">Payroll!G79</f>
        <v>1</v>
      </c>
      <c r="H13" s="66" t="n">
        <f aca="false">Payroll!H79</f>
        <v>1</v>
      </c>
      <c r="I13" s="66" t="n">
        <f aca="false">Payroll!I79</f>
        <v>1</v>
      </c>
      <c r="J13" s="66" t="n">
        <f aca="false">Payroll!J79</f>
        <v>1</v>
      </c>
      <c r="K13" s="66" t="n">
        <f aca="false">Payroll!K79</f>
        <v>1</v>
      </c>
      <c r="L13" s="66" t="n">
        <f aca="false">Payroll!L79</f>
        <v>1</v>
      </c>
      <c r="M13" s="66" t="n">
        <f aca="false">Payroll!M79</f>
        <v>1</v>
      </c>
      <c r="N13" s="66" t="n">
        <f aca="false">Payroll!N79</f>
        <v>1</v>
      </c>
      <c r="O13" s="65" t="n">
        <f aca="false">IFERROR(AVERAGE(P13:AA13),0)</f>
        <v>2</v>
      </c>
      <c r="P13" s="66" t="n">
        <f aca="false">Payroll!P79</f>
        <v>2</v>
      </c>
      <c r="Q13" s="66" t="n">
        <f aca="false">Payroll!Q79</f>
        <v>2</v>
      </c>
      <c r="R13" s="66" t="n">
        <f aca="false">Payroll!R79</f>
        <v>2</v>
      </c>
      <c r="S13" s="66" t="n">
        <f aca="false">Payroll!S79</f>
        <v>2</v>
      </c>
      <c r="T13" s="66" t="n">
        <f aca="false">Payroll!T79</f>
        <v>2</v>
      </c>
      <c r="U13" s="66" t="n">
        <f aca="false">Payroll!U79</f>
        <v>2</v>
      </c>
      <c r="V13" s="66" t="n">
        <f aca="false">Payroll!V79</f>
        <v>2</v>
      </c>
      <c r="W13" s="66" t="n">
        <f aca="false">Payroll!W79</f>
        <v>2</v>
      </c>
      <c r="X13" s="66" t="n">
        <f aca="false">Payroll!X79</f>
        <v>2</v>
      </c>
      <c r="Y13" s="66" t="n">
        <f aca="false">Payroll!Y79</f>
        <v>2</v>
      </c>
      <c r="Z13" s="66" t="n">
        <f aca="false">Payroll!Z79</f>
        <v>2</v>
      </c>
      <c r="AA13" s="66" t="n">
        <f aca="false">Payroll!AA79</f>
        <v>2</v>
      </c>
      <c r="AB13" s="65" t="n">
        <f aca="false">IFERROR(AVERAGE(AC13:AN13),0)</f>
        <v>3.5</v>
      </c>
      <c r="AC13" s="66" t="n">
        <f aca="false">Payroll!AC79</f>
        <v>3</v>
      </c>
      <c r="AD13" s="66" t="n">
        <f aca="false">Payroll!AD79</f>
        <v>3</v>
      </c>
      <c r="AE13" s="66" t="n">
        <f aca="false">Payroll!AE79</f>
        <v>3</v>
      </c>
      <c r="AF13" s="66" t="n">
        <f aca="false">Payroll!AF79</f>
        <v>3</v>
      </c>
      <c r="AG13" s="66" t="n">
        <f aca="false">Payroll!AG79</f>
        <v>3</v>
      </c>
      <c r="AH13" s="66" t="n">
        <f aca="false">Payroll!AH79</f>
        <v>3</v>
      </c>
      <c r="AI13" s="66" t="n">
        <f aca="false">Payroll!AI79</f>
        <v>4</v>
      </c>
      <c r="AJ13" s="66" t="n">
        <f aca="false">Payroll!AJ79</f>
        <v>4</v>
      </c>
      <c r="AK13" s="66" t="n">
        <f aca="false">Payroll!AK79</f>
        <v>4</v>
      </c>
      <c r="AL13" s="66" t="n">
        <f aca="false">Payroll!AL79</f>
        <v>4</v>
      </c>
      <c r="AM13" s="66" t="n">
        <f aca="false">Payroll!AM79</f>
        <v>4</v>
      </c>
      <c r="AN13" s="66" t="n">
        <f aca="false">Payroll!AN79</f>
        <v>4</v>
      </c>
      <c r="AO13" s="65" t="n">
        <f aca="false">IFERROR(AVERAGE(AP13:BA13),0)</f>
        <v>5.5</v>
      </c>
      <c r="AP13" s="66" t="n">
        <f aca="false">Payroll!AP79</f>
        <v>5</v>
      </c>
      <c r="AQ13" s="66" t="n">
        <f aca="false">Payroll!AQ79</f>
        <v>5</v>
      </c>
      <c r="AR13" s="66" t="n">
        <f aca="false">Payroll!AR79</f>
        <v>5</v>
      </c>
      <c r="AS13" s="66" t="n">
        <f aca="false">Payroll!AS79</f>
        <v>5</v>
      </c>
      <c r="AT13" s="66" t="n">
        <f aca="false">Payroll!AT79</f>
        <v>5</v>
      </c>
      <c r="AU13" s="66" t="n">
        <f aca="false">Payroll!AU79</f>
        <v>5</v>
      </c>
      <c r="AV13" s="66" t="n">
        <f aca="false">Payroll!AV79</f>
        <v>6</v>
      </c>
      <c r="AW13" s="66" t="n">
        <f aca="false">Payroll!AW79</f>
        <v>6</v>
      </c>
      <c r="AX13" s="66" t="n">
        <f aca="false">Payroll!AX79</f>
        <v>6</v>
      </c>
      <c r="AY13" s="66" t="n">
        <f aca="false">Payroll!AY79</f>
        <v>6</v>
      </c>
      <c r="AZ13" s="66" t="n">
        <f aca="false">Payroll!AZ79</f>
        <v>6</v>
      </c>
      <c r="BA13" s="66" t="n">
        <f aca="false">Payroll!BA79</f>
        <v>6</v>
      </c>
      <c r="BB13" s="65" t="n">
        <f aca="false">IFERROR(AVERAGE(BC13:BN13),0)</f>
        <v>7.5</v>
      </c>
      <c r="BC13" s="66" t="n">
        <f aca="false">Payroll!BC79</f>
        <v>7</v>
      </c>
      <c r="BD13" s="66" t="n">
        <f aca="false">Payroll!BD79</f>
        <v>7</v>
      </c>
      <c r="BE13" s="66" t="n">
        <f aca="false">Payroll!BE79</f>
        <v>7</v>
      </c>
      <c r="BF13" s="66" t="n">
        <f aca="false">Payroll!BF79</f>
        <v>7</v>
      </c>
      <c r="BG13" s="66" t="n">
        <f aca="false">Payroll!BG79</f>
        <v>7</v>
      </c>
      <c r="BH13" s="66" t="n">
        <f aca="false">Payroll!BH79</f>
        <v>7</v>
      </c>
      <c r="BI13" s="66" t="n">
        <f aca="false">Payroll!BI79</f>
        <v>8</v>
      </c>
      <c r="BJ13" s="66" t="n">
        <f aca="false">Payroll!BJ79</f>
        <v>8</v>
      </c>
      <c r="BK13" s="66" t="n">
        <f aca="false">Payroll!BK79</f>
        <v>8</v>
      </c>
      <c r="BL13" s="66" t="n">
        <f aca="false">Payroll!BL79</f>
        <v>8</v>
      </c>
      <c r="BM13" s="66" t="n">
        <f aca="false">Payroll!BM79</f>
        <v>8</v>
      </c>
      <c r="BN13" s="66" t="n">
        <f aca="false">Payroll!BN79</f>
        <v>8</v>
      </c>
    </row>
    <row r="14" customFormat="false" ht="15" hidden="false" customHeight="false" outlineLevel="0" collapsed="false">
      <c r="A14" s="4" t="s">
        <v>739</v>
      </c>
      <c r="B14" s="84" t="n">
        <f aca="false">SUM(C14:N14)</f>
        <v>0</v>
      </c>
      <c r="C14" s="74" t="n">
        <f aca="false">IF(C13&lt;C12,1,0)</f>
        <v>0</v>
      </c>
      <c r="D14" s="74" t="n">
        <f aca="false">IF(D13&lt;D12,1,0)</f>
        <v>0</v>
      </c>
      <c r="E14" s="74" t="n">
        <f aca="false">IF(E13&lt;E12,1,0)</f>
        <v>0</v>
      </c>
      <c r="F14" s="74" t="n">
        <f aca="false">IF(F13&lt;F12,1,0)</f>
        <v>0</v>
      </c>
      <c r="G14" s="74" t="n">
        <f aca="false">IF(G13&lt;G12,1,0)</f>
        <v>0</v>
      </c>
      <c r="H14" s="74" t="n">
        <f aca="false">IF(H13&lt;H12,1,0)</f>
        <v>0</v>
      </c>
      <c r="I14" s="74" t="n">
        <f aca="false">IF(I13&lt;I12,1,0)</f>
        <v>0</v>
      </c>
      <c r="J14" s="74" t="n">
        <f aca="false">IF(J13&lt;J12,1,0)</f>
        <v>0</v>
      </c>
      <c r="K14" s="74" t="n">
        <f aca="false">IF(K13&lt;K12,1,0)</f>
        <v>0</v>
      </c>
      <c r="L14" s="74" t="n">
        <f aca="false">IF(L13&lt;L12,1,0)</f>
        <v>0</v>
      </c>
      <c r="M14" s="74" t="n">
        <f aca="false">IF(M13&lt;M12,1,0)</f>
        <v>0</v>
      </c>
      <c r="N14" s="74" t="n">
        <f aca="false">IF(N13&lt;N12,1,0)</f>
        <v>0</v>
      </c>
      <c r="O14" s="84" t="n">
        <f aca="false">SUM(P14:AA14)</f>
        <v>0</v>
      </c>
      <c r="P14" s="74" t="n">
        <f aca="false">IF(P13&lt;P12,1,0)</f>
        <v>0</v>
      </c>
      <c r="Q14" s="74" t="n">
        <f aca="false">IF(Q13&lt;Q12,1,0)</f>
        <v>0</v>
      </c>
      <c r="R14" s="74" t="n">
        <f aca="false">IF(R13&lt;R12,1,0)</f>
        <v>0</v>
      </c>
      <c r="S14" s="74" t="n">
        <f aca="false">IF(S13&lt;S12,1,0)</f>
        <v>0</v>
      </c>
      <c r="T14" s="74" t="n">
        <f aca="false">IF(T13&lt;T12,1,0)</f>
        <v>0</v>
      </c>
      <c r="U14" s="74" t="n">
        <f aca="false">IF(U13&lt;U12,1,0)</f>
        <v>0</v>
      </c>
      <c r="V14" s="74" t="n">
        <f aca="false">IF(V13&lt;V12,1,0)</f>
        <v>0</v>
      </c>
      <c r="W14" s="74" t="n">
        <f aca="false">IF(W13&lt;W12,1,0)</f>
        <v>0</v>
      </c>
      <c r="X14" s="74" t="n">
        <f aca="false">IF(X13&lt;X12,1,0)</f>
        <v>0</v>
      </c>
      <c r="Y14" s="74" t="n">
        <f aca="false">IF(Y13&lt;Y12,1,0)</f>
        <v>0</v>
      </c>
      <c r="Z14" s="74" t="n">
        <f aca="false">IF(Z13&lt;Z12,1,0)</f>
        <v>0</v>
      </c>
      <c r="AA14" s="74" t="n">
        <f aca="false">IF(AA13&lt;AA12,1,0)</f>
        <v>0</v>
      </c>
      <c r="AB14" s="84" t="n">
        <f aca="false">SUM(AC14:AN14)</f>
        <v>0</v>
      </c>
      <c r="AC14" s="74" t="n">
        <f aca="false">IF(AC13&lt;AC12,1,0)</f>
        <v>0</v>
      </c>
      <c r="AD14" s="74" t="n">
        <f aca="false">IF(AD13&lt;AD12,1,0)</f>
        <v>0</v>
      </c>
      <c r="AE14" s="74" t="n">
        <f aca="false">IF(AE13&lt;AE12,1,0)</f>
        <v>0</v>
      </c>
      <c r="AF14" s="74" t="n">
        <f aca="false">IF(AF13&lt;AF12,1,0)</f>
        <v>0</v>
      </c>
      <c r="AG14" s="74" t="n">
        <f aca="false">IF(AG13&lt;AG12,1,0)</f>
        <v>0</v>
      </c>
      <c r="AH14" s="74" t="n">
        <f aca="false">IF(AH13&lt;AH12,1,0)</f>
        <v>0</v>
      </c>
      <c r="AI14" s="74" t="n">
        <f aca="false">IF(AI13&lt;AI12,1,0)</f>
        <v>0</v>
      </c>
      <c r="AJ14" s="74" t="n">
        <f aca="false">IF(AJ13&lt;AJ12,1,0)</f>
        <v>0</v>
      </c>
      <c r="AK14" s="74" t="n">
        <f aca="false">IF(AK13&lt;AK12,1,0)</f>
        <v>0</v>
      </c>
      <c r="AL14" s="74" t="n">
        <f aca="false">IF(AL13&lt;AL12,1,0)</f>
        <v>0</v>
      </c>
      <c r="AM14" s="74" t="n">
        <f aca="false">IF(AM13&lt;AM12,1,0)</f>
        <v>0</v>
      </c>
      <c r="AN14" s="74" t="n">
        <f aca="false">IF(AN13&lt;AN12,1,0)</f>
        <v>0</v>
      </c>
      <c r="AO14" s="84" t="n">
        <f aca="false">SUM(AP14:BA14)</f>
        <v>0</v>
      </c>
      <c r="AP14" s="74" t="n">
        <f aca="false">IF(AP13&lt;AP12,1,0)</f>
        <v>0</v>
      </c>
      <c r="AQ14" s="74" t="n">
        <f aca="false">IF(AQ13&lt;AQ12,1,0)</f>
        <v>0</v>
      </c>
      <c r="AR14" s="74" t="n">
        <f aca="false">IF(AR13&lt;AR12,1,0)</f>
        <v>0</v>
      </c>
      <c r="AS14" s="74" t="n">
        <f aca="false">IF(AS13&lt;AS12,1,0)</f>
        <v>0</v>
      </c>
      <c r="AT14" s="74" t="n">
        <f aca="false">IF(AT13&lt;AT12,1,0)</f>
        <v>0</v>
      </c>
      <c r="AU14" s="74" t="n">
        <f aca="false">IF(AU13&lt;AU12,1,0)</f>
        <v>0</v>
      </c>
      <c r="AV14" s="74" t="n">
        <f aca="false">IF(AV13&lt;AV12,1,0)</f>
        <v>0</v>
      </c>
      <c r="AW14" s="74" t="n">
        <f aca="false">IF(AW13&lt;AW12,1,0)</f>
        <v>0</v>
      </c>
      <c r="AX14" s="74" t="n">
        <f aca="false">IF(AX13&lt;AX12,1,0)</f>
        <v>0</v>
      </c>
      <c r="AY14" s="74" t="n">
        <f aca="false">IF(AY13&lt;AY12,1,0)</f>
        <v>0</v>
      </c>
      <c r="AZ14" s="74" t="n">
        <f aca="false">IF(AZ13&lt;AZ12,1,0)</f>
        <v>0</v>
      </c>
      <c r="BA14" s="74" t="n">
        <f aca="false">IF(BA13&lt;BA12,1,0)</f>
        <v>0</v>
      </c>
      <c r="BB14" s="84" t="n">
        <f aca="false">SUM(BC14:BN14)</f>
        <v>0</v>
      </c>
      <c r="BC14" s="74" t="n">
        <f aca="false">IF(BC13&lt;BC12,1,0)</f>
        <v>0</v>
      </c>
      <c r="BD14" s="74" t="n">
        <f aca="false">IF(BD13&lt;BD12,1,0)</f>
        <v>0</v>
      </c>
      <c r="BE14" s="74" t="n">
        <f aca="false">IF(BE13&lt;BE12,1,0)</f>
        <v>0</v>
      </c>
      <c r="BF14" s="74" t="n">
        <f aca="false">IF(BF13&lt;BF12,1,0)</f>
        <v>0</v>
      </c>
      <c r="BG14" s="74" t="n">
        <f aca="false">IF(BG13&lt;BG12,1,0)</f>
        <v>0</v>
      </c>
      <c r="BH14" s="74" t="n">
        <f aca="false">IF(BH13&lt;BH12,1,0)</f>
        <v>0</v>
      </c>
      <c r="BI14" s="74" t="n">
        <f aca="false">IF(BI13&lt;BI12,1,0)</f>
        <v>0</v>
      </c>
      <c r="BJ14" s="74" t="n">
        <f aca="false">IF(BJ13&lt;BJ12,1,0)</f>
        <v>0</v>
      </c>
      <c r="BK14" s="74" t="n">
        <f aca="false">IF(BK13&lt;BK12,1,0)</f>
        <v>0</v>
      </c>
      <c r="BL14" s="74" t="n">
        <f aca="false">IF(BL13&lt;BL12,1,0)</f>
        <v>0</v>
      </c>
      <c r="BM14" s="74" t="n">
        <f aca="false">IF(BM13&lt;BM12,1,0)</f>
        <v>0</v>
      </c>
      <c r="BN14" s="74" t="n">
        <f aca="false">IF(BN13&lt;BN12,1,0)</f>
        <v>0</v>
      </c>
    </row>
    <row r="16" customFormat="false" ht="15" hidden="false" customHeight="false" outlineLevel="0" collapsed="false">
      <c r="A16" s="4" t="s">
        <v>740</v>
      </c>
      <c r="B16" s="69" t="n">
        <f aca="false">SUM(C16:N16)</f>
        <v>2774.25296059984</v>
      </c>
      <c r="C16" s="72" t="n">
        <f aca="false">Acquisitions!C125*'Assumption Setting'!$C$83+Acquisitions!C126*'Assumption Setting'!$C$84</f>
        <v>9.90386441022727</v>
      </c>
      <c r="D16" s="72" t="n">
        <f aca="false">Acquisitions!D125*'Assumption Setting'!$C$83+Acquisitions!D126*'Assumption Setting'!$C$84</f>
        <v>42.1153612433988</v>
      </c>
      <c r="E16" s="72" t="n">
        <f aca="false">Acquisitions!E125*'Assumption Setting'!$C$83+Acquisitions!E126*'Assumption Setting'!$C$84</f>
        <v>86.3166525123866</v>
      </c>
      <c r="F16" s="72" t="n">
        <f aca="false">Acquisitions!F125*'Assumption Setting'!$C$83+Acquisitions!F126*'Assumption Setting'!$C$84</f>
        <v>129.794914244277</v>
      </c>
      <c r="G16" s="72" t="n">
        <f aca="false">Acquisitions!G125*'Assumption Setting'!$C$83+Acquisitions!G126*'Assumption Setting'!$C$84</f>
        <v>172.541872796867</v>
      </c>
      <c r="H16" s="72" t="n">
        <f aca="false">Acquisitions!H125*'Assumption Setting'!$C$83+Acquisitions!H126*'Assumption Setting'!$C$84</f>
        <v>214.442756547882</v>
      </c>
      <c r="I16" s="72" t="n">
        <f aca="false">Acquisitions!I125*'Assumption Setting'!$C$83+Acquisitions!I126*'Assumption Setting'!$C$84</f>
        <v>255.495372869624</v>
      </c>
      <c r="J16" s="72" t="n">
        <f aca="false">Acquisitions!J125*'Assumption Setting'!$C$83+Acquisitions!J126*'Assumption Setting'!$C$84</f>
        <v>295.699376717769</v>
      </c>
      <c r="K16" s="72" t="n">
        <f aca="false">Acquisitions!K125*'Assumption Setting'!$C$83+Acquisitions!K126*'Assumption Setting'!$C$84</f>
        <v>335.056099916371</v>
      </c>
      <c r="L16" s="72" t="n">
        <f aca="false">Acquisitions!L125*'Assumption Setting'!$C$83+Acquisitions!L126*'Assumption Setting'!$C$84</f>
        <v>373.568393026479</v>
      </c>
      <c r="M16" s="72" t="n">
        <f aca="false">Acquisitions!M125*'Assumption Setting'!$C$83+Acquisitions!M126*'Assumption Setting'!$C$84</f>
        <v>411.240478937434</v>
      </c>
      <c r="N16" s="72" t="n">
        <f aca="false">Acquisitions!N125*'Assumption Setting'!$C$83+Acquisitions!N126*'Assumption Setting'!$C$84</f>
        <v>448.077817377122</v>
      </c>
      <c r="O16" s="69" t="n">
        <f aca="false">SUM(P16:AA16)</f>
        <v>12392.5191323137</v>
      </c>
      <c r="P16" s="72" t="n">
        <f aca="false">Acquisitions!P125*'Assumption Setting'!$C$83+Acquisitions!P126*'Assumption Setting'!$C$84</f>
        <v>499.387669603276</v>
      </c>
      <c r="Q16" s="72" t="n">
        <f aca="false">Acquisitions!Q125*'Assumption Setting'!$C$83+Acquisitions!Q126*'Assumption Setting'!$C$84</f>
        <v>584.512376054304</v>
      </c>
      <c r="R16" s="72" t="n">
        <f aca="false">Acquisitions!R125*'Assumption Setting'!$C$83+Acquisitions!R126*'Assumption Setting'!$C$84</f>
        <v>687.887491398229</v>
      </c>
      <c r="S16" s="72" t="n">
        <f aca="false">Acquisitions!S125*'Assumption Setting'!$C$83+Acquisitions!S126*'Assumption Setting'!$C$84</f>
        <v>790.036339883261</v>
      </c>
      <c r="T16" s="72" t="n">
        <f aca="false">Acquisitions!T125*'Assumption Setting'!$C$83+Acquisitions!T126*'Assumption Setting'!$C$84</f>
        <v>890.928740844375</v>
      </c>
      <c r="U16" s="72" t="n">
        <f aca="false">Acquisitions!U125*'Assumption Setting'!$C$83+Acquisitions!U126*'Assumption Setting'!$C$84</f>
        <v>990.397538493454</v>
      </c>
      <c r="V16" s="72" t="n">
        <f aca="false">Acquisitions!V125*'Assumption Setting'!$C$83+Acquisitions!V126*'Assumption Setting'!$C$84</f>
        <v>1088.42236847705</v>
      </c>
      <c r="W16" s="72" t="n">
        <f aca="false">Acquisitions!W125*'Assumption Setting'!$C$83+Acquisitions!W126*'Assumption Setting'!$C$84</f>
        <v>1184.98641958473</v>
      </c>
      <c r="X16" s="72" t="n">
        <f aca="false">Acquisitions!X125*'Assumption Setting'!$C$83+Acquisitions!X126*'Assumption Setting'!$C$84</f>
        <v>1280.07617701471</v>
      </c>
      <c r="Y16" s="72" t="n">
        <f aca="false">Acquisitions!Y125*'Assumption Setting'!$C$83+Acquisitions!Y126*'Assumption Setting'!$C$84</f>
        <v>1373.68118136928</v>
      </c>
      <c r="Z16" s="72" t="n">
        <f aca="false">Acquisitions!Z125*'Assumption Setting'!$C$83+Acquisitions!Z126*'Assumption Setting'!$C$84</f>
        <v>1465.79380246848</v>
      </c>
      <c r="AA16" s="72" t="n">
        <f aca="false">Acquisitions!AA125*'Assumption Setting'!$C$83+Acquisitions!AA126*'Assumption Setting'!$C$84</f>
        <v>1556.40902712259</v>
      </c>
      <c r="AB16" s="69" t="n">
        <f aca="false">SUM(AC16:AN16)</f>
        <v>31683.3491363172</v>
      </c>
      <c r="AC16" s="72" t="n">
        <f aca="false">Acquisitions!AC125*'Assumption Setting'!$C$83+Acquisitions!AC126*'Assumption Setting'!$C$84</f>
        <v>1667.5182427161</v>
      </c>
      <c r="AD16" s="72" t="n">
        <f aca="false">Acquisitions!AD125*'Assumption Setting'!$C$83+Acquisitions!AD126*'Assumption Setting'!$C$84</f>
        <v>1827.27569438613</v>
      </c>
      <c r="AE16" s="72" t="n">
        <f aca="false">Acquisitions!AE125*'Assumption Setting'!$C$83+Acquisitions!AE126*'Assumption Setting'!$C$84</f>
        <v>2013.46585628438</v>
      </c>
      <c r="AF16" s="72" t="n">
        <f aca="false">Acquisitions!AF125*'Assumption Setting'!$C$83+Acquisitions!AF126*'Assumption Setting'!$C$84</f>
        <v>2197.87287526224</v>
      </c>
      <c r="AG16" s="72" t="n">
        <f aca="false">Acquisitions!AG125*'Assumption Setting'!$C$83+Acquisitions!AG126*'Assumption Setting'!$C$84</f>
        <v>2380.44381349368</v>
      </c>
      <c r="AH16" s="72" t="n">
        <f aca="false">Acquisitions!AH125*'Assumption Setting'!$C$83+Acquisitions!AH126*'Assumption Setting'!$C$84</f>
        <v>2560.94396911027</v>
      </c>
      <c r="AI16" s="72" t="n">
        <f aca="false">Acquisitions!AI125*'Assumption Setting'!$C$83+Acquisitions!AI126*'Assumption Setting'!$C$84</f>
        <v>2739.3337472428</v>
      </c>
      <c r="AJ16" s="72" t="n">
        <f aca="false">Acquisitions!AJ125*'Assumption Setting'!$C$83+Acquisitions!AJ126*'Assumption Setting'!$C$84</f>
        <v>2915.57864173262</v>
      </c>
      <c r="AK16" s="72" t="n">
        <f aca="false">Acquisitions!AK125*'Assumption Setting'!$C$83+Acquisitions!AK126*'Assumption Setting'!$C$84</f>
        <v>3089.64890843518</v>
      </c>
      <c r="AL16" s="72" t="n">
        <f aca="false">Acquisitions!AL125*'Assumption Setting'!$C$83+Acquisitions!AL126*'Assumption Setting'!$C$84</f>
        <v>3261.51925674757</v>
      </c>
      <c r="AM16" s="72" t="n">
        <f aca="false">Acquisitions!AM125*'Assumption Setting'!$C$83+Acquisitions!AM126*'Assumption Setting'!$C$84</f>
        <v>3431.16855838937</v>
      </c>
      <c r="AN16" s="72" t="n">
        <f aca="false">Acquisitions!AN125*'Assumption Setting'!$C$83+Acquisitions!AN126*'Assumption Setting'!$C$84</f>
        <v>3598.57957251684</v>
      </c>
      <c r="AO16" s="69" t="n">
        <f aca="false">SUM(AP16:BA16)</f>
        <v>62332.7042565875</v>
      </c>
      <c r="AP16" s="72" t="n">
        <f aca="false">Acquisitions!AP125*'Assumption Setting'!$C$83+Acquisitions!AP126*'Assumption Setting'!$C$84</f>
        <v>3787.58493472843</v>
      </c>
      <c r="AQ16" s="72" t="n">
        <f aca="false">Acquisitions!AQ125*'Assumption Setting'!$C$83+Acquisitions!AQ126*'Assumption Setting'!$C$84</f>
        <v>4027.46988487361</v>
      </c>
      <c r="AR16" s="72" t="n">
        <f aca="false">Acquisitions!AR125*'Assumption Setting'!$C$83+Acquisitions!AR126*'Assumption Setting'!$C$84</f>
        <v>4294.24418577779</v>
      </c>
      <c r="AS16" s="72" t="n">
        <f aca="false">Acquisitions!AS125*'Assumption Setting'!$C$83+Acquisitions!AS126*'Assumption Setting'!$C$84</f>
        <v>4558.59963228229</v>
      </c>
      <c r="AT16" s="72" t="n">
        <f aca="false">Acquisitions!AT125*'Assumption Setting'!$C$83+Acquisitions!AT126*'Assumption Setting'!$C$84</f>
        <v>4820.47510452859</v>
      </c>
      <c r="AU16" s="72" t="n">
        <f aca="false">Acquisitions!AU125*'Assumption Setting'!$C$83+Acquisitions!AU126*'Assumption Setting'!$C$84</f>
        <v>5079.6574320202</v>
      </c>
      <c r="AV16" s="72" t="n">
        <f aca="false">Acquisitions!AV125*'Assumption Setting'!$C$83+Acquisitions!AV126*'Assumption Setting'!$C$84</f>
        <v>5336.09930193106</v>
      </c>
      <c r="AW16" s="72" t="n">
        <f aca="false">Acquisitions!AW125*'Assumption Setting'!$C$83+Acquisitions!AW126*'Assumption Setting'!$C$84</f>
        <v>5589.75899123787</v>
      </c>
      <c r="AX16" s="72" t="n">
        <f aca="false">Acquisitions!AX125*'Assumption Setting'!$C$83+Acquisitions!AX126*'Assumption Setting'!$C$84</f>
        <v>5840.60003594358</v>
      </c>
      <c r="AY16" s="72" t="n">
        <f aca="false">Acquisitions!AY125*'Assumption Setting'!$C$83+Acquisitions!AY126*'Assumption Setting'!$C$84</f>
        <v>6088.59091732448</v>
      </c>
      <c r="AZ16" s="72" t="n">
        <f aca="false">Acquisitions!AZ125*'Assumption Setting'!$C$83+Acquisitions!AZ126*'Assumption Setting'!$C$84</f>
        <v>6333.70476436386</v>
      </c>
      <c r="BA16" s="72" t="n">
        <f aca="false">Acquisitions!BA125*'Assumption Setting'!$C$83+Acquisitions!BA126*'Assumption Setting'!$C$84</f>
        <v>6575.91907157577</v>
      </c>
      <c r="BB16" s="69" t="n">
        <f aca="false">SUM(BC16:BN16)</f>
        <v>101986.11410478</v>
      </c>
      <c r="BC16" s="72" t="n">
        <f aca="false">Acquisitions!BC125*'Assumption Setting'!$C$83+Acquisitions!BC126*'Assumption Setting'!$C$84</f>
        <v>6835.41710059912</v>
      </c>
      <c r="BD16" s="72" t="n">
        <f aca="false">Acquisitions!BD125*'Assumption Setting'!$C$83+Acquisitions!BD126*'Assumption Setting'!$C$84</f>
        <v>7131.29140997329</v>
      </c>
      <c r="BE16" s="72" t="n">
        <f aca="false">Acquisitions!BE125*'Assumption Setting'!$C$83+Acquisitions!BE126*'Assumption Setting'!$C$84</f>
        <v>7443.43710270045</v>
      </c>
      <c r="BF16" s="72" t="n">
        <f aca="false">Acquisitions!BF125*'Assumption Setting'!$C$83+Acquisitions!BF126*'Assumption Setting'!$C$84</f>
        <v>7752.96747649749</v>
      </c>
      <c r="BG16" s="72" t="n">
        <f aca="false">Acquisitions!BG125*'Assumption Setting'!$C$83+Acquisitions!BG126*'Assumption Setting'!$C$84</f>
        <v>8059.82112863058</v>
      </c>
      <c r="BH16" s="72" t="n">
        <f aca="false">Acquisitions!BH125*'Assumption Setting'!$C$83+Acquisitions!BH126*'Assumption Setting'!$C$84</f>
        <v>8363.79373739904</v>
      </c>
      <c r="BI16" s="72" t="n">
        <f aca="false">Acquisitions!BI125*'Assumption Setting'!$C$83+Acquisitions!BI126*'Assumption Setting'!$C$84</f>
        <v>8664.83680316435</v>
      </c>
      <c r="BJ16" s="72" t="n">
        <f aca="false">Acquisitions!BJ125*'Assumption Setting'!$C$83+Acquisitions!BJ126*'Assumption Setting'!$C$84</f>
        <v>8962.9071663981</v>
      </c>
      <c r="BK16" s="72" t="n">
        <f aca="false">Acquisitions!BK125*'Assumption Setting'!$C$83+Acquisitions!BK126*'Assumption Setting'!$C$84</f>
        <v>9257.96670950834</v>
      </c>
      <c r="BL16" s="72" t="n">
        <f aca="false">Acquisitions!BL125*'Assumption Setting'!$C$83+Acquisitions!BL126*'Assumption Setting'!$C$84</f>
        <v>9549.98207316764</v>
      </c>
      <c r="BM16" s="72" t="n">
        <f aca="false">Acquisitions!BM125*'Assumption Setting'!$C$83+Acquisitions!BM126*'Assumption Setting'!$C$84</f>
        <v>9838.92438646978</v>
      </c>
      <c r="BN16" s="72" t="n">
        <f aca="false">Acquisitions!BN125*'Assumption Setting'!$C$83+Acquisitions!BN126*'Assumption Setting'!$C$84</f>
        <v>10124.7690102722</v>
      </c>
    </row>
    <row r="17" customFormat="false" ht="15" hidden="false" customHeight="false" outlineLevel="0" collapsed="false">
      <c r="A17" s="4" t="s">
        <v>741</v>
      </c>
      <c r="B17" s="65" t="n">
        <f aca="false">IFERROR(AVERAGE(C17:N17),0)</f>
        <v>0.420341357666642</v>
      </c>
      <c r="C17" s="68" t="n">
        <f aca="false">C16/'Assumption Setting'!$C$85</f>
        <v>0.0180070262004132</v>
      </c>
      <c r="D17" s="68" t="n">
        <f aca="false">D16/'Assumption Setting'!$C$85</f>
        <v>0.0765733840789069</v>
      </c>
      <c r="E17" s="68" t="n">
        <f aca="false">E16/'Assumption Setting'!$C$85</f>
        <v>0.156939368204339</v>
      </c>
      <c r="F17" s="68" t="n">
        <f aca="false">F16/'Assumption Setting'!$C$85</f>
        <v>0.235990753171412</v>
      </c>
      <c r="G17" s="68" t="n">
        <f aca="false">G16/'Assumption Setting'!$C$85</f>
        <v>0.313712495994303</v>
      </c>
      <c r="H17" s="68" t="n">
        <f aca="false">H16/'Assumption Setting'!$C$85</f>
        <v>0.389895920996148</v>
      </c>
      <c r="I17" s="68" t="n">
        <f aca="false">I16/'Assumption Setting'!$C$85</f>
        <v>0.464537041581134</v>
      </c>
      <c r="J17" s="68" t="n">
        <f aca="false">J16/'Assumption Setting'!$C$85</f>
        <v>0.537635230395943</v>
      </c>
      <c r="K17" s="68" t="n">
        <f aca="false">K16/'Assumption Setting'!$C$85</f>
        <v>0.609192908938857</v>
      </c>
      <c r="L17" s="68" t="n">
        <f aca="false">L16/'Assumption Setting'!$C$85</f>
        <v>0.679215260048143</v>
      </c>
      <c r="M17" s="68" t="n">
        <f aca="false">M16/'Assumption Setting'!$C$85</f>
        <v>0.747709961704425</v>
      </c>
      <c r="N17" s="68" t="n">
        <f aca="false">N16/'Assumption Setting'!$C$85</f>
        <v>0.814686940685677</v>
      </c>
      <c r="O17" s="65" t="n">
        <f aca="false">IFERROR(AVERAGE(P17:AA17),0)</f>
        <v>1.87765441398693</v>
      </c>
      <c r="P17" s="68" t="n">
        <f aca="false">P16/'Assumption Setting'!$C$85</f>
        <v>0.907977581096865</v>
      </c>
      <c r="Q17" s="68" t="n">
        <f aca="false">Q16/'Assumption Setting'!$C$85</f>
        <v>1.06274977464419</v>
      </c>
      <c r="R17" s="68" t="n">
        <f aca="false">R16/'Assumption Setting'!$C$85</f>
        <v>1.25070452981496</v>
      </c>
      <c r="S17" s="68" t="n">
        <f aca="false">S16/'Assumption Setting'!$C$85</f>
        <v>1.43642970887866</v>
      </c>
      <c r="T17" s="68" t="n">
        <f aca="false">T16/'Assumption Setting'!$C$85</f>
        <v>1.61987043789886</v>
      </c>
      <c r="U17" s="68" t="n">
        <f aca="false">U16/'Assumption Setting'!$C$85</f>
        <v>1.80072279726083</v>
      </c>
      <c r="V17" s="68" t="n">
        <f aca="false">V16/'Assumption Setting'!$C$85</f>
        <v>1.97894976086737</v>
      </c>
      <c r="W17" s="68" t="n">
        <f aca="false">W16/'Assumption Setting'!$C$85</f>
        <v>2.15452076288133</v>
      </c>
      <c r="X17" s="68" t="n">
        <f aca="false">X16/'Assumption Setting'!$C$85</f>
        <v>2.32741123093584</v>
      </c>
      <c r="Y17" s="68" t="n">
        <f aca="false">Y16/'Assumption Setting'!$C$85</f>
        <v>2.49760214794415</v>
      </c>
      <c r="Z17" s="68" t="n">
        <f aca="false">Z16/'Assumption Setting'!$C$85</f>
        <v>2.66507964085178</v>
      </c>
      <c r="AA17" s="68" t="n">
        <f aca="false">AA16/'Assumption Setting'!$C$85</f>
        <v>2.82983459476835</v>
      </c>
      <c r="AB17" s="65" t="n">
        <f aca="false">IFERROR(AVERAGE(AC17:AN17),0)</f>
        <v>4.80050744489654</v>
      </c>
      <c r="AC17" s="68" t="n">
        <f aca="false">AC16/'Assumption Setting'!$C$85</f>
        <v>3.03185135039291</v>
      </c>
      <c r="AD17" s="68" t="n">
        <f aca="false">AD16/'Assumption Setting'!$C$85</f>
        <v>3.32231944433841</v>
      </c>
      <c r="AE17" s="68" t="n">
        <f aca="false">AE16/'Assumption Setting'!$C$85</f>
        <v>3.66084701142615</v>
      </c>
      <c r="AF17" s="68" t="n">
        <f aca="false">AF16/'Assumption Setting'!$C$85</f>
        <v>3.99613250047681</v>
      </c>
      <c r="AG17" s="68" t="n">
        <f aca="false">AG16/'Assumption Setting'!$C$85</f>
        <v>4.3280796608976</v>
      </c>
      <c r="AH17" s="68" t="n">
        <f aca="false">AH16/'Assumption Setting'!$C$85</f>
        <v>4.65626176201868</v>
      </c>
      <c r="AI17" s="68" t="n">
        <f aca="false">AI16/'Assumption Setting'!$C$85</f>
        <v>4.98060681316872</v>
      </c>
      <c r="AJ17" s="68" t="n">
        <f aca="false">AJ16/'Assumption Setting'!$C$85</f>
        <v>5.30105207587749</v>
      </c>
      <c r="AK17" s="68" t="n">
        <f aca="false">AK16/'Assumption Setting'!$C$85</f>
        <v>5.61754346988215</v>
      </c>
      <c r="AL17" s="68" t="n">
        <f aca="false">AL16/'Assumption Setting'!$C$85</f>
        <v>5.93003501226831</v>
      </c>
      <c r="AM17" s="68" t="n">
        <f aca="false">AM16/'Assumption Setting'!$C$85</f>
        <v>6.23848828798066</v>
      </c>
      <c r="AN17" s="68" t="n">
        <f aca="false">AN16/'Assumption Setting'!$C$85</f>
        <v>6.54287195003062</v>
      </c>
      <c r="AO17" s="65" t="n">
        <f aca="false">IFERROR(AVERAGE(AP17:BA17),0)</f>
        <v>9.44434912978599</v>
      </c>
      <c r="AP17" s="68" t="n">
        <f aca="false">AP16/'Assumption Setting'!$C$85</f>
        <v>6.8865180631426</v>
      </c>
      <c r="AQ17" s="68" t="n">
        <f aca="false">AQ16/'Assumption Setting'!$C$85</f>
        <v>7.32267251795202</v>
      </c>
      <c r="AR17" s="68" t="n">
        <f aca="false">AR16/'Assumption Setting'!$C$85</f>
        <v>7.80771670141416</v>
      </c>
      <c r="AS17" s="68" t="n">
        <f aca="false">AS16/'Assumption Setting'!$C$85</f>
        <v>8.28836296778598</v>
      </c>
      <c r="AT17" s="68" t="n">
        <f aca="false">AT16/'Assumption Setting'!$C$85</f>
        <v>8.76450019005198</v>
      </c>
      <c r="AU17" s="68" t="n">
        <f aca="false">AU16/'Assumption Setting'!$C$85</f>
        <v>9.23574078549128</v>
      </c>
      <c r="AV17" s="68" t="n">
        <f aca="false">AV16/'Assumption Setting'!$C$85</f>
        <v>9.70199873078374</v>
      </c>
      <c r="AW17" s="68" t="n">
        <f aca="false">AW16/'Assumption Setting'!$C$85</f>
        <v>10.163198165887</v>
      </c>
      <c r="AX17" s="68" t="n">
        <f aca="false">AX16/'Assumption Setting'!$C$85</f>
        <v>10.6192727926247</v>
      </c>
      <c r="AY17" s="68" t="n">
        <f aca="false">AY16/'Assumption Setting'!$C$85</f>
        <v>11.0701653042263</v>
      </c>
      <c r="AZ17" s="68" t="n">
        <f aca="false">AZ16/'Assumption Setting'!$C$85</f>
        <v>11.5158268442979</v>
      </c>
      <c r="BA17" s="68" t="n">
        <f aca="false">BA16/'Assumption Setting'!$C$85</f>
        <v>11.9562164937741</v>
      </c>
      <c r="BB17" s="65" t="n">
        <f aca="false">IFERROR(AVERAGE(BC17:BN17),0)</f>
        <v>15.4524415310273</v>
      </c>
      <c r="BC17" s="68" t="n">
        <f aca="false">BC16/'Assumption Setting'!$C$85</f>
        <v>12.4280310919984</v>
      </c>
      <c r="BD17" s="68" t="n">
        <f aca="false">BD16/'Assumption Setting'!$C$85</f>
        <v>12.9659843817696</v>
      </c>
      <c r="BE17" s="68" t="n">
        <f aca="false">BE16/'Assumption Setting'!$C$85</f>
        <v>13.5335220049099</v>
      </c>
      <c r="BF17" s="68" t="n">
        <f aca="false">BF16/'Assumption Setting'!$C$85</f>
        <v>14.0963045027227</v>
      </c>
      <c r="BG17" s="68" t="n">
        <f aca="false">BG16/'Assumption Setting'!$C$85</f>
        <v>14.6542202338738</v>
      </c>
      <c r="BH17" s="68" t="n">
        <f aca="false">BH16/'Assumption Setting'!$C$85</f>
        <v>15.2068977043619</v>
      </c>
      <c r="BI17" s="68" t="n">
        <f aca="false">BI16/'Assumption Setting'!$C$85</f>
        <v>15.7542487330261</v>
      </c>
      <c r="BJ17" s="68" t="n">
        <f aca="false">BJ16/'Assumption Setting'!$C$85</f>
        <v>16.2961948479966</v>
      </c>
      <c r="BK17" s="68" t="n">
        <f aca="false">BK16/'Assumption Setting'!$C$85</f>
        <v>16.8326667445606</v>
      </c>
      <c r="BL17" s="68" t="n">
        <f aca="false">BL16/'Assumption Setting'!$C$85</f>
        <v>17.3636037693957</v>
      </c>
      <c r="BM17" s="68" t="n">
        <f aca="false">BM16/'Assumption Setting'!$C$85</f>
        <v>17.8889534299451</v>
      </c>
      <c r="BN17" s="68" t="n">
        <f aca="false">BN16/'Assumption Setting'!$C$85</f>
        <v>18.4086709277676</v>
      </c>
    </row>
    <row r="18" customFormat="false" ht="15" hidden="false" customHeight="false" outlineLevel="0" collapsed="false">
      <c r="A18" s="4" t="s">
        <v>742</v>
      </c>
      <c r="B18" s="65" t="n">
        <f aca="false">IFERROR(AVERAGE(C18:N18),0)</f>
        <v>1</v>
      </c>
      <c r="C18" s="66" t="n">
        <f aca="false">Payroll!C80</f>
        <v>1</v>
      </c>
      <c r="D18" s="66" t="n">
        <f aca="false">Payroll!D80</f>
        <v>1</v>
      </c>
      <c r="E18" s="66" t="n">
        <f aca="false">Payroll!E80</f>
        <v>1</v>
      </c>
      <c r="F18" s="66" t="n">
        <f aca="false">Payroll!F80</f>
        <v>1</v>
      </c>
      <c r="G18" s="66" t="n">
        <f aca="false">Payroll!G80</f>
        <v>1</v>
      </c>
      <c r="H18" s="66" t="n">
        <f aca="false">Payroll!H80</f>
        <v>1</v>
      </c>
      <c r="I18" s="66" t="n">
        <f aca="false">Payroll!I80</f>
        <v>1</v>
      </c>
      <c r="J18" s="66" t="n">
        <f aca="false">Payroll!J80</f>
        <v>1</v>
      </c>
      <c r="K18" s="66" t="n">
        <f aca="false">Payroll!K80</f>
        <v>1</v>
      </c>
      <c r="L18" s="66" t="n">
        <f aca="false">Payroll!L80</f>
        <v>1</v>
      </c>
      <c r="M18" s="66" t="n">
        <f aca="false">Payroll!M80</f>
        <v>1</v>
      </c>
      <c r="N18" s="66" t="n">
        <f aca="false">Payroll!N80</f>
        <v>1</v>
      </c>
      <c r="O18" s="65" t="n">
        <f aca="false">IFERROR(AVERAGE(P18:AA18),0)</f>
        <v>3</v>
      </c>
      <c r="P18" s="66" t="n">
        <f aca="false">Payroll!P80</f>
        <v>2</v>
      </c>
      <c r="Q18" s="66" t="n">
        <f aca="false">Payroll!Q80</f>
        <v>2</v>
      </c>
      <c r="R18" s="66" t="n">
        <f aca="false">Payroll!R80</f>
        <v>2</v>
      </c>
      <c r="S18" s="66" t="n">
        <f aca="false">Payroll!S80</f>
        <v>2</v>
      </c>
      <c r="T18" s="66" t="n">
        <f aca="false">Payroll!T80</f>
        <v>3</v>
      </c>
      <c r="U18" s="66" t="n">
        <f aca="false">Payroll!U80</f>
        <v>3</v>
      </c>
      <c r="V18" s="66" t="n">
        <f aca="false">Payroll!V80</f>
        <v>3</v>
      </c>
      <c r="W18" s="66" t="n">
        <f aca="false">Payroll!W80</f>
        <v>3</v>
      </c>
      <c r="X18" s="66" t="n">
        <f aca="false">Payroll!X80</f>
        <v>4</v>
      </c>
      <c r="Y18" s="66" t="n">
        <f aca="false">Payroll!Y80</f>
        <v>4</v>
      </c>
      <c r="Z18" s="66" t="n">
        <f aca="false">Payroll!Z80</f>
        <v>4</v>
      </c>
      <c r="AA18" s="66" t="n">
        <f aca="false">Payroll!AA80</f>
        <v>4</v>
      </c>
      <c r="AB18" s="65" t="n">
        <f aca="false">IFERROR(AVERAGE(AC18:AN18),0)</f>
        <v>6.5</v>
      </c>
      <c r="AC18" s="66" t="n">
        <f aca="false">Payroll!AC80</f>
        <v>5</v>
      </c>
      <c r="AD18" s="66" t="n">
        <f aca="false">Payroll!AD80</f>
        <v>5</v>
      </c>
      <c r="AE18" s="66" t="n">
        <f aca="false">Payroll!AE80</f>
        <v>5</v>
      </c>
      <c r="AF18" s="66" t="n">
        <f aca="false">Payroll!AF80</f>
        <v>6</v>
      </c>
      <c r="AG18" s="66" t="n">
        <f aca="false">Payroll!AG80</f>
        <v>6</v>
      </c>
      <c r="AH18" s="66" t="n">
        <f aca="false">Payroll!AH80</f>
        <v>6</v>
      </c>
      <c r="AI18" s="66" t="n">
        <f aca="false">Payroll!AI80</f>
        <v>7</v>
      </c>
      <c r="AJ18" s="66" t="n">
        <f aca="false">Payroll!AJ80</f>
        <v>7</v>
      </c>
      <c r="AK18" s="66" t="n">
        <f aca="false">Payroll!AK80</f>
        <v>7</v>
      </c>
      <c r="AL18" s="66" t="n">
        <f aca="false">Payroll!AL80</f>
        <v>8</v>
      </c>
      <c r="AM18" s="66" t="n">
        <f aca="false">Payroll!AM80</f>
        <v>8</v>
      </c>
      <c r="AN18" s="66" t="n">
        <f aca="false">Payroll!AN80</f>
        <v>8</v>
      </c>
      <c r="AO18" s="65" t="n">
        <f aca="false">IFERROR(AVERAGE(AP18:BA18),0)</f>
        <v>12.25</v>
      </c>
      <c r="AP18" s="66" t="n">
        <f aca="false">Payroll!AP80</f>
        <v>9</v>
      </c>
      <c r="AQ18" s="66" t="n">
        <f aca="false">Payroll!AQ80</f>
        <v>10</v>
      </c>
      <c r="AR18" s="66" t="n">
        <f aca="false">Payroll!AR80</f>
        <v>10</v>
      </c>
      <c r="AS18" s="66" t="n">
        <f aca="false">Payroll!AS80</f>
        <v>11</v>
      </c>
      <c r="AT18" s="66" t="n">
        <f aca="false">Payroll!AT80</f>
        <v>11</v>
      </c>
      <c r="AU18" s="66" t="n">
        <f aca="false">Payroll!AU80</f>
        <v>12</v>
      </c>
      <c r="AV18" s="66" t="n">
        <f aca="false">Payroll!AV80</f>
        <v>13</v>
      </c>
      <c r="AW18" s="66" t="n">
        <f aca="false">Payroll!AW80</f>
        <v>13</v>
      </c>
      <c r="AX18" s="66" t="n">
        <f aca="false">Payroll!AX80</f>
        <v>14</v>
      </c>
      <c r="AY18" s="66" t="n">
        <f aca="false">Payroll!AY80</f>
        <v>14</v>
      </c>
      <c r="AZ18" s="66" t="n">
        <f aca="false">Payroll!AZ80</f>
        <v>15</v>
      </c>
      <c r="BA18" s="66" t="n">
        <f aca="false">Payroll!BA80</f>
        <v>15</v>
      </c>
      <c r="BB18" s="65" t="n">
        <f aca="false">IFERROR(AVERAGE(BC18:BN18),0)</f>
        <v>20.25</v>
      </c>
      <c r="BC18" s="66" t="n">
        <f aca="false">Payroll!BC80</f>
        <v>16</v>
      </c>
      <c r="BD18" s="66" t="n">
        <f aca="false">Payroll!BD80</f>
        <v>17</v>
      </c>
      <c r="BE18" s="66" t="n">
        <f aca="false">Payroll!BE80</f>
        <v>18</v>
      </c>
      <c r="BF18" s="66" t="n">
        <f aca="false">Payroll!BF80</f>
        <v>18</v>
      </c>
      <c r="BG18" s="66" t="n">
        <f aca="false">Payroll!BG80</f>
        <v>19</v>
      </c>
      <c r="BH18" s="66" t="n">
        <f aca="false">Payroll!BH80</f>
        <v>20</v>
      </c>
      <c r="BI18" s="66" t="n">
        <f aca="false">Payroll!BI80</f>
        <v>21</v>
      </c>
      <c r="BJ18" s="66" t="n">
        <f aca="false">Payroll!BJ80</f>
        <v>21</v>
      </c>
      <c r="BK18" s="66" t="n">
        <f aca="false">Payroll!BK80</f>
        <v>22</v>
      </c>
      <c r="BL18" s="66" t="n">
        <f aca="false">Payroll!BL80</f>
        <v>23</v>
      </c>
      <c r="BM18" s="66" t="n">
        <f aca="false">Payroll!BM80</f>
        <v>24</v>
      </c>
      <c r="BN18" s="66" t="n">
        <f aca="false">Payroll!BN80</f>
        <v>24</v>
      </c>
    </row>
    <row r="19" customFormat="false" ht="15" hidden="false" customHeight="false" outlineLevel="0" collapsed="false">
      <c r="A19" s="4" t="s">
        <v>743</v>
      </c>
      <c r="B19" s="84" t="n">
        <f aca="false">SUM(C19:N19)</f>
        <v>0</v>
      </c>
      <c r="C19" s="74" t="n">
        <f aca="false">IF(C18&lt;C17,1,0)</f>
        <v>0</v>
      </c>
      <c r="D19" s="74" t="n">
        <f aca="false">IF(D18&lt;D17,1,0)</f>
        <v>0</v>
      </c>
      <c r="E19" s="74" t="n">
        <f aca="false">IF(E18&lt;E17,1,0)</f>
        <v>0</v>
      </c>
      <c r="F19" s="74" t="n">
        <f aca="false">IF(F18&lt;F17,1,0)</f>
        <v>0</v>
      </c>
      <c r="G19" s="74" t="n">
        <f aca="false">IF(G18&lt;G17,1,0)</f>
        <v>0</v>
      </c>
      <c r="H19" s="74" t="n">
        <f aca="false">IF(H18&lt;H17,1,0)</f>
        <v>0</v>
      </c>
      <c r="I19" s="74" t="n">
        <f aca="false">IF(I18&lt;I17,1,0)</f>
        <v>0</v>
      </c>
      <c r="J19" s="74" t="n">
        <f aca="false">IF(J18&lt;J17,1,0)</f>
        <v>0</v>
      </c>
      <c r="K19" s="74" t="n">
        <f aca="false">IF(K18&lt;K17,1,0)</f>
        <v>0</v>
      </c>
      <c r="L19" s="74" t="n">
        <f aca="false">IF(L18&lt;L17,1,0)</f>
        <v>0</v>
      </c>
      <c r="M19" s="74" t="n">
        <f aca="false">IF(M18&lt;M17,1,0)</f>
        <v>0</v>
      </c>
      <c r="N19" s="74" t="n">
        <f aca="false">IF(N18&lt;N17,1,0)</f>
        <v>0</v>
      </c>
      <c r="O19" s="84" t="n">
        <f aca="false">SUM(P19:AA19)</f>
        <v>0</v>
      </c>
      <c r="P19" s="74" t="n">
        <f aca="false">IF(P18&lt;P17,1,0)</f>
        <v>0</v>
      </c>
      <c r="Q19" s="74" t="n">
        <f aca="false">IF(Q18&lt;Q17,1,0)</f>
        <v>0</v>
      </c>
      <c r="R19" s="74" t="n">
        <f aca="false">IF(R18&lt;R17,1,0)</f>
        <v>0</v>
      </c>
      <c r="S19" s="74" t="n">
        <f aca="false">IF(S18&lt;S17,1,0)</f>
        <v>0</v>
      </c>
      <c r="T19" s="74" t="n">
        <f aca="false">IF(T18&lt;T17,1,0)</f>
        <v>0</v>
      </c>
      <c r="U19" s="74" t="n">
        <f aca="false">IF(U18&lt;U17,1,0)</f>
        <v>0</v>
      </c>
      <c r="V19" s="74" t="n">
        <f aca="false">IF(V18&lt;V17,1,0)</f>
        <v>0</v>
      </c>
      <c r="W19" s="74" t="n">
        <f aca="false">IF(W18&lt;W17,1,0)</f>
        <v>0</v>
      </c>
      <c r="X19" s="74" t="n">
        <f aca="false">IF(X18&lt;X17,1,0)</f>
        <v>0</v>
      </c>
      <c r="Y19" s="74" t="n">
        <f aca="false">IF(Y18&lt;Y17,1,0)</f>
        <v>0</v>
      </c>
      <c r="Z19" s="74" t="n">
        <f aca="false">IF(Z18&lt;Z17,1,0)</f>
        <v>0</v>
      </c>
      <c r="AA19" s="74" t="n">
        <f aca="false">IF(AA18&lt;AA17,1,0)</f>
        <v>0</v>
      </c>
      <c r="AB19" s="84" t="n">
        <f aca="false">SUM(AC19:AN19)</f>
        <v>0</v>
      </c>
      <c r="AC19" s="74" t="n">
        <f aca="false">IF(AC18&lt;AC17,1,0)</f>
        <v>0</v>
      </c>
      <c r="AD19" s="74" t="n">
        <f aca="false">IF(AD18&lt;AD17,1,0)</f>
        <v>0</v>
      </c>
      <c r="AE19" s="74" t="n">
        <f aca="false">IF(AE18&lt;AE17,1,0)</f>
        <v>0</v>
      </c>
      <c r="AF19" s="74" t="n">
        <f aca="false">IF(AF18&lt;AF17,1,0)</f>
        <v>0</v>
      </c>
      <c r="AG19" s="74" t="n">
        <f aca="false">IF(AG18&lt;AG17,1,0)</f>
        <v>0</v>
      </c>
      <c r="AH19" s="74" t="n">
        <f aca="false">IF(AH18&lt;AH17,1,0)</f>
        <v>0</v>
      </c>
      <c r="AI19" s="74" t="n">
        <f aca="false">IF(AI18&lt;AI17,1,0)</f>
        <v>0</v>
      </c>
      <c r="AJ19" s="74" t="n">
        <f aca="false">IF(AJ18&lt;AJ17,1,0)</f>
        <v>0</v>
      </c>
      <c r="AK19" s="74" t="n">
        <f aca="false">IF(AK18&lt;AK17,1,0)</f>
        <v>0</v>
      </c>
      <c r="AL19" s="74" t="n">
        <f aca="false">IF(AL18&lt;AL17,1,0)</f>
        <v>0</v>
      </c>
      <c r="AM19" s="74" t="n">
        <f aca="false">IF(AM18&lt;AM17,1,0)</f>
        <v>0</v>
      </c>
      <c r="AN19" s="74" t="n">
        <f aca="false">IF(AN18&lt;AN17,1,0)</f>
        <v>0</v>
      </c>
      <c r="AO19" s="84" t="n">
        <f aca="false">SUM(AP19:BA19)</f>
        <v>0</v>
      </c>
      <c r="AP19" s="74" t="n">
        <f aca="false">IF(AP18&lt;AP17,1,0)</f>
        <v>0</v>
      </c>
      <c r="AQ19" s="74" t="n">
        <f aca="false">IF(AQ18&lt;AQ17,1,0)</f>
        <v>0</v>
      </c>
      <c r="AR19" s="74" t="n">
        <f aca="false">IF(AR18&lt;AR17,1,0)</f>
        <v>0</v>
      </c>
      <c r="AS19" s="74" t="n">
        <f aca="false">IF(AS18&lt;AS17,1,0)</f>
        <v>0</v>
      </c>
      <c r="AT19" s="74" t="n">
        <f aca="false">IF(AT18&lt;AT17,1,0)</f>
        <v>0</v>
      </c>
      <c r="AU19" s="74" t="n">
        <f aca="false">IF(AU18&lt;AU17,1,0)</f>
        <v>0</v>
      </c>
      <c r="AV19" s="74" t="n">
        <f aca="false">IF(AV18&lt;AV17,1,0)</f>
        <v>0</v>
      </c>
      <c r="AW19" s="74" t="n">
        <f aca="false">IF(AW18&lt;AW17,1,0)</f>
        <v>0</v>
      </c>
      <c r="AX19" s="74" t="n">
        <f aca="false">IF(AX18&lt;AX17,1,0)</f>
        <v>0</v>
      </c>
      <c r="AY19" s="74" t="n">
        <f aca="false">IF(AY18&lt;AY17,1,0)</f>
        <v>0</v>
      </c>
      <c r="AZ19" s="74" t="n">
        <f aca="false">IF(AZ18&lt;AZ17,1,0)</f>
        <v>0</v>
      </c>
      <c r="BA19" s="74" t="n">
        <f aca="false">IF(BA18&lt;BA17,1,0)</f>
        <v>0</v>
      </c>
      <c r="BB19" s="84" t="n">
        <f aca="false">SUM(BC19:BN19)</f>
        <v>0</v>
      </c>
      <c r="BC19" s="74" t="n">
        <f aca="false">IF(BC18&lt;BC17,1,0)</f>
        <v>0</v>
      </c>
      <c r="BD19" s="74" t="n">
        <f aca="false">IF(BD18&lt;BD17,1,0)</f>
        <v>0</v>
      </c>
      <c r="BE19" s="74" t="n">
        <f aca="false">IF(BE18&lt;BE17,1,0)</f>
        <v>0</v>
      </c>
      <c r="BF19" s="74" t="n">
        <f aca="false">IF(BF18&lt;BF17,1,0)</f>
        <v>0</v>
      </c>
      <c r="BG19" s="74" t="n">
        <f aca="false">IF(BG18&lt;BG17,1,0)</f>
        <v>0</v>
      </c>
      <c r="BH19" s="74" t="n">
        <f aca="false">IF(BH18&lt;BH17,1,0)</f>
        <v>0</v>
      </c>
      <c r="BI19" s="74" t="n">
        <f aca="false">IF(BI18&lt;BI17,1,0)</f>
        <v>0</v>
      </c>
      <c r="BJ19" s="74" t="n">
        <f aca="false">IF(BJ18&lt;BJ17,1,0)</f>
        <v>0</v>
      </c>
      <c r="BK19" s="74" t="n">
        <f aca="false">IF(BK18&lt;BK17,1,0)</f>
        <v>0</v>
      </c>
      <c r="BL19" s="74" t="n">
        <f aca="false">IF(BL18&lt;BL17,1,0)</f>
        <v>0</v>
      </c>
      <c r="BM19" s="74" t="n">
        <f aca="false">IF(BM18&lt;BM17,1,0)</f>
        <v>0</v>
      </c>
      <c r="BN19" s="74" t="n">
        <f aca="false">IF(BN18&lt;BN17,1,0)</f>
        <v>0</v>
      </c>
    </row>
    <row r="21" customFormat="false" ht="15" hidden="false" customHeight="false" outlineLevel="0" collapsed="false">
      <c r="A21" s="4" t="s">
        <v>744</v>
      </c>
      <c r="B21" s="65" t="n">
        <f aca="false">IFERROR(AVERAGE(C21:N21),0)</f>
        <v>0.269432138763783</v>
      </c>
      <c r="C21" s="68" t="n">
        <f aca="false">Acquisitions!C124/'Assumption Setting'!$C$86</f>
        <v>0</v>
      </c>
      <c r="D21" s="68" t="n">
        <f aca="false">Acquisitions!D124/'Assumption Setting'!$C$86</f>
        <v>0.0493860487989646</v>
      </c>
      <c r="E21" s="68" t="n">
        <f aca="false">Acquisitions!E124/'Assumption Setting'!$C$86</f>
        <v>0.0987200046079671</v>
      </c>
      <c r="F21" s="68" t="n">
        <f aca="false">Acquisitions!F124/'Assumption Setting'!$C$86</f>
        <v>0.148374788761784</v>
      </c>
      <c r="G21" s="68" t="n">
        <f aca="false">Acquisitions!G124/'Assumption Setting'!$C$86</f>
        <v>0.1978170022529</v>
      </c>
      <c r="H21" s="68" t="n">
        <f aca="false">Acquisitions!H124/'Assumption Setting'!$C$86</f>
        <v>0.246980663392335</v>
      </c>
      <c r="I21" s="68" t="n">
        <f aca="false">Acquisitions!I124/'Assumption Setting'!$C$86</f>
        <v>0.29580610507583</v>
      </c>
      <c r="J21" s="68" t="n">
        <f aca="false">Acquisitions!J124/'Assumption Setting'!$C$86</f>
        <v>0.344239517971689</v>
      </c>
      <c r="K21" s="68" t="n">
        <f aca="false">Acquisitions!K124/'Assumption Setting'!$C$86</f>
        <v>0.39223252421528</v>
      </c>
      <c r="L21" s="68" t="n">
        <f aca="false">Acquisitions!L124/'Assumption Setting'!$C$86</f>
        <v>0.439741779625898</v>
      </c>
      <c r="M21" s="68" t="n">
        <f aca="false">Acquisitions!M124/'Assumption Setting'!$C$86</f>
        <v>0.486728602589783</v>
      </c>
      <c r="N21" s="68" t="n">
        <f aca="false">Acquisitions!N124/'Assumption Setting'!$C$86</f>
        <v>0.533158627872962</v>
      </c>
      <c r="O21" s="65" t="n">
        <f aca="false">IFERROR(AVERAGE(P21:AA21),0)</f>
        <v>1.33049166112031</v>
      </c>
      <c r="P21" s="68" t="n">
        <f aca="false">Acquisitions!P124/'Assumption Setting'!$C$86</f>
        <v>0.592206098798154</v>
      </c>
      <c r="Q21" s="68" t="n">
        <f aca="false">Acquisitions!Q124/'Assumption Setting'!$C$86</f>
        <v>0.727226746297923</v>
      </c>
      <c r="R21" s="68" t="n">
        <f aca="false">Acquisitions!R124/'Assumption Setting'!$C$86</f>
        <v>0.862210028989896</v>
      </c>
      <c r="S21" s="68" t="n">
        <f aca="false">Acquisitions!S124/'Assumption Setting'!$C$86</f>
        <v>0.997585905624818</v>
      </c>
      <c r="T21" s="68" t="n">
        <f aca="false">Acquisitions!T124/'Assumption Setting'!$C$86</f>
        <v>1.13261286575206</v>
      </c>
      <c r="U21" s="68" t="n">
        <f aca="false">Acquisitions!U124/'Assumption Setting'!$C$86</f>
        <v>1.26715645560642</v>
      </c>
      <c r="V21" s="68" t="n">
        <f aca="false">Acquisitions!V124/'Assumption Setting'!$C$86</f>
        <v>1.40109289809507</v>
      </c>
      <c r="W21" s="68" t="n">
        <f aca="false">Acquisitions!W124/'Assumption Setting'!$C$86</f>
        <v>1.53430843911443</v>
      </c>
      <c r="X21" s="68" t="n">
        <f aca="false">Acquisitions!X124/'Assumption Setting'!$C$86</f>
        <v>1.66669873108035</v>
      </c>
      <c r="Y21" s="68" t="n">
        <f aca="false">Acquisitions!Y124/'Assumption Setting'!$C$86</f>
        <v>1.79816825159988</v>
      </c>
      <c r="Z21" s="68" t="n">
        <f aca="false">Acquisitions!Z124/'Assumption Setting'!$C$86</f>
        <v>1.92862975532749</v>
      </c>
      <c r="AA21" s="68" t="n">
        <f aca="false">Acquisitions!AA124/'Assumption Setting'!$C$86</f>
        <v>2.05800375715716</v>
      </c>
      <c r="AB21" s="65" t="n">
        <f aca="false">IFERROR(AVERAGE(AC21:AN21),0)</f>
        <v>3.69392560738895</v>
      </c>
      <c r="AC21" s="68" t="n">
        <f aca="false">Acquisitions!AC124/'Assumption Setting'!$C$86</f>
        <v>2.21790668946795</v>
      </c>
      <c r="AD21" s="68" t="n">
        <f aca="false">Acquisitions!AD124/'Assumption Setting'!$C$86</f>
        <v>2.48820963215967</v>
      </c>
      <c r="AE21" s="68" t="n">
        <f aca="false">Acquisitions!AE124/'Assumption Setting'!$C$86</f>
        <v>2.75824293048548</v>
      </c>
      <c r="AF21" s="68" t="n">
        <f aca="false">Acquisitions!AF124/'Assumption Setting'!$C$86</f>
        <v>3.02855652377602</v>
      </c>
      <c r="AG21" s="68" t="n">
        <f aca="false">Acquisitions!AG124/'Assumption Setting'!$C$86</f>
        <v>3.29814478138208</v>
      </c>
      <c r="AH21" s="68" t="n">
        <f aca="false">Acquisitions!AH124/'Assumption Setting'!$C$86</f>
        <v>3.56680772215623</v>
      </c>
      <c r="AI21" s="68" t="n">
        <f aca="false">Acquisitions!AI124/'Assumption Setting'!$C$86</f>
        <v>3.83435985619937</v>
      </c>
      <c r="AJ21" s="68" t="n">
        <f aca="false">Acquisitions!AJ124/'Assumption Setting'!$C$86</f>
        <v>4.1006293728855</v>
      </c>
      <c r="AK21" s="68" t="n">
        <f aca="false">Acquisitions!AK124/'Assumption Setting'!$C$86</f>
        <v>4.3654573714265</v>
      </c>
      <c r="AL21" s="68" t="n">
        <f aca="false">Acquisitions!AL124/'Assumption Setting'!$C$86</f>
        <v>4.62869713178821</v>
      </c>
      <c r="AM21" s="68" t="n">
        <f aca="false">Acquisitions!AM124/'Assumption Setting'!$C$86</f>
        <v>4.89021342388157</v>
      </c>
      <c r="AN21" s="68" t="n">
        <f aca="false">Acquisitions!AN124/'Assumption Setting'!$C$86</f>
        <v>5.14988185305887</v>
      </c>
      <c r="AO21" s="65" t="n">
        <f aca="false">IFERROR(AVERAGE(AP21:BA21),0)</f>
        <v>7.75235330882888</v>
      </c>
      <c r="AP21" s="68" t="n">
        <f aca="false">Acquisitions!AP124/'Assumption Setting'!$C$86</f>
        <v>5.45847401174913</v>
      </c>
      <c r="AQ21" s="68" t="n">
        <f aca="false">Acquisitions!AQ124/'Assumption Setting'!$C$86</f>
        <v>5.88079989964139</v>
      </c>
      <c r="AR21" s="68" t="n">
        <f aca="false">Acquisitions!AR124/'Assumption Setting'!$C$86</f>
        <v>6.30193241418421</v>
      </c>
      <c r="AS21" s="68" t="n">
        <f aca="false">Acquisitions!AS124/'Assumption Setting'!$C$86</f>
        <v>6.72227639785471</v>
      </c>
      <c r="AT21" s="68" t="n">
        <f aca="false">Acquisitions!AT124/'Assumption Setting'!$C$86</f>
        <v>7.14092782309414</v>
      </c>
      <c r="AU21" s="68" t="n">
        <f aca="false">Acquisitions!AU124/'Assumption Setting'!$C$86</f>
        <v>7.55766537252869</v>
      </c>
      <c r="AV21" s="68" t="n">
        <f aca="false">Acquisitions!AV124/'Assumption Setting'!$C$86</f>
        <v>7.97228325368918</v>
      </c>
      <c r="AW21" s="68" t="n">
        <f aca="false">Acquisitions!AW124/'Assumption Setting'!$C$86</f>
        <v>8.38459038523335</v>
      </c>
      <c r="AX21" s="68" t="n">
        <f aca="false">Acquisitions!AX124/'Assumption Setting'!$C$86</f>
        <v>8.79440962274336</v>
      </c>
      <c r="AY21" s="68" t="n">
        <f aca="false">Acquisitions!AY124/'Assumption Setting'!$C$86</f>
        <v>9.20157702221417</v>
      </c>
      <c r="AZ21" s="68" t="n">
        <f aca="false">Acquisitions!AZ124/'Assumption Setting'!$C$86</f>
        <v>9.60594113943813</v>
      </c>
      <c r="BA21" s="68" t="n">
        <f aca="false">Acquisitions!BA124/'Assumption Setting'!$C$86</f>
        <v>10.0073623635761</v>
      </c>
      <c r="BB21" s="65" t="n">
        <f aca="false">IFERROR(AVERAGE(BC21:BN21),0)</f>
        <v>13.2178613407859</v>
      </c>
      <c r="BC21" s="68" t="n">
        <f aca="false">Acquisitions!BC124/'Assumption Setting'!$C$86</f>
        <v>10.4447617365716</v>
      </c>
      <c r="BD21" s="68" t="n">
        <f aca="false">Acquisitions!BD124/'Assumption Setting'!$C$86</f>
        <v>10.9553638051685</v>
      </c>
      <c r="BE21" s="68" t="n">
        <f aca="false">Acquisitions!BE124/'Assumption Setting'!$C$86</f>
        <v>11.4644353257663</v>
      </c>
      <c r="BF21" s="68" t="n">
        <f aca="false">Acquisitions!BF124/'Assumption Setting'!$C$86</f>
        <v>11.9723434892983</v>
      </c>
      <c r="BG21" s="68" t="n">
        <f aca="false">Acquisitions!BG124/'Assumption Setting'!$C$86</f>
        <v>12.4782257249983</v>
      </c>
      <c r="BH21" s="68" t="n">
        <f aca="false">Acquisitions!BH124/'Assumption Setting'!$C$86</f>
        <v>12.9818607225297</v>
      </c>
      <c r="BI21" s="68" t="n">
        <f aca="false">Acquisitions!BI124/'Assumption Setting'!$C$86</f>
        <v>13.4830419599064</v>
      </c>
      <c r="BJ21" s="68" t="n">
        <f aca="false">Acquisitions!BJ124/'Assumption Setting'!$C$86</f>
        <v>13.9815769691651</v>
      </c>
      <c r="BK21" s="68" t="n">
        <f aca="false">Acquisitions!BK124/'Assumption Setting'!$C$86</f>
        <v>14.4772866358188</v>
      </c>
      <c r="BL21" s="68" t="n">
        <f aca="false">Acquisitions!BL124/'Assumption Setting'!$C$86</f>
        <v>14.9700045305736</v>
      </c>
      <c r="BM21" s="68" t="n">
        <f aca="false">Acquisitions!BM124/'Assumption Setting'!$C$86</f>
        <v>15.459576271858</v>
      </c>
      <c r="BN21" s="68" t="n">
        <f aca="false">Acquisitions!BN124/'Assumption Setting'!$C$86</f>
        <v>15.9458589177767</v>
      </c>
    </row>
    <row r="22" customFormat="false" ht="15" hidden="false" customHeight="false" outlineLevel="0" collapsed="false">
      <c r="A22" s="4" t="s">
        <v>745</v>
      </c>
      <c r="B22" s="65" t="n">
        <f aca="false">IFERROR(AVERAGE(C22:N22),0)</f>
        <v>1</v>
      </c>
      <c r="C22" s="66" t="n">
        <f aca="false">Payroll!C78</f>
        <v>1</v>
      </c>
      <c r="D22" s="66" t="n">
        <f aca="false">Payroll!D78</f>
        <v>1</v>
      </c>
      <c r="E22" s="66" t="n">
        <f aca="false">Payroll!E78</f>
        <v>1</v>
      </c>
      <c r="F22" s="66" t="n">
        <f aca="false">Payroll!F78</f>
        <v>1</v>
      </c>
      <c r="G22" s="66" t="n">
        <f aca="false">Payroll!G78</f>
        <v>1</v>
      </c>
      <c r="H22" s="66" t="n">
        <f aca="false">Payroll!H78</f>
        <v>1</v>
      </c>
      <c r="I22" s="66" t="n">
        <f aca="false">Payroll!I78</f>
        <v>1</v>
      </c>
      <c r="J22" s="66" t="n">
        <f aca="false">Payroll!J78</f>
        <v>1</v>
      </c>
      <c r="K22" s="66" t="n">
        <f aca="false">Payroll!K78</f>
        <v>1</v>
      </c>
      <c r="L22" s="66" t="n">
        <f aca="false">Payroll!L78</f>
        <v>1</v>
      </c>
      <c r="M22" s="66" t="n">
        <f aca="false">Payroll!M78</f>
        <v>1</v>
      </c>
      <c r="N22" s="66" t="n">
        <f aca="false">Payroll!N78</f>
        <v>1</v>
      </c>
      <c r="O22" s="65" t="n">
        <f aca="false">IFERROR(AVERAGE(P22:AA22),0)</f>
        <v>2.5</v>
      </c>
      <c r="P22" s="66" t="n">
        <f aca="false">Payroll!P78</f>
        <v>2</v>
      </c>
      <c r="Q22" s="66" t="n">
        <f aca="false">Payroll!Q78</f>
        <v>2</v>
      </c>
      <c r="R22" s="66" t="n">
        <f aca="false">Payroll!R78</f>
        <v>2</v>
      </c>
      <c r="S22" s="66" t="n">
        <f aca="false">Payroll!S78</f>
        <v>2</v>
      </c>
      <c r="T22" s="66" t="n">
        <f aca="false">Payroll!T78</f>
        <v>2</v>
      </c>
      <c r="U22" s="66" t="n">
        <f aca="false">Payroll!U78</f>
        <v>2</v>
      </c>
      <c r="V22" s="66" t="n">
        <f aca="false">Payroll!V78</f>
        <v>3</v>
      </c>
      <c r="W22" s="66" t="n">
        <f aca="false">Payroll!W78</f>
        <v>3</v>
      </c>
      <c r="X22" s="66" t="n">
        <f aca="false">Payroll!X78</f>
        <v>3</v>
      </c>
      <c r="Y22" s="66" t="n">
        <f aca="false">Payroll!Y78</f>
        <v>3</v>
      </c>
      <c r="Z22" s="66" t="n">
        <f aca="false">Payroll!Z78</f>
        <v>3</v>
      </c>
      <c r="AA22" s="66" t="n">
        <f aca="false">Payroll!AA78</f>
        <v>3</v>
      </c>
      <c r="AB22" s="65" t="n">
        <f aca="false">IFERROR(AVERAGE(AC22:AN22),0)</f>
        <v>5</v>
      </c>
      <c r="AC22" s="66" t="n">
        <f aca="false">Payroll!AC78</f>
        <v>4</v>
      </c>
      <c r="AD22" s="66" t="n">
        <f aca="false">Payroll!AD78</f>
        <v>4</v>
      </c>
      <c r="AE22" s="66" t="n">
        <f aca="false">Payroll!AE78</f>
        <v>4</v>
      </c>
      <c r="AF22" s="66" t="n">
        <f aca="false">Payroll!AF78</f>
        <v>4</v>
      </c>
      <c r="AG22" s="66" t="n">
        <f aca="false">Payroll!AG78</f>
        <v>5</v>
      </c>
      <c r="AH22" s="66" t="n">
        <f aca="false">Payroll!AH78</f>
        <v>5</v>
      </c>
      <c r="AI22" s="66" t="n">
        <f aca="false">Payroll!AI78</f>
        <v>5</v>
      </c>
      <c r="AJ22" s="66" t="n">
        <f aca="false">Payroll!AJ78</f>
        <v>5</v>
      </c>
      <c r="AK22" s="66" t="n">
        <f aca="false">Payroll!AK78</f>
        <v>6</v>
      </c>
      <c r="AL22" s="66" t="n">
        <f aca="false">Payroll!AL78</f>
        <v>6</v>
      </c>
      <c r="AM22" s="66" t="n">
        <f aca="false">Payroll!AM78</f>
        <v>6</v>
      </c>
      <c r="AN22" s="66" t="n">
        <f aca="false">Payroll!AN78</f>
        <v>6</v>
      </c>
      <c r="AO22" s="65" t="n">
        <f aca="false">IFERROR(AVERAGE(AP22:BA22),0)</f>
        <v>9.16666666666667</v>
      </c>
      <c r="AP22" s="66" t="n">
        <f aca="false">Payroll!AP78</f>
        <v>7</v>
      </c>
      <c r="AQ22" s="66" t="n">
        <f aca="false">Payroll!AQ78</f>
        <v>7</v>
      </c>
      <c r="AR22" s="66" t="n">
        <f aca="false">Payroll!AR78</f>
        <v>8</v>
      </c>
      <c r="AS22" s="66" t="n">
        <f aca="false">Payroll!AS78</f>
        <v>8</v>
      </c>
      <c r="AT22" s="66" t="n">
        <f aca="false">Payroll!AT78</f>
        <v>9</v>
      </c>
      <c r="AU22" s="66" t="n">
        <f aca="false">Payroll!AU78</f>
        <v>9</v>
      </c>
      <c r="AV22" s="66" t="n">
        <f aca="false">Payroll!AV78</f>
        <v>9</v>
      </c>
      <c r="AW22" s="66" t="n">
        <f aca="false">Payroll!AW78</f>
        <v>10</v>
      </c>
      <c r="AX22" s="66" t="n">
        <f aca="false">Payroll!AX78</f>
        <v>10</v>
      </c>
      <c r="AY22" s="66" t="n">
        <f aca="false">Payroll!AY78</f>
        <v>11</v>
      </c>
      <c r="AZ22" s="66" t="n">
        <f aca="false">Payroll!AZ78</f>
        <v>11</v>
      </c>
      <c r="BA22" s="66" t="n">
        <f aca="false">Payroll!BA78</f>
        <v>11</v>
      </c>
      <c r="BB22" s="65" t="n">
        <f aca="false">IFERROR(AVERAGE(BC22:BN22),0)</f>
        <v>16.25</v>
      </c>
      <c r="BC22" s="66" t="n">
        <f aca="false">Payroll!BC78</f>
        <v>12</v>
      </c>
      <c r="BD22" s="66" t="n">
        <f aca="false">Payroll!BD78</f>
        <v>13</v>
      </c>
      <c r="BE22" s="66" t="n">
        <f aca="false">Payroll!BE78</f>
        <v>14</v>
      </c>
      <c r="BF22" s="66" t="n">
        <f aca="false">Payroll!BF78</f>
        <v>14</v>
      </c>
      <c r="BG22" s="66" t="n">
        <f aca="false">Payroll!BG78</f>
        <v>15</v>
      </c>
      <c r="BH22" s="66" t="n">
        <f aca="false">Payroll!BH78</f>
        <v>16</v>
      </c>
      <c r="BI22" s="66" t="n">
        <f aca="false">Payroll!BI78</f>
        <v>17</v>
      </c>
      <c r="BJ22" s="66" t="n">
        <f aca="false">Payroll!BJ78</f>
        <v>17</v>
      </c>
      <c r="BK22" s="66" t="n">
        <f aca="false">Payroll!BK78</f>
        <v>18</v>
      </c>
      <c r="BL22" s="66" t="n">
        <f aca="false">Payroll!BL78</f>
        <v>19</v>
      </c>
      <c r="BM22" s="66" t="n">
        <f aca="false">Payroll!BM78</f>
        <v>20</v>
      </c>
      <c r="BN22" s="66" t="n">
        <f aca="false">Payroll!BN78</f>
        <v>20</v>
      </c>
    </row>
    <row r="23" customFormat="false" ht="15" hidden="false" customHeight="false" outlineLevel="0" collapsed="false">
      <c r="A23" s="4" t="s">
        <v>746</v>
      </c>
      <c r="B23" s="84" t="n">
        <f aca="false">SUM(C23:N23)</f>
        <v>0</v>
      </c>
      <c r="C23" s="74" t="n">
        <f aca="false">IF(C22&lt;C21,1,0)</f>
        <v>0</v>
      </c>
      <c r="D23" s="74" t="n">
        <f aca="false">IF(D22&lt;D21,1,0)</f>
        <v>0</v>
      </c>
      <c r="E23" s="74" t="n">
        <f aca="false">IF(E22&lt;E21,1,0)</f>
        <v>0</v>
      </c>
      <c r="F23" s="74" t="n">
        <f aca="false">IF(F22&lt;F21,1,0)</f>
        <v>0</v>
      </c>
      <c r="G23" s="74" t="n">
        <f aca="false">IF(G22&lt;G21,1,0)</f>
        <v>0</v>
      </c>
      <c r="H23" s="74" t="n">
        <f aca="false">IF(H22&lt;H21,1,0)</f>
        <v>0</v>
      </c>
      <c r="I23" s="74" t="n">
        <f aca="false">IF(I22&lt;I21,1,0)</f>
        <v>0</v>
      </c>
      <c r="J23" s="74" t="n">
        <f aca="false">IF(J22&lt;J21,1,0)</f>
        <v>0</v>
      </c>
      <c r="K23" s="74" t="n">
        <f aca="false">IF(K22&lt;K21,1,0)</f>
        <v>0</v>
      </c>
      <c r="L23" s="74" t="n">
        <f aca="false">IF(L22&lt;L21,1,0)</f>
        <v>0</v>
      </c>
      <c r="M23" s="74" t="n">
        <f aca="false">IF(M22&lt;M21,1,0)</f>
        <v>0</v>
      </c>
      <c r="N23" s="74" t="n">
        <f aca="false">IF(N22&lt;N21,1,0)</f>
        <v>0</v>
      </c>
      <c r="O23" s="84" t="n">
        <f aca="false">SUM(P23:AA23)</f>
        <v>0</v>
      </c>
      <c r="P23" s="74" t="n">
        <f aca="false">IF(P22&lt;P21,1,0)</f>
        <v>0</v>
      </c>
      <c r="Q23" s="74" t="n">
        <f aca="false">IF(Q22&lt;Q21,1,0)</f>
        <v>0</v>
      </c>
      <c r="R23" s="74" t="n">
        <f aca="false">IF(R22&lt;R21,1,0)</f>
        <v>0</v>
      </c>
      <c r="S23" s="74" t="n">
        <f aca="false">IF(S22&lt;S21,1,0)</f>
        <v>0</v>
      </c>
      <c r="T23" s="74" t="n">
        <f aca="false">IF(T22&lt;T21,1,0)</f>
        <v>0</v>
      </c>
      <c r="U23" s="74" t="n">
        <f aca="false">IF(U22&lt;U21,1,0)</f>
        <v>0</v>
      </c>
      <c r="V23" s="74" t="n">
        <f aca="false">IF(V22&lt;V21,1,0)</f>
        <v>0</v>
      </c>
      <c r="W23" s="74" t="n">
        <f aca="false">IF(W22&lt;W21,1,0)</f>
        <v>0</v>
      </c>
      <c r="X23" s="74" t="n">
        <f aca="false">IF(X22&lt;X21,1,0)</f>
        <v>0</v>
      </c>
      <c r="Y23" s="74" t="n">
        <f aca="false">IF(Y22&lt;Y21,1,0)</f>
        <v>0</v>
      </c>
      <c r="Z23" s="74" t="n">
        <f aca="false">IF(Z22&lt;Z21,1,0)</f>
        <v>0</v>
      </c>
      <c r="AA23" s="74" t="n">
        <f aca="false">IF(AA22&lt;AA21,1,0)</f>
        <v>0</v>
      </c>
      <c r="AB23" s="84" t="n">
        <f aca="false">SUM(AC23:AN23)</f>
        <v>0</v>
      </c>
      <c r="AC23" s="74" t="n">
        <f aca="false">IF(AC22&lt;AC21,1,0)</f>
        <v>0</v>
      </c>
      <c r="AD23" s="74" t="n">
        <f aca="false">IF(AD22&lt;AD21,1,0)</f>
        <v>0</v>
      </c>
      <c r="AE23" s="74" t="n">
        <f aca="false">IF(AE22&lt;AE21,1,0)</f>
        <v>0</v>
      </c>
      <c r="AF23" s="74" t="n">
        <f aca="false">IF(AF22&lt;AF21,1,0)</f>
        <v>0</v>
      </c>
      <c r="AG23" s="74" t="n">
        <f aca="false">IF(AG22&lt;AG21,1,0)</f>
        <v>0</v>
      </c>
      <c r="AH23" s="74" t="n">
        <f aca="false">IF(AH22&lt;AH21,1,0)</f>
        <v>0</v>
      </c>
      <c r="AI23" s="74" t="n">
        <f aca="false">IF(AI22&lt;AI21,1,0)</f>
        <v>0</v>
      </c>
      <c r="AJ23" s="74" t="n">
        <f aca="false">IF(AJ22&lt;AJ21,1,0)</f>
        <v>0</v>
      </c>
      <c r="AK23" s="74" t="n">
        <f aca="false">IF(AK22&lt;AK21,1,0)</f>
        <v>0</v>
      </c>
      <c r="AL23" s="74" t="n">
        <f aca="false">IF(AL22&lt;AL21,1,0)</f>
        <v>0</v>
      </c>
      <c r="AM23" s="74" t="n">
        <f aca="false">IF(AM22&lt;AM21,1,0)</f>
        <v>0</v>
      </c>
      <c r="AN23" s="74" t="n">
        <f aca="false">IF(AN22&lt;AN21,1,0)</f>
        <v>0</v>
      </c>
      <c r="AO23" s="84" t="n">
        <f aca="false">SUM(AP23:BA23)</f>
        <v>0</v>
      </c>
      <c r="AP23" s="74" t="n">
        <f aca="false">IF(AP22&lt;AP21,1,0)</f>
        <v>0</v>
      </c>
      <c r="AQ23" s="74" t="n">
        <f aca="false">IF(AQ22&lt;AQ21,1,0)</f>
        <v>0</v>
      </c>
      <c r="AR23" s="74" t="n">
        <f aca="false">IF(AR22&lt;AR21,1,0)</f>
        <v>0</v>
      </c>
      <c r="AS23" s="74" t="n">
        <f aca="false">IF(AS22&lt;AS21,1,0)</f>
        <v>0</v>
      </c>
      <c r="AT23" s="74" t="n">
        <f aca="false">IF(AT22&lt;AT21,1,0)</f>
        <v>0</v>
      </c>
      <c r="AU23" s="74" t="n">
        <f aca="false">IF(AU22&lt;AU21,1,0)</f>
        <v>0</v>
      </c>
      <c r="AV23" s="74" t="n">
        <f aca="false">IF(AV22&lt;AV21,1,0)</f>
        <v>0</v>
      </c>
      <c r="AW23" s="74" t="n">
        <f aca="false">IF(AW22&lt;AW21,1,0)</f>
        <v>0</v>
      </c>
      <c r="AX23" s="74" t="n">
        <f aca="false">IF(AX22&lt;AX21,1,0)</f>
        <v>0</v>
      </c>
      <c r="AY23" s="74" t="n">
        <f aca="false">IF(AY22&lt;AY21,1,0)</f>
        <v>0</v>
      </c>
      <c r="AZ23" s="74" t="n">
        <f aca="false">IF(AZ22&lt;AZ21,1,0)</f>
        <v>0</v>
      </c>
      <c r="BA23" s="74" t="n">
        <f aca="false">IF(BA22&lt;BA21,1,0)</f>
        <v>0</v>
      </c>
      <c r="BB23" s="84" t="n">
        <f aca="false">SUM(BC23:BN23)</f>
        <v>0</v>
      </c>
      <c r="BC23" s="74" t="n">
        <f aca="false">IF(BC22&lt;BC21,1,0)</f>
        <v>0</v>
      </c>
      <c r="BD23" s="74" t="n">
        <f aca="false">IF(BD22&lt;BD21,1,0)</f>
        <v>0</v>
      </c>
      <c r="BE23" s="74" t="n">
        <f aca="false">IF(BE22&lt;BE21,1,0)</f>
        <v>0</v>
      </c>
      <c r="BF23" s="74" t="n">
        <f aca="false">IF(BF22&lt;BF21,1,0)</f>
        <v>0</v>
      </c>
      <c r="BG23" s="74" t="n">
        <f aca="false">IF(BG22&lt;BG21,1,0)</f>
        <v>0</v>
      </c>
      <c r="BH23" s="74" t="n">
        <f aca="false">IF(BH22&lt;BH21,1,0)</f>
        <v>0</v>
      </c>
      <c r="BI23" s="74" t="n">
        <f aca="false">IF(BI22&lt;BI21,1,0)</f>
        <v>0</v>
      </c>
      <c r="BJ23" s="74" t="n">
        <f aca="false">IF(BJ22&lt;BJ21,1,0)</f>
        <v>0</v>
      </c>
      <c r="BK23" s="74" t="n">
        <f aca="false">IF(BK22&lt;BK21,1,0)</f>
        <v>0</v>
      </c>
      <c r="BL23" s="74" t="n">
        <f aca="false">IF(BL22&lt;BL21,1,0)</f>
        <v>0</v>
      </c>
      <c r="BM23" s="74" t="n">
        <f aca="false">IF(BM22&lt;BM21,1,0)</f>
        <v>0</v>
      </c>
      <c r="BN23" s="74" t="n">
        <f aca="false">IF(BN22&lt;BN21,1,0)</f>
        <v>0</v>
      </c>
    </row>
    <row r="25" customFormat="false" ht="15" hidden="false" customHeight="false" outlineLevel="0" collapsed="false">
      <c r="A25" s="13" t="s">
        <v>747</v>
      </c>
      <c r="B25" s="84" t="n">
        <f aca="false">SUM(C25:N25)</f>
        <v>0</v>
      </c>
      <c r="C25" s="85" t="n">
        <f aca="false">MIN(1,C9+C14+C19+C23)</f>
        <v>0</v>
      </c>
      <c r="D25" s="85" t="n">
        <f aca="false">MIN(1,D9+D14+D19+D23)</f>
        <v>0</v>
      </c>
      <c r="E25" s="85" t="n">
        <f aca="false">MIN(1,E9+E14+E19+E23)</f>
        <v>0</v>
      </c>
      <c r="F25" s="85" t="n">
        <f aca="false">MIN(1,F9+F14+F19+F23)</f>
        <v>0</v>
      </c>
      <c r="G25" s="85" t="n">
        <f aca="false">MIN(1,G9+G14+G19+G23)</f>
        <v>0</v>
      </c>
      <c r="H25" s="85" t="n">
        <f aca="false">MIN(1,H9+H14+H19+H23)</f>
        <v>0</v>
      </c>
      <c r="I25" s="85" t="n">
        <f aca="false">MIN(1,I9+I14+I19+I23)</f>
        <v>0</v>
      </c>
      <c r="J25" s="85" t="n">
        <f aca="false">MIN(1,J9+J14+J19+J23)</f>
        <v>0</v>
      </c>
      <c r="K25" s="85" t="n">
        <f aca="false">MIN(1,K9+K14+K19+K23)</f>
        <v>0</v>
      </c>
      <c r="L25" s="85" t="n">
        <f aca="false">MIN(1,L9+L14+L19+L23)</f>
        <v>0</v>
      </c>
      <c r="M25" s="85" t="n">
        <f aca="false">MIN(1,M9+M14+M19+M23)</f>
        <v>0</v>
      </c>
      <c r="N25" s="85" t="n">
        <f aca="false">MIN(1,N9+N14+N19+N23)</f>
        <v>0</v>
      </c>
      <c r="O25" s="84" t="n">
        <f aca="false">SUM(P25:AA25)</f>
        <v>0</v>
      </c>
      <c r="P25" s="85" t="n">
        <f aca="false">MIN(1,P9+P14+P19+P23)</f>
        <v>0</v>
      </c>
      <c r="Q25" s="85" t="n">
        <f aca="false">MIN(1,Q9+Q14+Q19+Q23)</f>
        <v>0</v>
      </c>
      <c r="R25" s="85" t="n">
        <f aca="false">MIN(1,R9+R14+R19+R23)</f>
        <v>0</v>
      </c>
      <c r="S25" s="85" t="n">
        <f aca="false">MIN(1,S9+S14+S19+S23)</f>
        <v>0</v>
      </c>
      <c r="T25" s="85" t="n">
        <f aca="false">MIN(1,T9+T14+T19+T23)</f>
        <v>0</v>
      </c>
      <c r="U25" s="85" t="n">
        <f aca="false">MIN(1,U9+U14+U19+U23)</f>
        <v>0</v>
      </c>
      <c r="V25" s="85" t="n">
        <f aca="false">MIN(1,V9+V14+V19+V23)</f>
        <v>0</v>
      </c>
      <c r="W25" s="85" t="n">
        <f aca="false">MIN(1,W9+W14+W19+W23)</f>
        <v>0</v>
      </c>
      <c r="X25" s="85" t="n">
        <f aca="false">MIN(1,X9+X14+X19+X23)</f>
        <v>0</v>
      </c>
      <c r="Y25" s="85" t="n">
        <f aca="false">MIN(1,Y9+Y14+Y19+Y23)</f>
        <v>0</v>
      </c>
      <c r="Z25" s="85" t="n">
        <f aca="false">MIN(1,Z9+Z14+Z19+Z23)</f>
        <v>0</v>
      </c>
      <c r="AA25" s="85" t="n">
        <f aca="false">MIN(1,AA9+AA14+AA19+AA23)</f>
        <v>0</v>
      </c>
      <c r="AB25" s="84" t="n">
        <f aca="false">SUM(AC25:AN25)</f>
        <v>0</v>
      </c>
      <c r="AC25" s="85" t="n">
        <f aca="false">MIN(1,AC9+AC14+AC19+AC23)</f>
        <v>0</v>
      </c>
      <c r="AD25" s="85" t="n">
        <f aca="false">MIN(1,AD9+AD14+AD19+AD23)</f>
        <v>0</v>
      </c>
      <c r="AE25" s="85" t="n">
        <f aca="false">MIN(1,AE9+AE14+AE19+AE23)</f>
        <v>0</v>
      </c>
      <c r="AF25" s="85" t="n">
        <f aca="false">MIN(1,AF9+AF14+AF19+AF23)</f>
        <v>0</v>
      </c>
      <c r="AG25" s="85" t="n">
        <f aca="false">MIN(1,AG9+AG14+AG19+AG23)</f>
        <v>0</v>
      </c>
      <c r="AH25" s="85" t="n">
        <f aca="false">MIN(1,AH9+AH14+AH19+AH23)</f>
        <v>0</v>
      </c>
      <c r="AI25" s="85" t="n">
        <f aca="false">MIN(1,AI9+AI14+AI19+AI23)</f>
        <v>0</v>
      </c>
      <c r="AJ25" s="85" t="n">
        <f aca="false">MIN(1,AJ9+AJ14+AJ19+AJ23)</f>
        <v>0</v>
      </c>
      <c r="AK25" s="85" t="n">
        <f aca="false">MIN(1,AK9+AK14+AK19+AK23)</f>
        <v>0</v>
      </c>
      <c r="AL25" s="85" t="n">
        <f aca="false">MIN(1,AL9+AL14+AL19+AL23)</f>
        <v>0</v>
      </c>
      <c r="AM25" s="85" t="n">
        <f aca="false">MIN(1,AM9+AM14+AM19+AM23)</f>
        <v>0</v>
      </c>
      <c r="AN25" s="85" t="n">
        <f aca="false">MIN(1,AN9+AN14+AN19+AN23)</f>
        <v>0</v>
      </c>
      <c r="AO25" s="84" t="n">
        <f aca="false">SUM(AP25:BA25)</f>
        <v>0</v>
      </c>
      <c r="AP25" s="85" t="n">
        <f aca="false">MIN(1,AP9+AP14+AP19+AP23)</f>
        <v>0</v>
      </c>
      <c r="AQ25" s="85" t="n">
        <f aca="false">MIN(1,AQ9+AQ14+AQ19+AQ23)</f>
        <v>0</v>
      </c>
      <c r="AR25" s="85" t="n">
        <f aca="false">MIN(1,AR9+AR14+AR19+AR23)</f>
        <v>0</v>
      </c>
      <c r="AS25" s="85" t="n">
        <f aca="false">MIN(1,AS9+AS14+AS19+AS23)</f>
        <v>0</v>
      </c>
      <c r="AT25" s="85" t="n">
        <f aca="false">MIN(1,AT9+AT14+AT19+AT23)</f>
        <v>0</v>
      </c>
      <c r="AU25" s="85" t="n">
        <f aca="false">MIN(1,AU9+AU14+AU19+AU23)</f>
        <v>0</v>
      </c>
      <c r="AV25" s="85" t="n">
        <f aca="false">MIN(1,AV9+AV14+AV19+AV23)</f>
        <v>0</v>
      </c>
      <c r="AW25" s="85" t="n">
        <f aca="false">MIN(1,AW9+AW14+AW19+AW23)</f>
        <v>0</v>
      </c>
      <c r="AX25" s="85" t="n">
        <f aca="false">MIN(1,AX9+AX14+AX19+AX23)</f>
        <v>0</v>
      </c>
      <c r="AY25" s="85" t="n">
        <f aca="false">MIN(1,AY9+AY14+AY19+AY23)</f>
        <v>0</v>
      </c>
      <c r="AZ25" s="85" t="n">
        <f aca="false">MIN(1,AZ9+AZ14+AZ19+AZ23)</f>
        <v>0</v>
      </c>
      <c r="BA25" s="85" t="n">
        <f aca="false">MIN(1,BA9+BA14+BA19+BA23)</f>
        <v>0</v>
      </c>
      <c r="BB25" s="84" t="n">
        <f aca="false">SUM(BC25:BN25)</f>
        <v>0</v>
      </c>
      <c r="BC25" s="85" t="n">
        <f aca="false">MIN(1,BC9+BC14+BC19+BC23)</f>
        <v>0</v>
      </c>
      <c r="BD25" s="85" t="n">
        <f aca="false">MIN(1,BD9+BD14+BD19+BD23)</f>
        <v>0</v>
      </c>
      <c r="BE25" s="85" t="n">
        <f aca="false">MIN(1,BE9+BE14+BE19+BE23)</f>
        <v>0</v>
      </c>
      <c r="BF25" s="85" t="n">
        <f aca="false">MIN(1,BF9+BF14+BF19+BF23)</f>
        <v>0</v>
      </c>
      <c r="BG25" s="85" t="n">
        <f aca="false">MIN(1,BG9+BG14+BG19+BG23)</f>
        <v>0</v>
      </c>
      <c r="BH25" s="85" t="n">
        <f aca="false">MIN(1,BH9+BH14+BH19+BH23)</f>
        <v>0</v>
      </c>
      <c r="BI25" s="85" t="n">
        <f aca="false">MIN(1,BI9+BI14+BI19+BI23)</f>
        <v>0</v>
      </c>
      <c r="BJ25" s="85" t="n">
        <f aca="false">MIN(1,BJ9+BJ14+BJ19+BJ23)</f>
        <v>0</v>
      </c>
      <c r="BK25" s="85" t="n">
        <f aca="false">MIN(1,BK9+BK14+BK19+BK23)</f>
        <v>0</v>
      </c>
      <c r="BL25" s="85" t="n">
        <f aca="false">MIN(1,BL9+BL14+BL19+BL23)</f>
        <v>0</v>
      </c>
      <c r="BM25" s="85" t="n">
        <f aca="false">MIN(1,BM9+BM14+BM19+BM23)</f>
        <v>0</v>
      </c>
      <c r="BN25" s="85" t="n">
        <f aca="false">MIN(1,BN9+BN14+BN19+BN23)</f>
        <v>0</v>
      </c>
    </row>
    <row r="27" customFormat="false" ht="15" hidden="false" customHeight="false" outlineLevel="0" collapsed="false">
      <c r="A27" s="9" t="s">
        <v>748</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row>
    <row r="28" customFormat="false" ht="19.4" hidden="false" customHeight="false" outlineLevel="0" collapsed="false">
      <c r="A28" s="11" t="s">
        <v>749</v>
      </c>
      <c r="B28" s="12" t="s">
        <v>394</v>
      </c>
      <c r="C28" s="12" t="s">
        <v>392</v>
      </c>
      <c r="D28" s="12" t="s">
        <v>393</v>
      </c>
    </row>
    <row r="29" customFormat="false" ht="15" hidden="false" customHeight="false" outlineLevel="0" collapsed="false">
      <c r="A29" s="4" t="s">
        <v>750</v>
      </c>
      <c r="B29" s="86" t="n">
        <f aca="false">'Assumption Setting'!$F$59</f>
        <v>1</v>
      </c>
      <c r="C29" s="87" t="n">
        <f aca="false">'Assumption Setting'!$D$59</f>
        <v>0.32</v>
      </c>
      <c r="D29" s="87" t="n">
        <f aca="false">'Assumption Setting'!$E$59</f>
        <v>0.3</v>
      </c>
    </row>
    <row r="30" customFormat="false" ht="15" hidden="false" customHeight="false" outlineLevel="0" collapsed="false">
      <c r="A30" s="4" t="s">
        <v>751</v>
      </c>
      <c r="B30" s="86" t="n">
        <f aca="false">'Assumption Setting'!$F$60</f>
        <v>1</v>
      </c>
      <c r="C30" s="87" t="n">
        <f aca="false">'Assumption Setting'!$D$60</f>
        <v>0.28</v>
      </c>
      <c r="D30" s="87" t="n">
        <f aca="false">'Assumption Setting'!$E$60</f>
        <v>0.26</v>
      </c>
    </row>
    <row r="31" customFormat="false" ht="15" hidden="false" customHeight="false" outlineLevel="0" collapsed="false">
      <c r="A31" s="4" t="s">
        <v>752</v>
      </c>
      <c r="B31" s="86" t="n">
        <f aca="false">'Assumption Setting'!$F$61</f>
        <v>3</v>
      </c>
      <c r="C31" s="87" t="n">
        <f aca="false">'Assumption Setting'!$D$61</f>
        <v>0.18</v>
      </c>
      <c r="D31" s="87" t="n">
        <f aca="false">'Assumption Setting'!$E$61</f>
        <v>0.16</v>
      </c>
    </row>
    <row r="33" customFormat="false" ht="15" hidden="false" customHeight="false" outlineLevel="0" collapsed="false">
      <c r="A33" s="11" t="s">
        <v>465</v>
      </c>
      <c r="B33" s="12" t="s">
        <v>466</v>
      </c>
    </row>
    <row r="34" customFormat="false" ht="15" hidden="false" customHeight="false" outlineLevel="0" collapsed="false">
      <c r="A34" s="4" t="s">
        <v>467</v>
      </c>
      <c r="B34" s="86" t="n">
        <f aca="false">'Assumption Setting'!$C$126</f>
        <v>1</v>
      </c>
    </row>
    <row r="35" customFormat="false" ht="15" hidden="false" customHeight="false" outlineLevel="0" collapsed="false">
      <c r="A35" s="4" t="s">
        <v>469</v>
      </c>
      <c r="B35" s="86" t="n">
        <f aca="false">'Assumption Setting'!$C$127</f>
        <v>1</v>
      </c>
    </row>
    <row r="36" customFormat="false" ht="15" hidden="false" customHeight="false" outlineLevel="0" collapsed="false">
      <c r="A36" s="4" t="s">
        <v>470</v>
      </c>
      <c r="B36" s="86" t="n">
        <f aca="false">'Assumption Setting'!$C$128</f>
        <v>1</v>
      </c>
    </row>
    <row r="37" customFormat="false" ht="15" hidden="false" customHeight="false" outlineLevel="0" collapsed="false">
      <c r="A37" s="4" t="s">
        <v>471</v>
      </c>
      <c r="B37" s="86" t="n">
        <f aca="false">'Assumption Setting'!$C$129</f>
        <v>1</v>
      </c>
    </row>
    <row r="38" customFormat="false" ht="15" hidden="false" customHeight="false" outlineLevel="0" collapsed="false">
      <c r="A38" s="4" t="s">
        <v>472</v>
      </c>
      <c r="B38" s="86" t="n">
        <f aca="false">'Assumption Setting'!$C$130</f>
        <v>1</v>
      </c>
    </row>
    <row r="39" customFormat="false" ht="15" hidden="false" customHeight="false" outlineLevel="0" collapsed="false">
      <c r="A39" s="4" t="s">
        <v>473</v>
      </c>
      <c r="B39" s="86" t="n">
        <f aca="false">'Assumption Setting'!$C$131</f>
        <v>4</v>
      </c>
    </row>
    <row r="40" customFormat="false" ht="15" hidden="false" customHeight="false" outlineLevel="0" collapsed="false">
      <c r="A40" s="4" t="s">
        <v>474</v>
      </c>
      <c r="B40" s="86" t="n">
        <f aca="false">'Assumption Setting'!$C$132</f>
        <v>19</v>
      </c>
    </row>
    <row r="41" customFormat="false" ht="15" hidden="false" customHeight="false" outlineLevel="0" collapsed="false">
      <c r="A41" s="4" t="s">
        <v>475</v>
      </c>
      <c r="B41" s="86" t="n">
        <f aca="false">'Assumption Setting'!$C$133</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7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647</v>
      </c>
    </row>
    <row r="2" customFormat="false" ht="15" hidden="false" customHeight="false" outlineLevel="0" collapsed="false">
      <c r="A2" s="8" t="s">
        <v>753</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754</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174</v>
      </c>
      <c r="B6" s="75" t="n">
        <f aca="false">IFERROR(AVERAGE(C6:N6),0)</f>
        <v>52.9013508012429</v>
      </c>
      <c r="C6" s="88" t="n">
        <f aca="false">'Timeline and FX'!C8</f>
        <v>51.5</v>
      </c>
      <c r="D6" s="88" t="n">
        <f aca="false">'Timeline and FX'!D8</f>
        <v>51.7506788541152</v>
      </c>
      <c r="E6" s="88" t="n">
        <f aca="false">'Timeline and FX'!E8</f>
        <v>52.0025779002284</v>
      </c>
      <c r="F6" s="88" t="n">
        <f aca="false">'Timeline and FX'!F8</f>
        <v>52.255703077686</v>
      </c>
      <c r="G6" s="88" t="n">
        <f aca="false">'Timeline and FX'!G8</f>
        <v>52.5100603547441</v>
      </c>
      <c r="H6" s="88" t="n">
        <f aca="false">'Timeline and FX'!H8</f>
        <v>52.7656557287101</v>
      </c>
      <c r="I6" s="88" t="n">
        <f aca="false">'Timeline and FX'!I8</f>
        <v>53.0224952260831</v>
      </c>
      <c r="J6" s="88" t="n">
        <f aca="false">'Timeline and FX'!J8</f>
        <v>53.2805849026967</v>
      </c>
      <c r="K6" s="88" t="n">
        <f aca="false">'Timeline and FX'!K8</f>
        <v>53.5399308438616</v>
      </c>
      <c r="L6" s="88" t="n">
        <f aca="false">'Timeline and FX'!L8</f>
        <v>53.8005391645091</v>
      </c>
      <c r="M6" s="88" t="n">
        <f aca="false">'Timeline and FX'!M8</f>
        <v>54.062416009335</v>
      </c>
      <c r="N6" s="88" t="n">
        <f aca="false">'Timeline and FX'!N8</f>
        <v>54.3255675529451</v>
      </c>
      <c r="O6" s="75" t="n">
        <f aca="false">IFERROR(AVERAGE(P6:AA6),0)</f>
        <v>56.0754318493174</v>
      </c>
      <c r="P6" s="88" t="n">
        <f aca="false">'Timeline and FX'!P8</f>
        <v>54.59</v>
      </c>
      <c r="Q6" s="88" t="n">
        <f aca="false">'Timeline and FX'!Q8</f>
        <v>54.8557195853621</v>
      </c>
      <c r="R6" s="88" t="n">
        <f aca="false">'Timeline and FX'!R8</f>
        <v>55.1227325742421</v>
      </c>
      <c r="S6" s="88" t="n">
        <f aca="false">'Timeline and FX'!S8</f>
        <v>55.3910452623471</v>
      </c>
      <c r="T6" s="88" t="n">
        <f aca="false">'Timeline and FX'!T8</f>
        <v>55.6606639760288</v>
      </c>
      <c r="U6" s="88" t="n">
        <f aca="false">'Timeline and FX'!U8</f>
        <v>55.9315950724327</v>
      </c>
      <c r="V6" s="88" t="n">
        <f aca="false">'Timeline and FX'!V8</f>
        <v>56.203844939648</v>
      </c>
      <c r="W6" s="88" t="n">
        <f aca="false">'Timeline and FX'!W8</f>
        <v>56.4774199968585</v>
      </c>
      <c r="X6" s="88" t="n">
        <f aca="false">'Timeline and FX'!X8</f>
        <v>56.7523266944933</v>
      </c>
      <c r="Y6" s="88" t="n">
        <f aca="false">'Timeline and FX'!Y8</f>
        <v>57.0285715143796</v>
      </c>
      <c r="Z6" s="88" t="n">
        <f aca="false">'Timeline and FX'!Z8</f>
        <v>57.3061609698951</v>
      </c>
      <c r="AA6" s="88" t="n">
        <f aca="false">'Timeline and FX'!AA8</f>
        <v>57.5851016061218</v>
      </c>
      <c r="AB6" s="75" t="n">
        <f aca="false">IFERROR(AVERAGE(AC6:AN6),0)</f>
        <v>59.4399577602765</v>
      </c>
      <c r="AC6" s="88" t="n">
        <f aca="false">'Timeline and FX'!AC8</f>
        <v>57.8654</v>
      </c>
      <c r="AD6" s="88" t="n">
        <f aca="false">'Timeline and FX'!AD8</f>
        <v>58.1470627604838</v>
      </c>
      <c r="AE6" s="88" t="n">
        <f aca="false">'Timeline and FX'!AE8</f>
        <v>58.4300965286966</v>
      </c>
      <c r="AF6" s="88" t="n">
        <f aca="false">'Timeline and FX'!AF8</f>
        <v>58.7145079780879</v>
      </c>
      <c r="AG6" s="88" t="n">
        <f aca="false">'Timeline and FX'!AG8</f>
        <v>59.0003038145905</v>
      </c>
      <c r="AH6" s="88" t="n">
        <f aca="false">'Timeline and FX'!AH8</f>
        <v>59.2874907767787</v>
      </c>
      <c r="AI6" s="88" t="n">
        <f aca="false">'Timeline and FX'!AI8</f>
        <v>59.5760756360269</v>
      </c>
      <c r="AJ6" s="88" t="n">
        <f aca="false">'Timeline and FX'!AJ8</f>
        <v>59.86606519667</v>
      </c>
      <c r="AK6" s="88" t="n">
        <f aca="false">'Timeline and FX'!AK8</f>
        <v>60.1574662961629</v>
      </c>
      <c r="AL6" s="88" t="n">
        <f aca="false">'Timeline and FX'!AL8</f>
        <v>60.4502858052424</v>
      </c>
      <c r="AM6" s="88" t="n">
        <f aca="false">'Timeline and FX'!AM8</f>
        <v>60.7445306280889</v>
      </c>
      <c r="AN6" s="88" t="n">
        <f aca="false">'Timeline and FX'!AN8</f>
        <v>61.0402077024891</v>
      </c>
      <c r="AO6" s="75" t="n">
        <f aca="false">IFERROR(AVERAGE(AP6:BA6),0)</f>
        <v>63.0063552258931</v>
      </c>
      <c r="AP6" s="88" t="n">
        <f aca="false">'Timeline and FX'!AP8</f>
        <v>61.337324</v>
      </c>
      <c r="AQ6" s="88" t="n">
        <f aca="false">'Timeline and FX'!AQ8</f>
        <v>61.6358865261128</v>
      </c>
      <c r="AR6" s="88" t="n">
        <f aca="false">'Timeline and FX'!AR8</f>
        <v>61.9359023204184</v>
      </c>
      <c r="AS6" s="88" t="n">
        <f aca="false">'Timeline and FX'!AS8</f>
        <v>62.2373784567732</v>
      </c>
      <c r="AT6" s="88" t="n">
        <f aca="false">'Timeline and FX'!AT8</f>
        <v>62.540322043466</v>
      </c>
      <c r="AU6" s="88" t="n">
        <f aca="false">'Timeline and FX'!AU8</f>
        <v>62.8447402233854</v>
      </c>
      <c r="AV6" s="88" t="n">
        <f aca="false">'Timeline and FX'!AV8</f>
        <v>63.1506401741885</v>
      </c>
      <c r="AW6" s="88" t="n">
        <f aca="false">'Timeline and FX'!AW8</f>
        <v>63.4580291084702</v>
      </c>
      <c r="AX6" s="88" t="n">
        <f aca="false">'Timeline and FX'!AX8</f>
        <v>63.7669142739327</v>
      </c>
      <c r="AY6" s="88" t="n">
        <f aca="false">'Timeline and FX'!AY8</f>
        <v>64.0773029535569</v>
      </c>
      <c r="AZ6" s="88" t="n">
        <f aca="false">'Timeline and FX'!AZ8</f>
        <v>64.3892024657742</v>
      </c>
      <c r="BA6" s="88" t="n">
        <f aca="false">'Timeline and FX'!BA8</f>
        <v>64.7026201646385</v>
      </c>
      <c r="BB6" s="75" t="n">
        <f aca="false">IFERROR(AVERAGE(BC6:BN6),0)</f>
        <v>66.7867365394467</v>
      </c>
      <c r="BC6" s="88" t="n">
        <f aca="false">'Timeline and FX'!BC8</f>
        <v>65.01756344</v>
      </c>
      <c r="BD6" s="88" t="n">
        <f aca="false">'Timeline and FX'!BD8</f>
        <v>65.3340397176796</v>
      </c>
      <c r="BE6" s="88" t="n">
        <f aca="false">'Timeline and FX'!BE8</f>
        <v>65.6520564596436</v>
      </c>
      <c r="BF6" s="88" t="n">
        <f aca="false">'Timeline and FX'!BF8</f>
        <v>65.9716211641796</v>
      </c>
      <c r="BG6" s="88" t="n">
        <f aca="false">'Timeline and FX'!BG8</f>
        <v>66.2927413660739</v>
      </c>
      <c r="BH6" s="88" t="n">
        <f aca="false">'Timeline and FX'!BH8</f>
        <v>66.6154246367885</v>
      </c>
      <c r="BI6" s="88" t="n">
        <f aca="false">'Timeline and FX'!BI8</f>
        <v>66.9396785846399</v>
      </c>
      <c r="BJ6" s="88" t="n">
        <f aca="false">'Timeline and FX'!BJ8</f>
        <v>67.2655108549784</v>
      </c>
      <c r="BK6" s="88" t="n">
        <f aca="false">'Timeline and FX'!BK8</f>
        <v>67.5929291303687</v>
      </c>
      <c r="BL6" s="88" t="n">
        <f aca="false">'Timeline and FX'!BL8</f>
        <v>67.9219411307704</v>
      </c>
      <c r="BM6" s="88" t="n">
        <f aca="false">'Timeline and FX'!BM8</f>
        <v>68.2525546137206</v>
      </c>
      <c r="BN6" s="88" t="n">
        <f aca="false">'Timeline and FX'!BN8</f>
        <v>68.5847773745168</v>
      </c>
    </row>
    <row r="7" customFormat="false" ht="15" hidden="false" customHeight="false" outlineLevel="0" collapsed="false">
      <c r="A7" s="4" t="s">
        <v>755</v>
      </c>
      <c r="B7" s="77" t="n">
        <f aca="false">N7</f>
        <v>1</v>
      </c>
      <c r="C7" s="78" t="n">
        <f aca="false">'Timeline and FX'!C9</f>
        <v>1</v>
      </c>
      <c r="D7" s="78" t="n">
        <f aca="false">'Timeline and FX'!D9</f>
        <v>1</v>
      </c>
      <c r="E7" s="78" t="n">
        <f aca="false">'Timeline and FX'!E9</f>
        <v>1</v>
      </c>
      <c r="F7" s="78" t="n">
        <f aca="false">'Timeline and FX'!F9</f>
        <v>1</v>
      </c>
      <c r="G7" s="78" t="n">
        <f aca="false">'Timeline and FX'!G9</f>
        <v>1</v>
      </c>
      <c r="H7" s="78" t="n">
        <f aca="false">'Timeline and FX'!H9</f>
        <v>1</v>
      </c>
      <c r="I7" s="78" t="n">
        <f aca="false">'Timeline and FX'!I9</f>
        <v>1</v>
      </c>
      <c r="J7" s="78" t="n">
        <f aca="false">'Timeline and FX'!J9</f>
        <v>1</v>
      </c>
      <c r="K7" s="78" t="n">
        <f aca="false">'Timeline and FX'!K9</f>
        <v>1</v>
      </c>
      <c r="L7" s="78" t="n">
        <f aca="false">'Timeline and FX'!L9</f>
        <v>1</v>
      </c>
      <c r="M7" s="78" t="n">
        <f aca="false">'Timeline and FX'!M9</f>
        <v>1</v>
      </c>
      <c r="N7" s="78" t="n">
        <f aca="false">'Timeline and FX'!N9</f>
        <v>1</v>
      </c>
      <c r="O7" s="77" t="n">
        <f aca="false">AA7</f>
        <v>1.08</v>
      </c>
      <c r="P7" s="78" t="n">
        <f aca="false">'Timeline and FX'!P9</f>
        <v>1.08</v>
      </c>
      <c r="Q7" s="78" t="n">
        <f aca="false">'Timeline and FX'!Q9</f>
        <v>1.08</v>
      </c>
      <c r="R7" s="78" t="n">
        <f aca="false">'Timeline and FX'!R9</f>
        <v>1.08</v>
      </c>
      <c r="S7" s="78" t="n">
        <f aca="false">'Timeline and FX'!S9</f>
        <v>1.08</v>
      </c>
      <c r="T7" s="78" t="n">
        <f aca="false">'Timeline and FX'!T9</f>
        <v>1.08</v>
      </c>
      <c r="U7" s="78" t="n">
        <f aca="false">'Timeline and FX'!U9</f>
        <v>1.08</v>
      </c>
      <c r="V7" s="78" t="n">
        <f aca="false">'Timeline and FX'!V9</f>
        <v>1.08</v>
      </c>
      <c r="W7" s="78" t="n">
        <f aca="false">'Timeline and FX'!W9</f>
        <v>1.08</v>
      </c>
      <c r="X7" s="78" t="n">
        <f aca="false">'Timeline and FX'!X9</f>
        <v>1.08</v>
      </c>
      <c r="Y7" s="78" t="n">
        <f aca="false">'Timeline and FX'!Y9</f>
        <v>1.08</v>
      </c>
      <c r="Z7" s="78" t="n">
        <f aca="false">'Timeline and FX'!Z9</f>
        <v>1.08</v>
      </c>
      <c r="AA7" s="78" t="n">
        <f aca="false">'Timeline and FX'!AA9</f>
        <v>1.08</v>
      </c>
      <c r="AB7" s="77" t="n">
        <f aca="false">AN7</f>
        <v>1.1664</v>
      </c>
      <c r="AC7" s="78" t="n">
        <f aca="false">'Timeline and FX'!AC9</f>
        <v>1.1664</v>
      </c>
      <c r="AD7" s="78" t="n">
        <f aca="false">'Timeline and FX'!AD9</f>
        <v>1.1664</v>
      </c>
      <c r="AE7" s="78" t="n">
        <f aca="false">'Timeline and FX'!AE9</f>
        <v>1.1664</v>
      </c>
      <c r="AF7" s="78" t="n">
        <f aca="false">'Timeline and FX'!AF9</f>
        <v>1.1664</v>
      </c>
      <c r="AG7" s="78" t="n">
        <f aca="false">'Timeline and FX'!AG9</f>
        <v>1.1664</v>
      </c>
      <c r="AH7" s="78" t="n">
        <f aca="false">'Timeline and FX'!AH9</f>
        <v>1.1664</v>
      </c>
      <c r="AI7" s="78" t="n">
        <f aca="false">'Timeline and FX'!AI9</f>
        <v>1.1664</v>
      </c>
      <c r="AJ7" s="78" t="n">
        <f aca="false">'Timeline and FX'!AJ9</f>
        <v>1.1664</v>
      </c>
      <c r="AK7" s="78" t="n">
        <f aca="false">'Timeline and FX'!AK9</f>
        <v>1.1664</v>
      </c>
      <c r="AL7" s="78" t="n">
        <f aca="false">'Timeline and FX'!AL9</f>
        <v>1.1664</v>
      </c>
      <c r="AM7" s="78" t="n">
        <f aca="false">'Timeline and FX'!AM9</f>
        <v>1.1664</v>
      </c>
      <c r="AN7" s="78" t="n">
        <f aca="false">'Timeline and FX'!AN9</f>
        <v>1.1664</v>
      </c>
      <c r="AO7" s="77" t="n">
        <f aca="false">BA7</f>
        <v>1.248048</v>
      </c>
      <c r="AP7" s="78" t="n">
        <f aca="false">'Timeline and FX'!AP9</f>
        <v>1.248048</v>
      </c>
      <c r="AQ7" s="78" t="n">
        <f aca="false">'Timeline and FX'!AQ9</f>
        <v>1.248048</v>
      </c>
      <c r="AR7" s="78" t="n">
        <f aca="false">'Timeline and FX'!AR9</f>
        <v>1.248048</v>
      </c>
      <c r="AS7" s="78" t="n">
        <f aca="false">'Timeline and FX'!AS9</f>
        <v>1.248048</v>
      </c>
      <c r="AT7" s="78" t="n">
        <f aca="false">'Timeline and FX'!AT9</f>
        <v>1.248048</v>
      </c>
      <c r="AU7" s="78" t="n">
        <f aca="false">'Timeline and FX'!AU9</f>
        <v>1.248048</v>
      </c>
      <c r="AV7" s="78" t="n">
        <f aca="false">'Timeline and FX'!AV9</f>
        <v>1.248048</v>
      </c>
      <c r="AW7" s="78" t="n">
        <f aca="false">'Timeline and FX'!AW9</f>
        <v>1.248048</v>
      </c>
      <c r="AX7" s="78" t="n">
        <f aca="false">'Timeline and FX'!AX9</f>
        <v>1.248048</v>
      </c>
      <c r="AY7" s="78" t="n">
        <f aca="false">'Timeline and FX'!AY9</f>
        <v>1.248048</v>
      </c>
      <c r="AZ7" s="78" t="n">
        <f aca="false">'Timeline and FX'!AZ9</f>
        <v>1.248048</v>
      </c>
      <c r="BA7" s="78" t="n">
        <f aca="false">'Timeline and FX'!BA9</f>
        <v>1.248048</v>
      </c>
      <c r="BB7" s="77" t="n">
        <f aca="false">BN7</f>
        <v>1.32293088</v>
      </c>
      <c r="BC7" s="78" t="n">
        <f aca="false">'Timeline and FX'!BC9</f>
        <v>1.32293088</v>
      </c>
      <c r="BD7" s="78" t="n">
        <f aca="false">'Timeline and FX'!BD9</f>
        <v>1.32293088</v>
      </c>
      <c r="BE7" s="78" t="n">
        <f aca="false">'Timeline and FX'!BE9</f>
        <v>1.32293088</v>
      </c>
      <c r="BF7" s="78" t="n">
        <f aca="false">'Timeline and FX'!BF9</f>
        <v>1.32293088</v>
      </c>
      <c r="BG7" s="78" t="n">
        <f aca="false">'Timeline and FX'!BG9</f>
        <v>1.32293088</v>
      </c>
      <c r="BH7" s="78" t="n">
        <f aca="false">'Timeline and FX'!BH9</f>
        <v>1.32293088</v>
      </c>
      <c r="BI7" s="78" t="n">
        <f aca="false">'Timeline and FX'!BI9</f>
        <v>1.32293088</v>
      </c>
      <c r="BJ7" s="78" t="n">
        <f aca="false">'Timeline and FX'!BJ9</f>
        <v>1.32293088</v>
      </c>
      <c r="BK7" s="78" t="n">
        <f aca="false">'Timeline and FX'!BK9</f>
        <v>1.32293088</v>
      </c>
      <c r="BL7" s="78" t="n">
        <f aca="false">'Timeline and FX'!BL9</f>
        <v>1.32293088</v>
      </c>
      <c r="BM7" s="78" t="n">
        <f aca="false">'Timeline and FX'!BM9</f>
        <v>1.32293088</v>
      </c>
      <c r="BN7" s="78" t="n">
        <f aca="false">'Timeline and FX'!BN9</f>
        <v>1.32293088</v>
      </c>
    </row>
    <row r="8" customFormat="false" ht="15" hidden="false" customHeight="false" outlineLevel="0" collapsed="false">
      <c r="A8" s="4" t="s">
        <v>756</v>
      </c>
      <c r="B8" s="89" t="n">
        <f aca="false">N8</f>
        <v>0.2</v>
      </c>
      <c r="C8" s="16" t="n">
        <f aca="false">'Assumption Setting'!$C$97</f>
        <v>0.2</v>
      </c>
      <c r="D8" s="16" t="n">
        <f aca="false">'Assumption Setting'!$C$97</f>
        <v>0.2</v>
      </c>
      <c r="E8" s="16" t="n">
        <f aca="false">'Assumption Setting'!$C$97</f>
        <v>0.2</v>
      </c>
      <c r="F8" s="16" t="n">
        <f aca="false">'Assumption Setting'!$C$97</f>
        <v>0.2</v>
      </c>
      <c r="G8" s="16" t="n">
        <f aca="false">'Assumption Setting'!$C$97</f>
        <v>0.2</v>
      </c>
      <c r="H8" s="16" t="n">
        <f aca="false">'Assumption Setting'!$C$97</f>
        <v>0.2</v>
      </c>
      <c r="I8" s="16" t="n">
        <f aca="false">'Assumption Setting'!$C$97</f>
        <v>0.2</v>
      </c>
      <c r="J8" s="16" t="n">
        <f aca="false">'Assumption Setting'!$C$97</f>
        <v>0.2</v>
      </c>
      <c r="K8" s="16" t="n">
        <f aca="false">'Assumption Setting'!$C$97</f>
        <v>0.2</v>
      </c>
      <c r="L8" s="16" t="n">
        <f aca="false">'Assumption Setting'!$C$97</f>
        <v>0.2</v>
      </c>
      <c r="M8" s="16" t="n">
        <f aca="false">'Assumption Setting'!$C$97</f>
        <v>0.2</v>
      </c>
      <c r="N8" s="16" t="n">
        <f aca="false">'Assumption Setting'!$C$97</f>
        <v>0.2</v>
      </c>
      <c r="O8" s="89" t="n">
        <f aca="false">AA8</f>
        <v>0.26</v>
      </c>
      <c r="P8" s="16" t="n">
        <f aca="false">'Assumption Setting'!$D$97</f>
        <v>0.26</v>
      </c>
      <c r="Q8" s="16" t="n">
        <f aca="false">'Assumption Setting'!$D$97</f>
        <v>0.26</v>
      </c>
      <c r="R8" s="16" t="n">
        <f aca="false">'Assumption Setting'!$D$97</f>
        <v>0.26</v>
      </c>
      <c r="S8" s="16" t="n">
        <f aca="false">'Assumption Setting'!$D$97</f>
        <v>0.26</v>
      </c>
      <c r="T8" s="16" t="n">
        <f aca="false">'Assumption Setting'!$D$97</f>
        <v>0.26</v>
      </c>
      <c r="U8" s="16" t="n">
        <f aca="false">'Assumption Setting'!$D$97</f>
        <v>0.26</v>
      </c>
      <c r="V8" s="16" t="n">
        <f aca="false">'Assumption Setting'!$D$97</f>
        <v>0.26</v>
      </c>
      <c r="W8" s="16" t="n">
        <f aca="false">'Assumption Setting'!$D$97</f>
        <v>0.26</v>
      </c>
      <c r="X8" s="16" t="n">
        <f aca="false">'Assumption Setting'!$D$97</f>
        <v>0.26</v>
      </c>
      <c r="Y8" s="16" t="n">
        <f aca="false">'Assumption Setting'!$D$97</f>
        <v>0.26</v>
      </c>
      <c r="Z8" s="16" t="n">
        <f aca="false">'Assumption Setting'!$D$97</f>
        <v>0.26</v>
      </c>
      <c r="AA8" s="16" t="n">
        <f aca="false">'Assumption Setting'!$D$97</f>
        <v>0.26</v>
      </c>
      <c r="AB8" s="89" t="n">
        <f aca="false">AN8</f>
        <v>0.31</v>
      </c>
      <c r="AC8" s="16" t="n">
        <f aca="false">'Assumption Setting'!$E$97</f>
        <v>0.31</v>
      </c>
      <c r="AD8" s="16" t="n">
        <f aca="false">'Assumption Setting'!$E$97</f>
        <v>0.31</v>
      </c>
      <c r="AE8" s="16" t="n">
        <f aca="false">'Assumption Setting'!$E$97</f>
        <v>0.31</v>
      </c>
      <c r="AF8" s="16" t="n">
        <f aca="false">'Assumption Setting'!$E$97</f>
        <v>0.31</v>
      </c>
      <c r="AG8" s="16" t="n">
        <f aca="false">'Assumption Setting'!$E$97</f>
        <v>0.31</v>
      </c>
      <c r="AH8" s="16" t="n">
        <f aca="false">'Assumption Setting'!$E$97</f>
        <v>0.31</v>
      </c>
      <c r="AI8" s="16" t="n">
        <f aca="false">'Assumption Setting'!$E$97</f>
        <v>0.31</v>
      </c>
      <c r="AJ8" s="16" t="n">
        <f aca="false">'Assumption Setting'!$E$97</f>
        <v>0.31</v>
      </c>
      <c r="AK8" s="16" t="n">
        <f aca="false">'Assumption Setting'!$E$97</f>
        <v>0.31</v>
      </c>
      <c r="AL8" s="16" t="n">
        <f aca="false">'Assumption Setting'!$E$97</f>
        <v>0.31</v>
      </c>
      <c r="AM8" s="16" t="n">
        <f aca="false">'Assumption Setting'!$E$97</f>
        <v>0.31</v>
      </c>
      <c r="AN8" s="16" t="n">
        <f aca="false">'Assumption Setting'!$E$97</f>
        <v>0.31</v>
      </c>
      <c r="AO8" s="89" t="n">
        <f aca="false">BA8</f>
        <v>0.35</v>
      </c>
      <c r="AP8" s="16" t="n">
        <f aca="false">'Assumption Setting'!$F$97</f>
        <v>0.35</v>
      </c>
      <c r="AQ8" s="16" t="n">
        <f aca="false">'Assumption Setting'!$F$97</f>
        <v>0.35</v>
      </c>
      <c r="AR8" s="16" t="n">
        <f aca="false">'Assumption Setting'!$F$97</f>
        <v>0.35</v>
      </c>
      <c r="AS8" s="16" t="n">
        <f aca="false">'Assumption Setting'!$F$97</f>
        <v>0.35</v>
      </c>
      <c r="AT8" s="16" t="n">
        <f aca="false">'Assumption Setting'!$F$97</f>
        <v>0.35</v>
      </c>
      <c r="AU8" s="16" t="n">
        <f aca="false">'Assumption Setting'!$F$97</f>
        <v>0.35</v>
      </c>
      <c r="AV8" s="16" t="n">
        <f aca="false">'Assumption Setting'!$F$97</f>
        <v>0.35</v>
      </c>
      <c r="AW8" s="16" t="n">
        <f aca="false">'Assumption Setting'!$F$97</f>
        <v>0.35</v>
      </c>
      <c r="AX8" s="16" t="n">
        <f aca="false">'Assumption Setting'!$F$97</f>
        <v>0.35</v>
      </c>
      <c r="AY8" s="16" t="n">
        <f aca="false">'Assumption Setting'!$F$97</f>
        <v>0.35</v>
      </c>
      <c r="AZ8" s="16" t="n">
        <f aca="false">'Assumption Setting'!$F$97</f>
        <v>0.35</v>
      </c>
      <c r="BA8" s="16" t="n">
        <f aca="false">'Assumption Setting'!$F$97</f>
        <v>0.35</v>
      </c>
      <c r="BB8" s="89" t="n">
        <f aca="false">BN8</f>
        <v>0.38</v>
      </c>
      <c r="BC8" s="16" t="n">
        <f aca="false">'Assumption Setting'!$G$97</f>
        <v>0.38</v>
      </c>
      <c r="BD8" s="16" t="n">
        <f aca="false">'Assumption Setting'!$G$97</f>
        <v>0.38</v>
      </c>
      <c r="BE8" s="16" t="n">
        <f aca="false">'Assumption Setting'!$G$97</f>
        <v>0.38</v>
      </c>
      <c r="BF8" s="16" t="n">
        <f aca="false">'Assumption Setting'!$G$97</f>
        <v>0.38</v>
      </c>
      <c r="BG8" s="16" t="n">
        <f aca="false">'Assumption Setting'!$G$97</f>
        <v>0.38</v>
      </c>
      <c r="BH8" s="16" t="n">
        <f aca="false">'Assumption Setting'!$G$97</f>
        <v>0.38</v>
      </c>
      <c r="BI8" s="16" t="n">
        <f aca="false">'Assumption Setting'!$G$97</f>
        <v>0.38</v>
      </c>
      <c r="BJ8" s="16" t="n">
        <f aca="false">'Assumption Setting'!$G$97</f>
        <v>0.38</v>
      </c>
      <c r="BK8" s="16" t="n">
        <f aca="false">'Assumption Setting'!$G$97</f>
        <v>0.38</v>
      </c>
      <c r="BL8" s="16" t="n">
        <f aca="false">'Assumption Setting'!$G$97</f>
        <v>0.38</v>
      </c>
      <c r="BM8" s="16" t="n">
        <f aca="false">'Assumption Setting'!$G$97</f>
        <v>0.38</v>
      </c>
      <c r="BN8" s="16" t="n">
        <f aca="false">'Assumption Setting'!$G$97</f>
        <v>0.38</v>
      </c>
    </row>
    <row r="9" customFormat="false" ht="15" hidden="false" customHeight="false" outlineLevel="0" collapsed="false">
      <c r="A9" s="4" t="s">
        <v>757</v>
      </c>
      <c r="B9" s="77" t="n">
        <f aca="false">N9</f>
        <v>0.96</v>
      </c>
      <c r="C9" s="79" t="n">
        <f aca="false">1-'Assumption Setting'!$C$93*C8</f>
        <v>0.96</v>
      </c>
      <c r="D9" s="79" t="n">
        <f aca="false">1-'Assumption Setting'!$C$93*D8</f>
        <v>0.96</v>
      </c>
      <c r="E9" s="79" t="n">
        <f aca="false">1-'Assumption Setting'!$C$93*E8</f>
        <v>0.96</v>
      </c>
      <c r="F9" s="79" t="n">
        <f aca="false">1-'Assumption Setting'!$C$93*F8</f>
        <v>0.96</v>
      </c>
      <c r="G9" s="79" t="n">
        <f aca="false">1-'Assumption Setting'!$C$93*G8</f>
        <v>0.96</v>
      </c>
      <c r="H9" s="79" t="n">
        <f aca="false">1-'Assumption Setting'!$C$93*H8</f>
        <v>0.96</v>
      </c>
      <c r="I9" s="79" t="n">
        <f aca="false">1-'Assumption Setting'!$C$93*I8</f>
        <v>0.96</v>
      </c>
      <c r="J9" s="79" t="n">
        <f aca="false">1-'Assumption Setting'!$C$93*J8</f>
        <v>0.96</v>
      </c>
      <c r="K9" s="79" t="n">
        <f aca="false">1-'Assumption Setting'!$C$93*K8</f>
        <v>0.96</v>
      </c>
      <c r="L9" s="79" t="n">
        <f aca="false">1-'Assumption Setting'!$C$93*L8</f>
        <v>0.96</v>
      </c>
      <c r="M9" s="79" t="n">
        <f aca="false">1-'Assumption Setting'!$C$93*M8</f>
        <v>0.96</v>
      </c>
      <c r="N9" s="79" t="n">
        <f aca="false">1-'Assumption Setting'!$C$93*N8</f>
        <v>0.96</v>
      </c>
      <c r="O9" s="77" t="n">
        <f aca="false">AA9</f>
        <v>0.948</v>
      </c>
      <c r="P9" s="79" t="n">
        <f aca="false">1-'Assumption Setting'!$C$93*P8</f>
        <v>0.948</v>
      </c>
      <c r="Q9" s="79" t="n">
        <f aca="false">1-'Assumption Setting'!$C$93*Q8</f>
        <v>0.948</v>
      </c>
      <c r="R9" s="79" t="n">
        <f aca="false">1-'Assumption Setting'!$C$93*R8</f>
        <v>0.948</v>
      </c>
      <c r="S9" s="79" t="n">
        <f aca="false">1-'Assumption Setting'!$C$93*S8</f>
        <v>0.948</v>
      </c>
      <c r="T9" s="79" t="n">
        <f aca="false">1-'Assumption Setting'!$C$93*T8</f>
        <v>0.948</v>
      </c>
      <c r="U9" s="79" t="n">
        <f aca="false">1-'Assumption Setting'!$C$93*U8</f>
        <v>0.948</v>
      </c>
      <c r="V9" s="79" t="n">
        <f aca="false">1-'Assumption Setting'!$C$93*V8</f>
        <v>0.948</v>
      </c>
      <c r="W9" s="79" t="n">
        <f aca="false">1-'Assumption Setting'!$C$93*W8</f>
        <v>0.948</v>
      </c>
      <c r="X9" s="79" t="n">
        <f aca="false">1-'Assumption Setting'!$C$93*X8</f>
        <v>0.948</v>
      </c>
      <c r="Y9" s="79" t="n">
        <f aca="false">1-'Assumption Setting'!$C$93*Y8</f>
        <v>0.948</v>
      </c>
      <c r="Z9" s="79" t="n">
        <f aca="false">1-'Assumption Setting'!$C$93*Z8</f>
        <v>0.948</v>
      </c>
      <c r="AA9" s="79" t="n">
        <f aca="false">1-'Assumption Setting'!$C$93*AA8</f>
        <v>0.948</v>
      </c>
      <c r="AB9" s="77" t="n">
        <f aca="false">AN9</f>
        <v>0.938</v>
      </c>
      <c r="AC9" s="79" t="n">
        <f aca="false">1-'Assumption Setting'!$C$93*AC8</f>
        <v>0.938</v>
      </c>
      <c r="AD9" s="79" t="n">
        <f aca="false">1-'Assumption Setting'!$C$93*AD8</f>
        <v>0.938</v>
      </c>
      <c r="AE9" s="79" t="n">
        <f aca="false">1-'Assumption Setting'!$C$93*AE8</f>
        <v>0.938</v>
      </c>
      <c r="AF9" s="79" t="n">
        <f aca="false">1-'Assumption Setting'!$C$93*AF8</f>
        <v>0.938</v>
      </c>
      <c r="AG9" s="79" t="n">
        <f aca="false">1-'Assumption Setting'!$C$93*AG8</f>
        <v>0.938</v>
      </c>
      <c r="AH9" s="79" t="n">
        <f aca="false">1-'Assumption Setting'!$C$93*AH8</f>
        <v>0.938</v>
      </c>
      <c r="AI9" s="79" t="n">
        <f aca="false">1-'Assumption Setting'!$C$93*AI8</f>
        <v>0.938</v>
      </c>
      <c r="AJ9" s="79" t="n">
        <f aca="false">1-'Assumption Setting'!$C$93*AJ8</f>
        <v>0.938</v>
      </c>
      <c r="AK9" s="79" t="n">
        <f aca="false">1-'Assumption Setting'!$C$93*AK8</f>
        <v>0.938</v>
      </c>
      <c r="AL9" s="79" t="n">
        <f aca="false">1-'Assumption Setting'!$C$93*AL8</f>
        <v>0.938</v>
      </c>
      <c r="AM9" s="79" t="n">
        <f aca="false">1-'Assumption Setting'!$C$93*AM8</f>
        <v>0.938</v>
      </c>
      <c r="AN9" s="79" t="n">
        <f aca="false">1-'Assumption Setting'!$C$93*AN8</f>
        <v>0.938</v>
      </c>
      <c r="AO9" s="77" t="n">
        <f aca="false">BA9</f>
        <v>0.93</v>
      </c>
      <c r="AP9" s="79" t="n">
        <f aca="false">1-'Assumption Setting'!$C$93*AP8</f>
        <v>0.93</v>
      </c>
      <c r="AQ9" s="79" t="n">
        <f aca="false">1-'Assumption Setting'!$C$93*AQ8</f>
        <v>0.93</v>
      </c>
      <c r="AR9" s="79" t="n">
        <f aca="false">1-'Assumption Setting'!$C$93*AR8</f>
        <v>0.93</v>
      </c>
      <c r="AS9" s="79" t="n">
        <f aca="false">1-'Assumption Setting'!$C$93*AS8</f>
        <v>0.93</v>
      </c>
      <c r="AT9" s="79" t="n">
        <f aca="false">1-'Assumption Setting'!$C$93*AT8</f>
        <v>0.93</v>
      </c>
      <c r="AU9" s="79" t="n">
        <f aca="false">1-'Assumption Setting'!$C$93*AU8</f>
        <v>0.93</v>
      </c>
      <c r="AV9" s="79" t="n">
        <f aca="false">1-'Assumption Setting'!$C$93*AV8</f>
        <v>0.93</v>
      </c>
      <c r="AW9" s="79" t="n">
        <f aca="false">1-'Assumption Setting'!$C$93*AW8</f>
        <v>0.93</v>
      </c>
      <c r="AX9" s="79" t="n">
        <f aca="false">1-'Assumption Setting'!$C$93*AX8</f>
        <v>0.93</v>
      </c>
      <c r="AY9" s="79" t="n">
        <f aca="false">1-'Assumption Setting'!$C$93*AY8</f>
        <v>0.93</v>
      </c>
      <c r="AZ9" s="79" t="n">
        <f aca="false">1-'Assumption Setting'!$C$93*AZ8</f>
        <v>0.93</v>
      </c>
      <c r="BA9" s="79" t="n">
        <f aca="false">1-'Assumption Setting'!$C$93*BA8</f>
        <v>0.93</v>
      </c>
      <c r="BB9" s="77" t="n">
        <f aca="false">BN9</f>
        <v>0.924</v>
      </c>
      <c r="BC9" s="79" t="n">
        <f aca="false">1-'Assumption Setting'!$C$93*BC8</f>
        <v>0.924</v>
      </c>
      <c r="BD9" s="79" t="n">
        <f aca="false">1-'Assumption Setting'!$C$93*BD8</f>
        <v>0.924</v>
      </c>
      <c r="BE9" s="79" t="n">
        <f aca="false">1-'Assumption Setting'!$C$93*BE8</f>
        <v>0.924</v>
      </c>
      <c r="BF9" s="79" t="n">
        <f aca="false">1-'Assumption Setting'!$C$93*BF8</f>
        <v>0.924</v>
      </c>
      <c r="BG9" s="79" t="n">
        <f aca="false">1-'Assumption Setting'!$C$93*BG8</f>
        <v>0.924</v>
      </c>
      <c r="BH9" s="79" t="n">
        <f aca="false">1-'Assumption Setting'!$C$93*BH8</f>
        <v>0.924</v>
      </c>
      <c r="BI9" s="79" t="n">
        <f aca="false">1-'Assumption Setting'!$C$93*BI8</f>
        <v>0.924</v>
      </c>
      <c r="BJ9" s="79" t="n">
        <f aca="false">1-'Assumption Setting'!$C$93*BJ8</f>
        <v>0.924</v>
      </c>
      <c r="BK9" s="79" t="n">
        <f aca="false">1-'Assumption Setting'!$C$93*BK8</f>
        <v>0.924</v>
      </c>
      <c r="BL9" s="79" t="n">
        <f aca="false">1-'Assumption Setting'!$C$93*BL8</f>
        <v>0.924</v>
      </c>
      <c r="BM9" s="79" t="n">
        <f aca="false">1-'Assumption Setting'!$C$93*BM8</f>
        <v>0.924</v>
      </c>
      <c r="BN9" s="79" t="n">
        <f aca="false">1-'Assumption Setting'!$C$93*BN8</f>
        <v>0.924</v>
      </c>
    </row>
    <row r="10" customFormat="false" ht="15" hidden="false" customHeight="false" outlineLevel="0" collapsed="false">
      <c r="A10" s="4" t="s">
        <v>758</v>
      </c>
      <c r="C10" s="74" t="n">
        <f aca="false">IF(1&gt;='Assumption Setting'!$C$126,1,0)</f>
        <v>1</v>
      </c>
      <c r="D10" s="74" t="n">
        <f aca="false">IF(2&gt;='Assumption Setting'!$C$126,1,0)</f>
        <v>1</v>
      </c>
      <c r="E10" s="74" t="n">
        <f aca="false">IF(3&gt;='Assumption Setting'!$C$126,1,0)</f>
        <v>1</v>
      </c>
      <c r="F10" s="74" t="n">
        <f aca="false">IF(4&gt;='Assumption Setting'!$C$126,1,0)</f>
        <v>1</v>
      </c>
      <c r="G10" s="74" t="n">
        <f aca="false">IF(5&gt;='Assumption Setting'!$C$126,1,0)</f>
        <v>1</v>
      </c>
      <c r="H10" s="74" t="n">
        <f aca="false">IF(6&gt;='Assumption Setting'!$C$126,1,0)</f>
        <v>1</v>
      </c>
      <c r="I10" s="74" t="n">
        <f aca="false">IF(7&gt;='Assumption Setting'!$C$126,1,0)</f>
        <v>1</v>
      </c>
      <c r="J10" s="74" t="n">
        <f aca="false">IF(8&gt;='Assumption Setting'!$C$126,1,0)</f>
        <v>1</v>
      </c>
      <c r="K10" s="74" t="n">
        <f aca="false">IF(9&gt;='Assumption Setting'!$C$126,1,0)</f>
        <v>1</v>
      </c>
      <c r="L10" s="74" t="n">
        <f aca="false">IF(10&gt;='Assumption Setting'!$C$126,1,0)</f>
        <v>1</v>
      </c>
      <c r="M10" s="74" t="n">
        <f aca="false">IF(11&gt;='Assumption Setting'!$C$126,1,0)</f>
        <v>1</v>
      </c>
      <c r="N10" s="74" t="n">
        <f aca="false">IF(12&gt;='Assumption Setting'!$C$126,1,0)</f>
        <v>1</v>
      </c>
      <c r="P10" s="74" t="n">
        <f aca="false">IF(13&gt;='Assumption Setting'!$C$126,1,0)</f>
        <v>1</v>
      </c>
      <c r="Q10" s="74" t="n">
        <f aca="false">IF(14&gt;='Assumption Setting'!$C$126,1,0)</f>
        <v>1</v>
      </c>
      <c r="R10" s="74" t="n">
        <f aca="false">IF(15&gt;='Assumption Setting'!$C$126,1,0)</f>
        <v>1</v>
      </c>
      <c r="S10" s="74" t="n">
        <f aca="false">IF(16&gt;='Assumption Setting'!$C$126,1,0)</f>
        <v>1</v>
      </c>
      <c r="T10" s="74" t="n">
        <f aca="false">IF(17&gt;='Assumption Setting'!$C$126,1,0)</f>
        <v>1</v>
      </c>
      <c r="U10" s="74" t="n">
        <f aca="false">IF(18&gt;='Assumption Setting'!$C$126,1,0)</f>
        <v>1</v>
      </c>
      <c r="V10" s="74" t="n">
        <f aca="false">IF(19&gt;='Assumption Setting'!$C$126,1,0)</f>
        <v>1</v>
      </c>
      <c r="W10" s="74" t="n">
        <f aca="false">IF(20&gt;='Assumption Setting'!$C$126,1,0)</f>
        <v>1</v>
      </c>
      <c r="X10" s="74" t="n">
        <f aca="false">IF(21&gt;='Assumption Setting'!$C$126,1,0)</f>
        <v>1</v>
      </c>
      <c r="Y10" s="74" t="n">
        <f aca="false">IF(22&gt;='Assumption Setting'!$C$126,1,0)</f>
        <v>1</v>
      </c>
      <c r="Z10" s="74" t="n">
        <f aca="false">IF(23&gt;='Assumption Setting'!$C$126,1,0)</f>
        <v>1</v>
      </c>
      <c r="AA10" s="74" t="n">
        <f aca="false">IF(24&gt;='Assumption Setting'!$C$126,1,0)</f>
        <v>1</v>
      </c>
      <c r="AC10" s="74" t="n">
        <f aca="false">IF(25&gt;='Assumption Setting'!$C$126,1,0)</f>
        <v>1</v>
      </c>
      <c r="AD10" s="74" t="n">
        <f aca="false">IF(26&gt;='Assumption Setting'!$C$126,1,0)</f>
        <v>1</v>
      </c>
      <c r="AE10" s="74" t="n">
        <f aca="false">IF(27&gt;='Assumption Setting'!$C$126,1,0)</f>
        <v>1</v>
      </c>
      <c r="AF10" s="74" t="n">
        <f aca="false">IF(28&gt;='Assumption Setting'!$C$126,1,0)</f>
        <v>1</v>
      </c>
      <c r="AG10" s="74" t="n">
        <f aca="false">IF(29&gt;='Assumption Setting'!$C$126,1,0)</f>
        <v>1</v>
      </c>
      <c r="AH10" s="74" t="n">
        <f aca="false">IF(30&gt;='Assumption Setting'!$C$126,1,0)</f>
        <v>1</v>
      </c>
      <c r="AI10" s="74" t="n">
        <f aca="false">IF(31&gt;='Assumption Setting'!$C$126,1,0)</f>
        <v>1</v>
      </c>
      <c r="AJ10" s="74" t="n">
        <f aca="false">IF(32&gt;='Assumption Setting'!$C$126,1,0)</f>
        <v>1</v>
      </c>
      <c r="AK10" s="74" t="n">
        <f aca="false">IF(33&gt;='Assumption Setting'!$C$126,1,0)</f>
        <v>1</v>
      </c>
      <c r="AL10" s="74" t="n">
        <f aca="false">IF(34&gt;='Assumption Setting'!$C$126,1,0)</f>
        <v>1</v>
      </c>
      <c r="AM10" s="74" t="n">
        <f aca="false">IF(35&gt;='Assumption Setting'!$C$126,1,0)</f>
        <v>1</v>
      </c>
      <c r="AN10" s="74" t="n">
        <f aca="false">IF(36&gt;='Assumption Setting'!$C$126,1,0)</f>
        <v>1</v>
      </c>
      <c r="AP10" s="74" t="n">
        <f aca="false">IF(37&gt;='Assumption Setting'!$C$126,1,0)</f>
        <v>1</v>
      </c>
      <c r="AQ10" s="74" t="n">
        <f aca="false">IF(38&gt;='Assumption Setting'!$C$126,1,0)</f>
        <v>1</v>
      </c>
      <c r="AR10" s="74" t="n">
        <f aca="false">IF(39&gt;='Assumption Setting'!$C$126,1,0)</f>
        <v>1</v>
      </c>
      <c r="AS10" s="74" t="n">
        <f aca="false">IF(40&gt;='Assumption Setting'!$C$126,1,0)</f>
        <v>1</v>
      </c>
      <c r="AT10" s="74" t="n">
        <f aca="false">IF(41&gt;='Assumption Setting'!$C$126,1,0)</f>
        <v>1</v>
      </c>
      <c r="AU10" s="74" t="n">
        <f aca="false">IF(42&gt;='Assumption Setting'!$C$126,1,0)</f>
        <v>1</v>
      </c>
      <c r="AV10" s="74" t="n">
        <f aca="false">IF(43&gt;='Assumption Setting'!$C$126,1,0)</f>
        <v>1</v>
      </c>
      <c r="AW10" s="74" t="n">
        <f aca="false">IF(44&gt;='Assumption Setting'!$C$126,1,0)</f>
        <v>1</v>
      </c>
      <c r="AX10" s="74" t="n">
        <f aca="false">IF(45&gt;='Assumption Setting'!$C$126,1,0)</f>
        <v>1</v>
      </c>
      <c r="AY10" s="74" t="n">
        <f aca="false">IF(46&gt;='Assumption Setting'!$C$126,1,0)</f>
        <v>1</v>
      </c>
      <c r="AZ10" s="74" t="n">
        <f aca="false">IF(47&gt;='Assumption Setting'!$C$126,1,0)</f>
        <v>1</v>
      </c>
      <c r="BA10" s="74" t="n">
        <f aca="false">IF(48&gt;='Assumption Setting'!$C$126,1,0)</f>
        <v>1</v>
      </c>
      <c r="BC10" s="74" t="n">
        <f aca="false">IF(49&gt;='Assumption Setting'!$C$126,1,0)</f>
        <v>1</v>
      </c>
      <c r="BD10" s="74" t="n">
        <f aca="false">IF(50&gt;='Assumption Setting'!$C$126,1,0)</f>
        <v>1</v>
      </c>
      <c r="BE10" s="74" t="n">
        <f aca="false">IF(51&gt;='Assumption Setting'!$C$126,1,0)</f>
        <v>1</v>
      </c>
      <c r="BF10" s="74" t="n">
        <f aca="false">IF(52&gt;='Assumption Setting'!$C$126,1,0)</f>
        <v>1</v>
      </c>
      <c r="BG10" s="74" t="n">
        <f aca="false">IF(53&gt;='Assumption Setting'!$C$126,1,0)</f>
        <v>1</v>
      </c>
      <c r="BH10" s="74" t="n">
        <f aca="false">IF(54&gt;='Assumption Setting'!$C$126,1,0)</f>
        <v>1</v>
      </c>
      <c r="BI10" s="74" t="n">
        <f aca="false">IF(55&gt;='Assumption Setting'!$C$126,1,0)</f>
        <v>1</v>
      </c>
      <c r="BJ10" s="74" t="n">
        <f aca="false">IF(56&gt;='Assumption Setting'!$C$126,1,0)</f>
        <v>1</v>
      </c>
      <c r="BK10" s="74" t="n">
        <f aca="false">IF(57&gt;='Assumption Setting'!$C$126,1,0)</f>
        <v>1</v>
      </c>
      <c r="BL10" s="74" t="n">
        <f aca="false">IF(58&gt;='Assumption Setting'!$C$126,1,0)</f>
        <v>1</v>
      </c>
      <c r="BM10" s="74" t="n">
        <f aca="false">IF(59&gt;='Assumption Setting'!$C$126,1,0)</f>
        <v>1</v>
      </c>
      <c r="BN10" s="74" t="n">
        <f aca="false">IF(60&gt;='Assumption Setting'!$C$126,1,0)</f>
        <v>1</v>
      </c>
    </row>
    <row r="11" customFormat="false" ht="15" hidden="false" customHeight="false" outlineLevel="0" collapsed="false">
      <c r="A11" s="4" t="s">
        <v>759</v>
      </c>
      <c r="C11" s="74" t="n">
        <f aca="false">IF(1&gt;='Assumption Setting'!$C$127,1,0)</f>
        <v>1</v>
      </c>
      <c r="D11" s="74" t="n">
        <f aca="false">IF(2&gt;='Assumption Setting'!$C$127,1,0)</f>
        <v>1</v>
      </c>
      <c r="E11" s="74" t="n">
        <f aca="false">IF(3&gt;='Assumption Setting'!$C$127,1,0)</f>
        <v>1</v>
      </c>
      <c r="F11" s="74" t="n">
        <f aca="false">IF(4&gt;='Assumption Setting'!$C$127,1,0)</f>
        <v>1</v>
      </c>
      <c r="G11" s="74" t="n">
        <f aca="false">IF(5&gt;='Assumption Setting'!$C$127,1,0)</f>
        <v>1</v>
      </c>
      <c r="H11" s="74" t="n">
        <f aca="false">IF(6&gt;='Assumption Setting'!$C$127,1,0)</f>
        <v>1</v>
      </c>
      <c r="I11" s="74" t="n">
        <f aca="false">IF(7&gt;='Assumption Setting'!$C$127,1,0)</f>
        <v>1</v>
      </c>
      <c r="J11" s="74" t="n">
        <f aca="false">IF(8&gt;='Assumption Setting'!$C$127,1,0)</f>
        <v>1</v>
      </c>
      <c r="K11" s="74" t="n">
        <f aca="false">IF(9&gt;='Assumption Setting'!$C$127,1,0)</f>
        <v>1</v>
      </c>
      <c r="L11" s="74" t="n">
        <f aca="false">IF(10&gt;='Assumption Setting'!$C$127,1,0)</f>
        <v>1</v>
      </c>
      <c r="M11" s="74" t="n">
        <f aca="false">IF(11&gt;='Assumption Setting'!$C$127,1,0)</f>
        <v>1</v>
      </c>
      <c r="N11" s="74" t="n">
        <f aca="false">IF(12&gt;='Assumption Setting'!$C$127,1,0)</f>
        <v>1</v>
      </c>
      <c r="P11" s="74" t="n">
        <f aca="false">IF(13&gt;='Assumption Setting'!$C$127,1,0)</f>
        <v>1</v>
      </c>
      <c r="Q11" s="74" t="n">
        <f aca="false">IF(14&gt;='Assumption Setting'!$C$127,1,0)</f>
        <v>1</v>
      </c>
      <c r="R11" s="74" t="n">
        <f aca="false">IF(15&gt;='Assumption Setting'!$C$127,1,0)</f>
        <v>1</v>
      </c>
      <c r="S11" s="74" t="n">
        <f aca="false">IF(16&gt;='Assumption Setting'!$C$127,1,0)</f>
        <v>1</v>
      </c>
      <c r="T11" s="74" t="n">
        <f aca="false">IF(17&gt;='Assumption Setting'!$C$127,1,0)</f>
        <v>1</v>
      </c>
      <c r="U11" s="74" t="n">
        <f aca="false">IF(18&gt;='Assumption Setting'!$C$127,1,0)</f>
        <v>1</v>
      </c>
      <c r="V11" s="74" t="n">
        <f aca="false">IF(19&gt;='Assumption Setting'!$C$127,1,0)</f>
        <v>1</v>
      </c>
      <c r="W11" s="74" t="n">
        <f aca="false">IF(20&gt;='Assumption Setting'!$C$127,1,0)</f>
        <v>1</v>
      </c>
      <c r="X11" s="74" t="n">
        <f aca="false">IF(21&gt;='Assumption Setting'!$C$127,1,0)</f>
        <v>1</v>
      </c>
      <c r="Y11" s="74" t="n">
        <f aca="false">IF(22&gt;='Assumption Setting'!$C$127,1,0)</f>
        <v>1</v>
      </c>
      <c r="Z11" s="74" t="n">
        <f aca="false">IF(23&gt;='Assumption Setting'!$C$127,1,0)</f>
        <v>1</v>
      </c>
      <c r="AA11" s="74" t="n">
        <f aca="false">IF(24&gt;='Assumption Setting'!$C$127,1,0)</f>
        <v>1</v>
      </c>
      <c r="AC11" s="74" t="n">
        <f aca="false">IF(25&gt;='Assumption Setting'!$C$127,1,0)</f>
        <v>1</v>
      </c>
      <c r="AD11" s="74" t="n">
        <f aca="false">IF(26&gt;='Assumption Setting'!$C$127,1,0)</f>
        <v>1</v>
      </c>
      <c r="AE11" s="74" t="n">
        <f aca="false">IF(27&gt;='Assumption Setting'!$C$127,1,0)</f>
        <v>1</v>
      </c>
      <c r="AF11" s="74" t="n">
        <f aca="false">IF(28&gt;='Assumption Setting'!$C$127,1,0)</f>
        <v>1</v>
      </c>
      <c r="AG11" s="74" t="n">
        <f aca="false">IF(29&gt;='Assumption Setting'!$C$127,1,0)</f>
        <v>1</v>
      </c>
      <c r="AH11" s="74" t="n">
        <f aca="false">IF(30&gt;='Assumption Setting'!$C$127,1,0)</f>
        <v>1</v>
      </c>
      <c r="AI11" s="74" t="n">
        <f aca="false">IF(31&gt;='Assumption Setting'!$C$127,1,0)</f>
        <v>1</v>
      </c>
      <c r="AJ11" s="74" t="n">
        <f aca="false">IF(32&gt;='Assumption Setting'!$C$127,1,0)</f>
        <v>1</v>
      </c>
      <c r="AK11" s="74" t="n">
        <f aca="false">IF(33&gt;='Assumption Setting'!$C$127,1,0)</f>
        <v>1</v>
      </c>
      <c r="AL11" s="74" t="n">
        <f aca="false">IF(34&gt;='Assumption Setting'!$C$127,1,0)</f>
        <v>1</v>
      </c>
      <c r="AM11" s="74" t="n">
        <f aca="false">IF(35&gt;='Assumption Setting'!$C$127,1,0)</f>
        <v>1</v>
      </c>
      <c r="AN11" s="74" t="n">
        <f aca="false">IF(36&gt;='Assumption Setting'!$C$127,1,0)</f>
        <v>1</v>
      </c>
      <c r="AP11" s="74" t="n">
        <f aca="false">IF(37&gt;='Assumption Setting'!$C$127,1,0)</f>
        <v>1</v>
      </c>
      <c r="AQ11" s="74" t="n">
        <f aca="false">IF(38&gt;='Assumption Setting'!$C$127,1,0)</f>
        <v>1</v>
      </c>
      <c r="AR11" s="74" t="n">
        <f aca="false">IF(39&gt;='Assumption Setting'!$C$127,1,0)</f>
        <v>1</v>
      </c>
      <c r="AS11" s="74" t="n">
        <f aca="false">IF(40&gt;='Assumption Setting'!$C$127,1,0)</f>
        <v>1</v>
      </c>
      <c r="AT11" s="74" t="n">
        <f aca="false">IF(41&gt;='Assumption Setting'!$C$127,1,0)</f>
        <v>1</v>
      </c>
      <c r="AU11" s="74" t="n">
        <f aca="false">IF(42&gt;='Assumption Setting'!$C$127,1,0)</f>
        <v>1</v>
      </c>
      <c r="AV11" s="74" t="n">
        <f aca="false">IF(43&gt;='Assumption Setting'!$C$127,1,0)</f>
        <v>1</v>
      </c>
      <c r="AW11" s="74" t="n">
        <f aca="false">IF(44&gt;='Assumption Setting'!$C$127,1,0)</f>
        <v>1</v>
      </c>
      <c r="AX11" s="74" t="n">
        <f aca="false">IF(45&gt;='Assumption Setting'!$C$127,1,0)</f>
        <v>1</v>
      </c>
      <c r="AY11" s="74" t="n">
        <f aca="false">IF(46&gt;='Assumption Setting'!$C$127,1,0)</f>
        <v>1</v>
      </c>
      <c r="AZ11" s="74" t="n">
        <f aca="false">IF(47&gt;='Assumption Setting'!$C$127,1,0)</f>
        <v>1</v>
      </c>
      <c r="BA11" s="74" t="n">
        <f aca="false">IF(48&gt;='Assumption Setting'!$C$127,1,0)</f>
        <v>1</v>
      </c>
      <c r="BC11" s="74" t="n">
        <f aca="false">IF(49&gt;='Assumption Setting'!$C$127,1,0)</f>
        <v>1</v>
      </c>
      <c r="BD11" s="74" t="n">
        <f aca="false">IF(50&gt;='Assumption Setting'!$C$127,1,0)</f>
        <v>1</v>
      </c>
      <c r="BE11" s="74" t="n">
        <f aca="false">IF(51&gt;='Assumption Setting'!$C$127,1,0)</f>
        <v>1</v>
      </c>
      <c r="BF11" s="74" t="n">
        <f aca="false">IF(52&gt;='Assumption Setting'!$C$127,1,0)</f>
        <v>1</v>
      </c>
      <c r="BG11" s="74" t="n">
        <f aca="false">IF(53&gt;='Assumption Setting'!$C$127,1,0)</f>
        <v>1</v>
      </c>
      <c r="BH11" s="74" t="n">
        <f aca="false">IF(54&gt;='Assumption Setting'!$C$127,1,0)</f>
        <v>1</v>
      </c>
      <c r="BI11" s="74" t="n">
        <f aca="false">IF(55&gt;='Assumption Setting'!$C$127,1,0)</f>
        <v>1</v>
      </c>
      <c r="BJ11" s="74" t="n">
        <f aca="false">IF(56&gt;='Assumption Setting'!$C$127,1,0)</f>
        <v>1</v>
      </c>
      <c r="BK11" s="74" t="n">
        <f aca="false">IF(57&gt;='Assumption Setting'!$C$127,1,0)</f>
        <v>1</v>
      </c>
      <c r="BL11" s="74" t="n">
        <f aca="false">IF(58&gt;='Assumption Setting'!$C$127,1,0)</f>
        <v>1</v>
      </c>
      <c r="BM11" s="74" t="n">
        <f aca="false">IF(59&gt;='Assumption Setting'!$C$127,1,0)</f>
        <v>1</v>
      </c>
      <c r="BN11" s="74" t="n">
        <f aca="false">IF(60&gt;='Assumption Setting'!$C$127,1,0)</f>
        <v>1</v>
      </c>
    </row>
    <row r="12" customFormat="false" ht="15" hidden="false" customHeight="false" outlineLevel="0" collapsed="false">
      <c r="A12" s="4" t="s">
        <v>760</v>
      </c>
      <c r="C12" s="74" t="n">
        <f aca="false">IF(1&gt;='Assumption Setting'!$C$128,1,0)</f>
        <v>1</v>
      </c>
      <c r="D12" s="74" t="n">
        <f aca="false">IF(2&gt;='Assumption Setting'!$C$128,1,0)</f>
        <v>1</v>
      </c>
      <c r="E12" s="74" t="n">
        <f aca="false">IF(3&gt;='Assumption Setting'!$C$128,1,0)</f>
        <v>1</v>
      </c>
      <c r="F12" s="74" t="n">
        <f aca="false">IF(4&gt;='Assumption Setting'!$C$128,1,0)</f>
        <v>1</v>
      </c>
      <c r="G12" s="74" t="n">
        <f aca="false">IF(5&gt;='Assumption Setting'!$C$128,1,0)</f>
        <v>1</v>
      </c>
      <c r="H12" s="74" t="n">
        <f aca="false">IF(6&gt;='Assumption Setting'!$C$128,1,0)</f>
        <v>1</v>
      </c>
      <c r="I12" s="74" t="n">
        <f aca="false">IF(7&gt;='Assumption Setting'!$C$128,1,0)</f>
        <v>1</v>
      </c>
      <c r="J12" s="74" t="n">
        <f aca="false">IF(8&gt;='Assumption Setting'!$C$128,1,0)</f>
        <v>1</v>
      </c>
      <c r="K12" s="74" t="n">
        <f aca="false">IF(9&gt;='Assumption Setting'!$C$128,1,0)</f>
        <v>1</v>
      </c>
      <c r="L12" s="74" t="n">
        <f aca="false">IF(10&gt;='Assumption Setting'!$C$128,1,0)</f>
        <v>1</v>
      </c>
      <c r="M12" s="74" t="n">
        <f aca="false">IF(11&gt;='Assumption Setting'!$C$128,1,0)</f>
        <v>1</v>
      </c>
      <c r="N12" s="74" t="n">
        <f aca="false">IF(12&gt;='Assumption Setting'!$C$128,1,0)</f>
        <v>1</v>
      </c>
      <c r="P12" s="74" t="n">
        <f aca="false">IF(13&gt;='Assumption Setting'!$C$128,1,0)</f>
        <v>1</v>
      </c>
      <c r="Q12" s="74" t="n">
        <f aca="false">IF(14&gt;='Assumption Setting'!$C$128,1,0)</f>
        <v>1</v>
      </c>
      <c r="R12" s="74" t="n">
        <f aca="false">IF(15&gt;='Assumption Setting'!$C$128,1,0)</f>
        <v>1</v>
      </c>
      <c r="S12" s="74" t="n">
        <f aca="false">IF(16&gt;='Assumption Setting'!$C$128,1,0)</f>
        <v>1</v>
      </c>
      <c r="T12" s="74" t="n">
        <f aca="false">IF(17&gt;='Assumption Setting'!$C$128,1,0)</f>
        <v>1</v>
      </c>
      <c r="U12" s="74" t="n">
        <f aca="false">IF(18&gt;='Assumption Setting'!$C$128,1,0)</f>
        <v>1</v>
      </c>
      <c r="V12" s="74" t="n">
        <f aca="false">IF(19&gt;='Assumption Setting'!$C$128,1,0)</f>
        <v>1</v>
      </c>
      <c r="W12" s="74" t="n">
        <f aca="false">IF(20&gt;='Assumption Setting'!$C$128,1,0)</f>
        <v>1</v>
      </c>
      <c r="X12" s="74" t="n">
        <f aca="false">IF(21&gt;='Assumption Setting'!$C$128,1,0)</f>
        <v>1</v>
      </c>
      <c r="Y12" s="74" t="n">
        <f aca="false">IF(22&gt;='Assumption Setting'!$C$128,1,0)</f>
        <v>1</v>
      </c>
      <c r="Z12" s="74" t="n">
        <f aca="false">IF(23&gt;='Assumption Setting'!$C$128,1,0)</f>
        <v>1</v>
      </c>
      <c r="AA12" s="74" t="n">
        <f aca="false">IF(24&gt;='Assumption Setting'!$C$128,1,0)</f>
        <v>1</v>
      </c>
      <c r="AC12" s="74" t="n">
        <f aca="false">IF(25&gt;='Assumption Setting'!$C$128,1,0)</f>
        <v>1</v>
      </c>
      <c r="AD12" s="74" t="n">
        <f aca="false">IF(26&gt;='Assumption Setting'!$C$128,1,0)</f>
        <v>1</v>
      </c>
      <c r="AE12" s="74" t="n">
        <f aca="false">IF(27&gt;='Assumption Setting'!$C$128,1,0)</f>
        <v>1</v>
      </c>
      <c r="AF12" s="74" t="n">
        <f aca="false">IF(28&gt;='Assumption Setting'!$C$128,1,0)</f>
        <v>1</v>
      </c>
      <c r="AG12" s="74" t="n">
        <f aca="false">IF(29&gt;='Assumption Setting'!$C$128,1,0)</f>
        <v>1</v>
      </c>
      <c r="AH12" s="74" t="n">
        <f aca="false">IF(30&gt;='Assumption Setting'!$C$128,1,0)</f>
        <v>1</v>
      </c>
      <c r="AI12" s="74" t="n">
        <f aca="false">IF(31&gt;='Assumption Setting'!$C$128,1,0)</f>
        <v>1</v>
      </c>
      <c r="AJ12" s="74" t="n">
        <f aca="false">IF(32&gt;='Assumption Setting'!$C$128,1,0)</f>
        <v>1</v>
      </c>
      <c r="AK12" s="74" t="n">
        <f aca="false">IF(33&gt;='Assumption Setting'!$C$128,1,0)</f>
        <v>1</v>
      </c>
      <c r="AL12" s="74" t="n">
        <f aca="false">IF(34&gt;='Assumption Setting'!$C$128,1,0)</f>
        <v>1</v>
      </c>
      <c r="AM12" s="74" t="n">
        <f aca="false">IF(35&gt;='Assumption Setting'!$C$128,1,0)</f>
        <v>1</v>
      </c>
      <c r="AN12" s="74" t="n">
        <f aca="false">IF(36&gt;='Assumption Setting'!$C$128,1,0)</f>
        <v>1</v>
      </c>
      <c r="AP12" s="74" t="n">
        <f aca="false">IF(37&gt;='Assumption Setting'!$C$128,1,0)</f>
        <v>1</v>
      </c>
      <c r="AQ12" s="74" t="n">
        <f aca="false">IF(38&gt;='Assumption Setting'!$C$128,1,0)</f>
        <v>1</v>
      </c>
      <c r="AR12" s="74" t="n">
        <f aca="false">IF(39&gt;='Assumption Setting'!$C$128,1,0)</f>
        <v>1</v>
      </c>
      <c r="AS12" s="74" t="n">
        <f aca="false">IF(40&gt;='Assumption Setting'!$C$128,1,0)</f>
        <v>1</v>
      </c>
      <c r="AT12" s="74" t="n">
        <f aca="false">IF(41&gt;='Assumption Setting'!$C$128,1,0)</f>
        <v>1</v>
      </c>
      <c r="AU12" s="74" t="n">
        <f aca="false">IF(42&gt;='Assumption Setting'!$C$128,1,0)</f>
        <v>1</v>
      </c>
      <c r="AV12" s="74" t="n">
        <f aca="false">IF(43&gt;='Assumption Setting'!$C$128,1,0)</f>
        <v>1</v>
      </c>
      <c r="AW12" s="74" t="n">
        <f aca="false">IF(44&gt;='Assumption Setting'!$C$128,1,0)</f>
        <v>1</v>
      </c>
      <c r="AX12" s="74" t="n">
        <f aca="false">IF(45&gt;='Assumption Setting'!$C$128,1,0)</f>
        <v>1</v>
      </c>
      <c r="AY12" s="74" t="n">
        <f aca="false">IF(46&gt;='Assumption Setting'!$C$128,1,0)</f>
        <v>1</v>
      </c>
      <c r="AZ12" s="74" t="n">
        <f aca="false">IF(47&gt;='Assumption Setting'!$C$128,1,0)</f>
        <v>1</v>
      </c>
      <c r="BA12" s="74" t="n">
        <f aca="false">IF(48&gt;='Assumption Setting'!$C$128,1,0)</f>
        <v>1</v>
      </c>
      <c r="BC12" s="74" t="n">
        <f aca="false">IF(49&gt;='Assumption Setting'!$C$128,1,0)</f>
        <v>1</v>
      </c>
      <c r="BD12" s="74" t="n">
        <f aca="false">IF(50&gt;='Assumption Setting'!$C$128,1,0)</f>
        <v>1</v>
      </c>
      <c r="BE12" s="74" t="n">
        <f aca="false">IF(51&gt;='Assumption Setting'!$C$128,1,0)</f>
        <v>1</v>
      </c>
      <c r="BF12" s="74" t="n">
        <f aca="false">IF(52&gt;='Assumption Setting'!$C$128,1,0)</f>
        <v>1</v>
      </c>
      <c r="BG12" s="74" t="n">
        <f aca="false">IF(53&gt;='Assumption Setting'!$C$128,1,0)</f>
        <v>1</v>
      </c>
      <c r="BH12" s="74" t="n">
        <f aca="false">IF(54&gt;='Assumption Setting'!$C$128,1,0)</f>
        <v>1</v>
      </c>
      <c r="BI12" s="74" t="n">
        <f aca="false">IF(55&gt;='Assumption Setting'!$C$128,1,0)</f>
        <v>1</v>
      </c>
      <c r="BJ12" s="74" t="n">
        <f aca="false">IF(56&gt;='Assumption Setting'!$C$128,1,0)</f>
        <v>1</v>
      </c>
      <c r="BK12" s="74" t="n">
        <f aca="false">IF(57&gt;='Assumption Setting'!$C$128,1,0)</f>
        <v>1</v>
      </c>
      <c r="BL12" s="74" t="n">
        <f aca="false">IF(58&gt;='Assumption Setting'!$C$128,1,0)</f>
        <v>1</v>
      </c>
      <c r="BM12" s="74" t="n">
        <f aca="false">IF(59&gt;='Assumption Setting'!$C$128,1,0)</f>
        <v>1</v>
      </c>
      <c r="BN12" s="74" t="n">
        <f aca="false">IF(60&gt;='Assumption Setting'!$C$128,1,0)</f>
        <v>1</v>
      </c>
    </row>
    <row r="13" customFormat="false" ht="15" hidden="false" customHeight="false" outlineLevel="0" collapsed="false">
      <c r="A13" s="4" t="s">
        <v>761</v>
      </c>
      <c r="C13" s="74" t="n">
        <f aca="false">IF(1&gt;='Assumption Setting'!$C$129,1,0)</f>
        <v>1</v>
      </c>
      <c r="D13" s="74" t="n">
        <f aca="false">IF(2&gt;='Assumption Setting'!$C$129,1,0)</f>
        <v>1</v>
      </c>
      <c r="E13" s="74" t="n">
        <f aca="false">IF(3&gt;='Assumption Setting'!$C$129,1,0)</f>
        <v>1</v>
      </c>
      <c r="F13" s="74" t="n">
        <f aca="false">IF(4&gt;='Assumption Setting'!$C$129,1,0)</f>
        <v>1</v>
      </c>
      <c r="G13" s="74" t="n">
        <f aca="false">IF(5&gt;='Assumption Setting'!$C$129,1,0)</f>
        <v>1</v>
      </c>
      <c r="H13" s="74" t="n">
        <f aca="false">IF(6&gt;='Assumption Setting'!$C$129,1,0)</f>
        <v>1</v>
      </c>
      <c r="I13" s="74" t="n">
        <f aca="false">IF(7&gt;='Assumption Setting'!$C$129,1,0)</f>
        <v>1</v>
      </c>
      <c r="J13" s="74" t="n">
        <f aca="false">IF(8&gt;='Assumption Setting'!$C$129,1,0)</f>
        <v>1</v>
      </c>
      <c r="K13" s="74" t="n">
        <f aca="false">IF(9&gt;='Assumption Setting'!$C$129,1,0)</f>
        <v>1</v>
      </c>
      <c r="L13" s="74" t="n">
        <f aca="false">IF(10&gt;='Assumption Setting'!$C$129,1,0)</f>
        <v>1</v>
      </c>
      <c r="M13" s="74" t="n">
        <f aca="false">IF(11&gt;='Assumption Setting'!$C$129,1,0)</f>
        <v>1</v>
      </c>
      <c r="N13" s="74" t="n">
        <f aca="false">IF(12&gt;='Assumption Setting'!$C$129,1,0)</f>
        <v>1</v>
      </c>
      <c r="P13" s="74" t="n">
        <f aca="false">IF(13&gt;='Assumption Setting'!$C$129,1,0)</f>
        <v>1</v>
      </c>
      <c r="Q13" s="74" t="n">
        <f aca="false">IF(14&gt;='Assumption Setting'!$C$129,1,0)</f>
        <v>1</v>
      </c>
      <c r="R13" s="74" t="n">
        <f aca="false">IF(15&gt;='Assumption Setting'!$C$129,1,0)</f>
        <v>1</v>
      </c>
      <c r="S13" s="74" t="n">
        <f aca="false">IF(16&gt;='Assumption Setting'!$C$129,1,0)</f>
        <v>1</v>
      </c>
      <c r="T13" s="74" t="n">
        <f aca="false">IF(17&gt;='Assumption Setting'!$C$129,1,0)</f>
        <v>1</v>
      </c>
      <c r="U13" s="74" t="n">
        <f aca="false">IF(18&gt;='Assumption Setting'!$C$129,1,0)</f>
        <v>1</v>
      </c>
      <c r="V13" s="74" t="n">
        <f aca="false">IF(19&gt;='Assumption Setting'!$C$129,1,0)</f>
        <v>1</v>
      </c>
      <c r="W13" s="74" t="n">
        <f aca="false">IF(20&gt;='Assumption Setting'!$C$129,1,0)</f>
        <v>1</v>
      </c>
      <c r="X13" s="74" t="n">
        <f aca="false">IF(21&gt;='Assumption Setting'!$C$129,1,0)</f>
        <v>1</v>
      </c>
      <c r="Y13" s="74" t="n">
        <f aca="false">IF(22&gt;='Assumption Setting'!$C$129,1,0)</f>
        <v>1</v>
      </c>
      <c r="Z13" s="74" t="n">
        <f aca="false">IF(23&gt;='Assumption Setting'!$C$129,1,0)</f>
        <v>1</v>
      </c>
      <c r="AA13" s="74" t="n">
        <f aca="false">IF(24&gt;='Assumption Setting'!$C$129,1,0)</f>
        <v>1</v>
      </c>
      <c r="AC13" s="74" t="n">
        <f aca="false">IF(25&gt;='Assumption Setting'!$C$129,1,0)</f>
        <v>1</v>
      </c>
      <c r="AD13" s="74" t="n">
        <f aca="false">IF(26&gt;='Assumption Setting'!$C$129,1,0)</f>
        <v>1</v>
      </c>
      <c r="AE13" s="74" t="n">
        <f aca="false">IF(27&gt;='Assumption Setting'!$C$129,1,0)</f>
        <v>1</v>
      </c>
      <c r="AF13" s="74" t="n">
        <f aca="false">IF(28&gt;='Assumption Setting'!$C$129,1,0)</f>
        <v>1</v>
      </c>
      <c r="AG13" s="74" t="n">
        <f aca="false">IF(29&gt;='Assumption Setting'!$C$129,1,0)</f>
        <v>1</v>
      </c>
      <c r="AH13" s="74" t="n">
        <f aca="false">IF(30&gt;='Assumption Setting'!$C$129,1,0)</f>
        <v>1</v>
      </c>
      <c r="AI13" s="74" t="n">
        <f aca="false">IF(31&gt;='Assumption Setting'!$C$129,1,0)</f>
        <v>1</v>
      </c>
      <c r="AJ13" s="74" t="n">
        <f aca="false">IF(32&gt;='Assumption Setting'!$C$129,1,0)</f>
        <v>1</v>
      </c>
      <c r="AK13" s="74" t="n">
        <f aca="false">IF(33&gt;='Assumption Setting'!$C$129,1,0)</f>
        <v>1</v>
      </c>
      <c r="AL13" s="74" t="n">
        <f aca="false">IF(34&gt;='Assumption Setting'!$C$129,1,0)</f>
        <v>1</v>
      </c>
      <c r="AM13" s="74" t="n">
        <f aca="false">IF(35&gt;='Assumption Setting'!$C$129,1,0)</f>
        <v>1</v>
      </c>
      <c r="AN13" s="74" t="n">
        <f aca="false">IF(36&gt;='Assumption Setting'!$C$129,1,0)</f>
        <v>1</v>
      </c>
      <c r="AP13" s="74" t="n">
        <f aca="false">IF(37&gt;='Assumption Setting'!$C$129,1,0)</f>
        <v>1</v>
      </c>
      <c r="AQ13" s="74" t="n">
        <f aca="false">IF(38&gt;='Assumption Setting'!$C$129,1,0)</f>
        <v>1</v>
      </c>
      <c r="AR13" s="74" t="n">
        <f aca="false">IF(39&gt;='Assumption Setting'!$C$129,1,0)</f>
        <v>1</v>
      </c>
      <c r="AS13" s="74" t="n">
        <f aca="false">IF(40&gt;='Assumption Setting'!$C$129,1,0)</f>
        <v>1</v>
      </c>
      <c r="AT13" s="74" t="n">
        <f aca="false">IF(41&gt;='Assumption Setting'!$C$129,1,0)</f>
        <v>1</v>
      </c>
      <c r="AU13" s="74" t="n">
        <f aca="false">IF(42&gt;='Assumption Setting'!$C$129,1,0)</f>
        <v>1</v>
      </c>
      <c r="AV13" s="74" t="n">
        <f aca="false">IF(43&gt;='Assumption Setting'!$C$129,1,0)</f>
        <v>1</v>
      </c>
      <c r="AW13" s="74" t="n">
        <f aca="false">IF(44&gt;='Assumption Setting'!$C$129,1,0)</f>
        <v>1</v>
      </c>
      <c r="AX13" s="74" t="n">
        <f aca="false">IF(45&gt;='Assumption Setting'!$C$129,1,0)</f>
        <v>1</v>
      </c>
      <c r="AY13" s="74" t="n">
        <f aca="false">IF(46&gt;='Assumption Setting'!$C$129,1,0)</f>
        <v>1</v>
      </c>
      <c r="AZ13" s="74" t="n">
        <f aca="false">IF(47&gt;='Assumption Setting'!$C$129,1,0)</f>
        <v>1</v>
      </c>
      <c r="BA13" s="74" t="n">
        <f aca="false">IF(48&gt;='Assumption Setting'!$C$129,1,0)</f>
        <v>1</v>
      </c>
      <c r="BC13" s="74" t="n">
        <f aca="false">IF(49&gt;='Assumption Setting'!$C$129,1,0)</f>
        <v>1</v>
      </c>
      <c r="BD13" s="74" t="n">
        <f aca="false">IF(50&gt;='Assumption Setting'!$C$129,1,0)</f>
        <v>1</v>
      </c>
      <c r="BE13" s="74" t="n">
        <f aca="false">IF(51&gt;='Assumption Setting'!$C$129,1,0)</f>
        <v>1</v>
      </c>
      <c r="BF13" s="74" t="n">
        <f aca="false">IF(52&gt;='Assumption Setting'!$C$129,1,0)</f>
        <v>1</v>
      </c>
      <c r="BG13" s="74" t="n">
        <f aca="false">IF(53&gt;='Assumption Setting'!$C$129,1,0)</f>
        <v>1</v>
      </c>
      <c r="BH13" s="74" t="n">
        <f aca="false">IF(54&gt;='Assumption Setting'!$C$129,1,0)</f>
        <v>1</v>
      </c>
      <c r="BI13" s="74" t="n">
        <f aca="false">IF(55&gt;='Assumption Setting'!$C$129,1,0)</f>
        <v>1</v>
      </c>
      <c r="BJ13" s="74" t="n">
        <f aca="false">IF(56&gt;='Assumption Setting'!$C$129,1,0)</f>
        <v>1</v>
      </c>
      <c r="BK13" s="74" t="n">
        <f aca="false">IF(57&gt;='Assumption Setting'!$C$129,1,0)</f>
        <v>1</v>
      </c>
      <c r="BL13" s="74" t="n">
        <f aca="false">IF(58&gt;='Assumption Setting'!$C$129,1,0)</f>
        <v>1</v>
      </c>
      <c r="BM13" s="74" t="n">
        <f aca="false">IF(59&gt;='Assumption Setting'!$C$129,1,0)</f>
        <v>1</v>
      </c>
      <c r="BN13" s="74" t="n">
        <f aca="false">IF(60&gt;='Assumption Setting'!$C$129,1,0)</f>
        <v>1</v>
      </c>
    </row>
    <row r="14" customFormat="false" ht="15" hidden="false" customHeight="false" outlineLevel="0" collapsed="false">
      <c r="A14" s="4" t="s">
        <v>762</v>
      </c>
      <c r="C14" s="74" t="n">
        <f aca="false">IF(1&gt;='Assumption Setting'!$C$130,1,0)</f>
        <v>1</v>
      </c>
      <c r="D14" s="74" t="n">
        <f aca="false">IF(2&gt;='Assumption Setting'!$C$130,1,0)</f>
        <v>1</v>
      </c>
      <c r="E14" s="74" t="n">
        <f aca="false">IF(3&gt;='Assumption Setting'!$C$130,1,0)</f>
        <v>1</v>
      </c>
      <c r="F14" s="74" t="n">
        <f aca="false">IF(4&gt;='Assumption Setting'!$C$130,1,0)</f>
        <v>1</v>
      </c>
      <c r="G14" s="74" t="n">
        <f aca="false">IF(5&gt;='Assumption Setting'!$C$130,1,0)</f>
        <v>1</v>
      </c>
      <c r="H14" s="74" t="n">
        <f aca="false">IF(6&gt;='Assumption Setting'!$C$130,1,0)</f>
        <v>1</v>
      </c>
      <c r="I14" s="74" t="n">
        <f aca="false">IF(7&gt;='Assumption Setting'!$C$130,1,0)</f>
        <v>1</v>
      </c>
      <c r="J14" s="74" t="n">
        <f aca="false">IF(8&gt;='Assumption Setting'!$C$130,1,0)</f>
        <v>1</v>
      </c>
      <c r="K14" s="74" t="n">
        <f aca="false">IF(9&gt;='Assumption Setting'!$C$130,1,0)</f>
        <v>1</v>
      </c>
      <c r="L14" s="74" t="n">
        <f aca="false">IF(10&gt;='Assumption Setting'!$C$130,1,0)</f>
        <v>1</v>
      </c>
      <c r="M14" s="74" t="n">
        <f aca="false">IF(11&gt;='Assumption Setting'!$C$130,1,0)</f>
        <v>1</v>
      </c>
      <c r="N14" s="74" t="n">
        <f aca="false">IF(12&gt;='Assumption Setting'!$C$130,1,0)</f>
        <v>1</v>
      </c>
      <c r="P14" s="74" t="n">
        <f aca="false">IF(13&gt;='Assumption Setting'!$C$130,1,0)</f>
        <v>1</v>
      </c>
      <c r="Q14" s="74" t="n">
        <f aca="false">IF(14&gt;='Assumption Setting'!$C$130,1,0)</f>
        <v>1</v>
      </c>
      <c r="R14" s="74" t="n">
        <f aca="false">IF(15&gt;='Assumption Setting'!$C$130,1,0)</f>
        <v>1</v>
      </c>
      <c r="S14" s="74" t="n">
        <f aca="false">IF(16&gt;='Assumption Setting'!$C$130,1,0)</f>
        <v>1</v>
      </c>
      <c r="T14" s="74" t="n">
        <f aca="false">IF(17&gt;='Assumption Setting'!$C$130,1,0)</f>
        <v>1</v>
      </c>
      <c r="U14" s="74" t="n">
        <f aca="false">IF(18&gt;='Assumption Setting'!$C$130,1,0)</f>
        <v>1</v>
      </c>
      <c r="V14" s="74" t="n">
        <f aca="false">IF(19&gt;='Assumption Setting'!$C$130,1,0)</f>
        <v>1</v>
      </c>
      <c r="W14" s="74" t="n">
        <f aca="false">IF(20&gt;='Assumption Setting'!$C$130,1,0)</f>
        <v>1</v>
      </c>
      <c r="X14" s="74" t="n">
        <f aca="false">IF(21&gt;='Assumption Setting'!$C$130,1,0)</f>
        <v>1</v>
      </c>
      <c r="Y14" s="74" t="n">
        <f aca="false">IF(22&gt;='Assumption Setting'!$C$130,1,0)</f>
        <v>1</v>
      </c>
      <c r="Z14" s="74" t="n">
        <f aca="false">IF(23&gt;='Assumption Setting'!$C$130,1,0)</f>
        <v>1</v>
      </c>
      <c r="AA14" s="74" t="n">
        <f aca="false">IF(24&gt;='Assumption Setting'!$C$130,1,0)</f>
        <v>1</v>
      </c>
      <c r="AC14" s="74" t="n">
        <f aca="false">IF(25&gt;='Assumption Setting'!$C$130,1,0)</f>
        <v>1</v>
      </c>
      <c r="AD14" s="74" t="n">
        <f aca="false">IF(26&gt;='Assumption Setting'!$C$130,1,0)</f>
        <v>1</v>
      </c>
      <c r="AE14" s="74" t="n">
        <f aca="false">IF(27&gt;='Assumption Setting'!$C$130,1,0)</f>
        <v>1</v>
      </c>
      <c r="AF14" s="74" t="n">
        <f aca="false">IF(28&gt;='Assumption Setting'!$C$130,1,0)</f>
        <v>1</v>
      </c>
      <c r="AG14" s="74" t="n">
        <f aca="false">IF(29&gt;='Assumption Setting'!$C$130,1,0)</f>
        <v>1</v>
      </c>
      <c r="AH14" s="74" t="n">
        <f aca="false">IF(30&gt;='Assumption Setting'!$C$130,1,0)</f>
        <v>1</v>
      </c>
      <c r="AI14" s="74" t="n">
        <f aca="false">IF(31&gt;='Assumption Setting'!$C$130,1,0)</f>
        <v>1</v>
      </c>
      <c r="AJ14" s="74" t="n">
        <f aca="false">IF(32&gt;='Assumption Setting'!$C$130,1,0)</f>
        <v>1</v>
      </c>
      <c r="AK14" s="74" t="n">
        <f aca="false">IF(33&gt;='Assumption Setting'!$C$130,1,0)</f>
        <v>1</v>
      </c>
      <c r="AL14" s="74" t="n">
        <f aca="false">IF(34&gt;='Assumption Setting'!$C$130,1,0)</f>
        <v>1</v>
      </c>
      <c r="AM14" s="74" t="n">
        <f aca="false">IF(35&gt;='Assumption Setting'!$C$130,1,0)</f>
        <v>1</v>
      </c>
      <c r="AN14" s="74" t="n">
        <f aca="false">IF(36&gt;='Assumption Setting'!$C$130,1,0)</f>
        <v>1</v>
      </c>
      <c r="AP14" s="74" t="n">
        <f aca="false">IF(37&gt;='Assumption Setting'!$C$130,1,0)</f>
        <v>1</v>
      </c>
      <c r="AQ14" s="74" t="n">
        <f aca="false">IF(38&gt;='Assumption Setting'!$C$130,1,0)</f>
        <v>1</v>
      </c>
      <c r="AR14" s="74" t="n">
        <f aca="false">IF(39&gt;='Assumption Setting'!$C$130,1,0)</f>
        <v>1</v>
      </c>
      <c r="AS14" s="74" t="n">
        <f aca="false">IF(40&gt;='Assumption Setting'!$C$130,1,0)</f>
        <v>1</v>
      </c>
      <c r="AT14" s="74" t="n">
        <f aca="false">IF(41&gt;='Assumption Setting'!$C$130,1,0)</f>
        <v>1</v>
      </c>
      <c r="AU14" s="74" t="n">
        <f aca="false">IF(42&gt;='Assumption Setting'!$C$130,1,0)</f>
        <v>1</v>
      </c>
      <c r="AV14" s="74" t="n">
        <f aca="false">IF(43&gt;='Assumption Setting'!$C$130,1,0)</f>
        <v>1</v>
      </c>
      <c r="AW14" s="74" t="n">
        <f aca="false">IF(44&gt;='Assumption Setting'!$C$130,1,0)</f>
        <v>1</v>
      </c>
      <c r="AX14" s="74" t="n">
        <f aca="false">IF(45&gt;='Assumption Setting'!$C$130,1,0)</f>
        <v>1</v>
      </c>
      <c r="AY14" s="74" t="n">
        <f aca="false">IF(46&gt;='Assumption Setting'!$C$130,1,0)</f>
        <v>1</v>
      </c>
      <c r="AZ14" s="74" t="n">
        <f aca="false">IF(47&gt;='Assumption Setting'!$C$130,1,0)</f>
        <v>1</v>
      </c>
      <c r="BA14" s="74" t="n">
        <f aca="false">IF(48&gt;='Assumption Setting'!$C$130,1,0)</f>
        <v>1</v>
      </c>
      <c r="BC14" s="74" t="n">
        <f aca="false">IF(49&gt;='Assumption Setting'!$C$130,1,0)</f>
        <v>1</v>
      </c>
      <c r="BD14" s="74" t="n">
        <f aca="false">IF(50&gt;='Assumption Setting'!$C$130,1,0)</f>
        <v>1</v>
      </c>
      <c r="BE14" s="74" t="n">
        <f aca="false">IF(51&gt;='Assumption Setting'!$C$130,1,0)</f>
        <v>1</v>
      </c>
      <c r="BF14" s="74" t="n">
        <f aca="false">IF(52&gt;='Assumption Setting'!$C$130,1,0)</f>
        <v>1</v>
      </c>
      <c r="BG14" s="74" t="n">
        <f aca="false">IF(53&gt;='Assumption Setting'!$C$130,1,0)</f>
        <v>1</v>
      </c>
      <c r="BH14" s="74" t="n">
        <f aca="false">IF(54&gt;='Assumption Setting'!$C$130,1,0)</f>
        <v>1</v>
      </c>
      <c r="BI14" s="74" t="n">
        <f aca="false">IF(55&gt;='Assumption Setting'!$C$130,1,0)</f>
        <v>1</v>
      </c>
      <c r="BJ14" s="74" t="n">
        <f aca="false">IF(56&gt;='Assumption Setting'!$C$130,1,0)</f>
        <v>1</v>
      </c>
      <c r="BK14" s="74" t="n">
        <f aca="false">IF(57&gt;='Assumption Setting'!$C$130,1,0)</f>
        <v>1</v>
      </c>
      <c r="BL14" s="74" t="n">
        <f aca="false">IF(58&gt;='Assumption Setting'!$C$130,1,0)</f>
        <v>1</v>
      </c>
      <c r="BM14" s="74" t="n">
        <f aca="false">IF(59&gt;='Assumption Setting'!$C$130,1,0)</f>
        <v>1</v>
      </c>
      <c r="BN14" s="74" t="n">
        <f aca="false">IF(60&gt;='Assumption Setting'!$C$130,1,0)</f>
        <v>1</v>
      </c>
    </row>
    <row r="15" customFormat="false" ht="15" hidden="false" customHeight="false" outlineLevel="0" collapsed="false">
      <c r="A15" s="4" t="s">
        <v>763</v>
      </c>
      <c r="C15" s="74" t="n">
        <f aca="false">IF(1&gt;='Assumption Setting'!$C$131,1,0)</f>
        <v>0</v>
      </c>
      <c r="D15" s="74" t="n">
        <f aca="false">IF(2&gt;='Assumption Setting'!$C$131,1,0)</f>
        <v>0</v>
      </c>
      <c r="E15" s="74" t="n">
        <f aca="false">IF(3&gt;='Assumption Setting'!$C$131,1,0)</f>
        <v>0</v>
      </c>
      <c r="F15" s="74" t="n">
        <f aca="false">IF(4&gt;='Assumption Setting'!$C$131,1,0)</f>
        <v>1</v>
      </c>
      <c r="G15" s="74" t="n">
        <f aca="false">IF(5&gt;='Assumption Setting'!$C$131,1,0)</f>
        <v>1</v>
      </c>
      <c r="H15" s="74" t="n">
        <f aca="false">IF(6&gt;='Assumption Setting'!$C$131,1,0)</f>
        <v>1</v>
      </c>
      <c r="I15" s="74" t="n">
        <f aca="false">IF(7&gt;='Assumption Setting'!$C$131,1,0)</f>
        <v>1</v>
      </c>
      <c r="J15" s="74" t="n">
        <f aca="false">IF(8&gt;='Assumption Setting'!$C$131,1,0)</f>
        <v>1</v>
      </c>
      <c r="K15" s="74" t="n">
        <f aca="false">IF(9&gt;='Assumption Setting'!$C$131,1,0)</f>
        <v>1</v>
      </c>
      <c r="L15" s="74" t="n">
        <f aca="false">IF(10&gt;='Assumption Setting'!$C$131,1,0)</f>
        <v>1</v>
      </c>
      <c r="M15" s="74" t="n">
        <f aca="false">IF(11&gt;='Assumption Setting'!$C$131,1,0)</f>
        <v>1</v>
      </c>
      <c r="N15" s="74" t="n">
        <f aca="false">IF(12&gt;='Assumption Setting'!$C$131,1,0)</f>
        <v>1</v>
      </c>
      <c r="P15" s="74" t="n">
        <f aca="false">IF(13&gt;='Assumption Setting'!$C$131,1,0)</f>
        <v>1</v>
      </c>
      <c r="Q15" s="74" t="n">
        <f aca="false">IF(14&gt;='Assumption Setting'!$C$131,1,0)</f>
        <v>1</v>
      </c>
      <c r="R15" s="74" t="n">
        <f aca="false">IF(15&gt;='Assumption Setting'!$C$131,1,0)</f>
        <v>1</v>
      </c>
      <c r="S15" s="74" t="n">
        <f aca="false">IF(16&gt;='Assumption Setting'!$C$131,1,0)</f>
        <v>1</v>
      </c>
      <c r="T15" s="74" t="n">
        <f aca="false">IF(17&gt;='Assumption Setting'!$C$131,1,0)</f>
        <v>1</v>
      </c>
      <c r="U15" s="74" t="n">
        <f aca="false">IF(18&gt;='Assumption Setting'!$C$131,1,0)</f>
        <v>1</v>
      </c>
      <c r="V15" s="74" t="n">
        <f aca="false">IF(19&gt;='Assumption Setting'!$C$131,1,0)</f>
        <v>1</v>
      </c>
      <c r="W15" s="74" t="n">
        <f aca="false">IF(20&gt;='Assumption Setting'!$C$131,1,0)</f>
        <v>1</v>
      </c>
      <c r="X15" s="74" t="n">
        <f aca="false">IF(21&gt;='Assumption Setting'!$C$131,1,0)</f>
        <v>1</v>
      </c>
      <c r="Y15" s="74" t="n">
        <f aca="false">IF(22&gt;='Assumption Setting'!$C$131,1,0)</f>
        <v>1</v>
      </c>
      <c r="Z15" s="74" t="n">
        <f aca="false">IF(23&gt;='Assumption Setting'!$C$131,1,0)</f>
        <v>1</v>
      </c>
      <c r="AA15" s="74" t="n">
        <f aca="false">IF(24&gt;='Assumption Setting'!$C$131,1,0)</f>
        <v>1</v>
      </c>
      <c r="AC15" s="74" t="n">
        <f aca="false">IF(25&gt;='Assumption Setting'!$C$131,1,0)</f>
        <v>1</v>
      </c>
      <c r="AD15" s="74" t="n">
        <f aca="false">IF(26&gt;='Assumption Setting'!$C$131,1,0)</f>
        <v>1</v>
      </c>
      <c r="AE15" s="74" t="n">
        <f aca="false">IF(27&gt;='Assumption Setting'!$C$131,1,0)</f>
        <v>1</v>
      </c>
      <c r="AF15" s="74" t="n">
        <f aca="false">IF(28&gt;='Assumption Setting'!$C$131,1,0)</f>
        <v>1</v>
      </c>
      <c r="AG15" s="74" t="n">
        <f aca="false">IF(29&gt;='Assumption Setting'!$C$131,1,0)</f>
        <v>1</v>
      </c>
      <c r="AH15" s="74" t="n">
        <f aca="false">IF(30&gt;='Assumption Setting'!$C$131,1,0)</f>
        <v>1</v>
      </c>
      <c r="AI15" s="74" t="n">
        <f aca="false">IF(31&gt;='Assumption Setting'!$C$131,1,0)</f>
        <v>1</v>
      </c>
      <c r="AJ15" s="74" t="n">
        <f aca="false">IF(32&gt;='Assumption Setting'!$C$131,1,0)</f>
        <v>1</v>
      </c>
      <c r="AK15" s="74" t="n">
        <f aca="false">IF(33&gt;='Assumption Setting'!$C$131,1,0)</f>
        <v>1</v>
      </c>
      <c r="AL15" s="74" t="n">
        <f aca="false">IF(34&gt;='Assumption Setting'!$C$131,1,0)</f>
        <v>1</v>
      </c>
      <c r="AM15" s="74" t="n">
        <f aca="false">IF(35&gt;='Assumption Setting'!$C$131,1,0)</f>
        <v>1</v>
      </c>
      <c r="AN15" s="74" t="n">
        <f aca="false">IF(36&gt;='Assumption Setting'!$C$131,1,0)</f>
        <v>1</v>
      </c>
      <c r="AP15" s="74" t="n">
        <f aca="false">IF(37&gt;='Assumption Setting'!$C$131,1,0)</f>
        <v>1</v>
      </c>
      <c r="AQ15" s="74" t="n">
        <f aca="false">IF(38&gt;='Assumption Setting'!$C$131,1,0)</f>
        <v>1</v>
      </c>
      <c r="AR15" s="74" t="n">
        <f aca="false">IF(39&gt;='Assumption Setting'!$C$131,1,0)</f>
        <v>1</v>
      </c>
      <c r="AS15" s="74" t="n">
        <f aca="false">IF(40&gt;='Assumption Setting'!$C$131,1,0)</f>
        <v>1</v>
      </c>
      <c r="AT15" s="74" t="n">
        <f aca="false">IF(41&gt;='Assumption Setting'!$C$131,1,0)</f>
        <v>1</v>
      </c>
      <c r="AU15" s="74" t="n">
        <f aca="false">IF(42&gt;='Assumption Setting'!$C$131,1,0)</f>
        <v>1</v>
      </c>
      <c r="AV15" s="74" t="n">
        <f aca="false">IF(43&gt;='Assumption Setting'!$C$131,1,0)</f>
        <v>1</v>
      </c>
      <c r="AW15" s="74" t="n">
        <f aca="false">IF(44&gt;='Assumption Setting'!$C$131,1,0)</f>
        <v>1</v>
      </c>
      <c r="AX15" s="74" t="n">
        <f aca="false">IF(45&gt;='Assumption Setting'!$C$131,1,0)</f>
        <v>1</v>
      </c>
      <c r="AY15" s="74" t="n">
        <f aca="false">IF(46&gt;='Assumption Setting'!$C$131,1,0)</f>
        <v>1</v>
      </c>
      <c r="AZ15" s="74" t="n">
        <f aca="false">IF(47&gt;='Assumption Setting'!$C$131,1,0)</f>
        <v>1</v>
      </c>
      <c r="BA15" s="74" t="n">
        <f aca="false">IF(48&gt;='Assumption Setting'!$C$131,1,0)</f>
        <v>1</v>
      </c>
      <c r="BC15" s="74" t="n">
        <f aca="false">IF(49&gt;='Assumption Setting'!$C$131,1,0)</f>
        <v>1</v>
      </c>
      <c r="BD15" s="74" t="n">
        <f aca="false">IF(50&gt;='Assumption Setting'!$C$131,1,0)</f>
        <v>1</v>
      </c>
      <c r="BE15" s="74" t="n">
        <f aca="false">IF(51&gt;='Assumption Setting'!$C$131,1,0)</f>
        <v>1</v>
      </c>
      <c r="BF15" s="74" t="n">
        <f aca="false">IF(52&gt;='Assumption Setting'!$C$131,1,0)</f>
        <v>1</v>
      </c>
      <c r="BG15" s="74" t="n">
        <f aca="false">IF(53&gt;='Assumption Setting'!$C$131,1,0)</f>
        <v>1</v>
      </c>
      <c r="BH15" s="74" t="n">
        <f aca="false">IF(54&gt;='Assumption Setting'!$C$131,1,0)</f>
        <v>1</v>
      </c>
      <c r="BI15" s="74" t="n">
        <f aca="false">IF(55&gt;='Assumption Setting'!$C$131,1,0)</f>
        <v>1</v>
      </c>
      <c r="BJ15" s="74" t="n">
        <f aca="false">IF(56&gt;='Assumption Setting'!$C$131,1,0)</f>
        <v>1</v>
      </c>
      <c r="BK15" s="74" t="n">
        <f aca="false">IF(57&gt;='Assumption Setting'!$C$131,1,0)</f>
        <v>1</v>
      </c>
      <c r="BL15" s="74" t="n">
        <f aca="false">IF(58&gt;='Assumption Setting'!$C$131,1,0)</f>
        <v>1</v>
      </c>
      <c r="BM15" s="74" t="n">
        <f aca="false">IF(59&gt;='Assumption Setting'!$C$131,1,0)</f>
        <v>1</v>
      </c>
      <c r="BN15" s="74" t="n">
        <f aca="false">IF(60&gt;='Assumption Setting'!$C$131,1,0)</f>
        <v>1</v>
      </c>
    </row>
    <row r="16" customFormat="false" ht="15" hidden="false" customHeight="false" outlineLevel="0" collapsed="false">
      <c r="A16" s="4" t="s">
        <v>764</v>
      </c>
      <c r="C16" s="74" t="n">
        <f aca="false">IF(1&gt;='Assumption Setting'!$C$132,1,0)</f>
        <v>0</v>
      </c>
      <c r="D16" s="74" t="n">
        <f aca="false">IF(2&gt;='Assumption Setting'!$C$132,1,0)</f>
        <v>0</v>
      </c>
      <c r="E16" s="74" t="n">
        <f aca="false">IF(3&gt;='Assumption Setting'!$C$132,1,0)</f>
        <v>0</v>
      </c>
      <c r="F16" s="74" t="n">
        <f aca="false">IF(4&gt;='Assumption Setting'!$C$132,1,0)</f>
        <v>0</v>
      </c>
      <c r="G16" s="74" t="n">
        <f aca="false">IF(5&gt;='Assumption Setting'!$C$132,1,0)</f>
        <v>0</v>
      </c>
      <c r="H16" s="74" t="n">
        <f aca="false">IF(6&gt;='Assumption Setting'!$C$132,1,0)</f>
        <v>0</v>
      </c>
      <c r="I16" s="74" t="n">
        <f aca="false">IF(7&gt;='Assumption Setting'!$C$132,1,0)</f>
        <v>0</v>
      </c>
      <c r="J16" s="74" t="n">
        <f aca="false">IF(8&gt;='Assumption Setting'!$C$132,1,0)</f>
        <v>0</v>
      </c>
      <c r="K16" s="74" t="n">
        <f aca="false">IF(9&gt;='Assumption Setting'!$C$132,1,0)</f>
        <v>0</v>
      </c>
      <c r="L16" s="74" t="n">
        <f aca="false">IF(10&gt;='Assumption Setting'!$C$132,1,0)</f>
        <v>0</v>
      </c>
      <c r="M16" s="74" t="n">
        <f aca="false">IF(11&gt;='Assumption Setting'!$C$132,1,0)</f>
        <v>0</v>
      </c>
      <c r="N16" s="74" t="n">
        <f aca="false">IF(12&gt;='Assumption Setting'!$C$132,1,0)</f>
        <v>0</v>
      </c>
      <c r="P16" s="74" t="n">
        <f aca="false">IF(13&gt;='Assumption Setting'!$C$132,1,0)</f>
        <v>0</v>
      </c>
      <c r="Q16" s="74" t="n">
        <f aca="false">IF(14&gt;='Assumption Setting'!$C$132,1,0)</f>
        <v>0</v>
      </c>
      <c r="R16" s="74" t="n">
        <f aca="false">IF(15&gt;='Assumption Setting'!$C$132,1,0)</f>
        <v>0</v>
      </c>
      <c r="S16" s="74" t="n">
        <f aca="false">IF(16&gt;='Assumption Setting'!$C$132,1,0)</f>
        <v>0</v>
      </c>
      <c r="T16" s="74" t="n">
        <f aca="false">IF(17&gt;='Assumption Setting'!$C$132,1,0)</f>
        <v>0</v>
      </c>
      <c r="U16" s="74" t="n">
        <f aca="false">IF(18&gt;='Assumption Setting'!$C$132,1,0)</f>
        <v>0</v>
      </c>
      <c r="V16" s="74" t="n">
        <f aca="false">IF(19&gt;='Assumption Setting'!$C$132,1,0)</f>
        <v>1</v>
      </c>
      <c r="W16" s="74" t="n">
        <f aca="false">IF(20&gt;='Assumption Setting'!$C$132,1,0)</f>
        <v>1</v>
      </c>
      <c r="X16" s="74" t="n">
        <f aca="false">IF(21&gt;='Assumption Setting'!$C$132,1,0)</f>
        <v>1</v>
      </c>
      <c r="Y16" s="74" t="n">
        <f aca="false">IF(22&gt;='Assumption Setting'!$C$132,1,0)</f>
        <v>1</v>
      </c>
      <c r="Z16" s="74" t="n">
        <f aca="false">IF(23&gt;='Assumption Setting'!$C$132,1,0)</f>
        <v>1</v>
      </c>
      <c r="AA16" s="74" t="n">
        <f aca="false">IF(24&gt;='Assumption Setting'!$C$132,1,0)</f>
        <v>1</v>
      </c>
      <c r="AC16" s="74" t="n">
        <f aca="false">IF(25&gt;='Assumption Setting'!$C$132,1,0)</f>
        <v>1</v>
      </c>
      <c r="AD16" s="74" t="n">
        <f aca="false">IF(26&gt;='Assumption Setting'!$C$132,1,0)</f>
        <v>1</v>
      </c>
      <c r="AE16" s="74" t="n">
        <f aca="false">IF(27&gt;='Assumption Setting'!$C$132,1,0)</f>
        <v>1</v>
      </c>
      <c r="AF16" s="74" t="n">
        <f aca="false">IF(28&gt;='Assumption Setting'!$C$132,1,0)</f>
        <v>1</v>
      </c>
      <c r="AG16" s="74" t="n">
        <f aca="false">IF(29&gt;='Assumption Setting'!$C$132,1,0)</f>
        <v>1</v>
      </c>
      <c r="AH16" s="74" t="n">
        <f aca="false">IF(30&gt;='Assumption Setting'!$C$132,1,0)</f>
        <v>1</v>
      </c>
      <c r="AI16" s="74" t="n">
        <f aca="false">IF(31&gt;='Assumption Setting'!$C$132,1,0)</f>
        <v>1</v>
      </c>
      <c r="AJ16" s="74" t="n">
        <f aca="false">IF(32&gt;='Assumption Setting'!$C$132,1,0)</f>
        <v>1</v>
      </c>
      <c r="AK16" s="74" t="n">
        <f aca="false">IF(33&gt;='Assumption Setting'!$C$132,1,0)</f>
        <v>1</v>
      </c>
      <c r="AL16" s="74" t="n">
        <f aca="false">IF(34&gt;='Assumption Setting'!$C$132,1,0)</f>
        <v>1</v>
      </c>
      <c r="AM16" s="74" t="n">
        <f aca="false">IF(35&gt;='Assumption Setting'!$C$132,1,0)</f>
        <v>1</v>
      </c>
      <c r="AN16" s="74" t="n">
        <f aca="false">IF(36&gt;='Assumption Setting'!$C$132,1,0)</f>
        <v>1</v>
      </c>
      <c r="AP16" s="74" t="n">
        <f aca="false">IF(37&gt;='Assumption Setting'!$C$132,1,0)</f>
        <v>1</v>
      </c>
      <c r="AQ16" s="74" t="n">
        <f aca="false">IF(38&gt;='Assumption Setting'!$C$132,1,0)</f>
        <v>1</v>
      </c>
      <c r="AR16" s="74" t="n">
        <f aca="false">IF(39&gt;='Assumption Setting'!$C$132,1,0)</f>
        <v>1</v>
      </c>
      <c r="AS16" s="74" t="n">
        <f aca="false">IF(40&gt;='Assumption Setting'!$C$132,1,0)</f>
        <v>1</v>
      </c>
      <c r="AT16" s="74" t="n">
        <f aca="false">IF(41&gt;='Assumption Setting'!$C$132,1,0)</f>
        <v>1</v>
      </c>
      <c r="AU16" s="74" t="n">
        <f aca="false">IF(42&gt;='Assumption Setting'!$C$132,1,0)</f>
        <v>1</v>
      </c>
      <c r="AV16" s="74" t="n">
        <f aca="false">IF(43&gt;='Assumption Setting'!$C$132,1,0)</f>
        <v>1</v>
      </c>
      <c r="AW16" s="74" t="n">
        <f aca="false">IF(44&gt;='Assumption Setting'!$C$132,1,0)</f>
        <v>1</v>
      </c>
      <c r="AX16" s="74" t="n">
        <f aca="false">IF(45&gt;='Assumption Setting'!$C$132,1,0)</f>
        <v>1</v>
      </c>
      <c r="AY16" s="74" t="n">
        <f aca="false">IF(46&gt;='Assumption Setting'!$C$132,1,0)</f>
        <v>1</v>
      </c>
      <c r="AZ16" s="74" t="n">
        <f aca="false">IF(47&gt;='Assumption Setting'!$C$132,1,0)</f>
        <v>1</v>
      </c>
      <c r="BA16" s="74" t="n">
        <f aca="false">IF(48&gt;='Assumption Setting'!$C$132,1,0)</f>
        <v>1</v>
      </c>
      <c r="BC16" s="74" t="n">
        <f aca="false">IF(49&gt;='Assumption Setting'!$C$132,1,0)</f>
        <v>1</v>
      </c>
      <c r="BD16" s="74" t="n">
        <f aca="false">IF(50&gt;='Assumption Setting'!$C$132,1,0)</f>
        <v>1</v>
      </c>
      <c r="BE16" s="74" t="n">
        <f aca="false">IF(51&gt;='Assumption Setting'!$C$132,1,0)</f>
        <v>1</v>
      </c>
      <c r="BF16" s="74" t="n">
        <f aca="false">IF(52&gt;='Assumption Setting'!$C$132,1,0)</f>
        <v>1</v>
      </c>
      <c r="BG16" s="74" t="n">
        <f aca="false">IF(53&gt;='Assumption Setting'!$C$132,1,0)</f>
        <v>1</v>
      </c>
      <c r="BH16" s="74" t="n">
        <f aca="false">IF(54&gt;='Assumption Setting'!$C$132,1,0)</f>
        <v>1</v>
      </c>
      <c r="BI16" s="74" t="n">
        <f aca="false">IF(55&gt;='Assumption Setting'!$C$132,1,0)</f>
        <v>1</v>
      </c>
      <c r="BJ16" s="74" t="n">
        <f aca="false">IF(56&gt;='Assumption Setting'!$C$132,1,0)</f>
        <v>1</v>
      </c>
      <c r="BK16" s="74" t="n">
        <f aca="false">IF(57&gt;='Assumption Setting'!$C$132,1,0)</f>
        <v>1</v>
      </c>
      <c r="BL16" s="74" t="n">
        <f aca="false">IF(58&gt;='Assumption Setting'!$C$132,1,0)</f>
        <v>1</v>
      </c>
      <c r="BM16" s="74" t="n">
        <f aca="false">IF(59&gt;='Assumption Setting'!$C$132,1,0)</f>
        <v>1</v>
      </c>
      <c r="BN16" s="74" t="n">
        <f aca="false">IF(60&gt;='Assumption Setting'!$C$132,1,0)</f>
        <v>1</v>
      </c>
    </row>
    <row r="17" customFormat="false" ht="15" hidden="false" customHeight="false" outlineLevel="0" collapsed="false">
      <c r="A17" s="4" t="s">
        <v>765</v>
      </c>
      <c r="C17" s="74" t="n">
        <f aca="false">IF(1&gt;='Assumption Setting'!$C$133,1,0)</f>
        <v>0</v>
      </c>
      <c r="D17" s="74" t="n">
        <f aca="false">IF(2&gt;='Assumption Setting'!$C$133,1,0)</f>
        <v>0</v>
      </c>
      <c r="E17" s="74" t="n">
        <f aca="false">IF(3&gt;='Assumption Setting'!$C$133,1,0)</f>
        <v>0</v>
      </c>
      <c r="F17" s="74" t="n">
        <f aca="false">IF(4&gt;='Assumption Setting'!$C$133,1,0)</f>
        <v>0</v>
      </c>
      <c r="G17" s="74" t="n">
        <f aca="false">IF(5&gt;='Assumption Setting'!$C$133,1,0)</f>
        <v>0</v>
      </c>
      <c r="H17" s="74" t="n">
        <f aca="false">IF(6&gt;='Assumption Setting'!$C$133,1,0)</f>
        <v>0</v>
      </c>
      <c r="I17" s="74" t="n">
        <f aca="false">IF(7&gt;='Assumption Setting'!$C$133,1,0)</f>
        <v>0</v>
      </c>
      <c r="J17" s="74" t="n">
        <f aca="false">IF(8&gt;='Assumption Setting'!$C$133,1,0)</f>
        <v>0</v>
      </c>
      <c r="K17" s="74" t="n">
        <f aca="false">IF(9&gt;='Assumption Setting'!$C$133,1,0)</f>
        <v>0</v>
      </c>
      <c r="L17" s="74" t="n">
        <f aca="false">IF(10&gt;='Assumption Setting'!$C$133,1,0)</f>
        <v>0</v>
      </c>
      <c r="M17" s="74" t="n">
        <f aca="false">IF(11&gt;='Assumption Setting'!$C$133,1,0)</f>
        <v>0</v>
      </c>
      <c r="N17" s="74" t="n">
        <f aca="false">IF(12&gt;='Assumption Setting'!$C$133,1,0)</f>
        <v>0</v>
      </c>
      <c r="P17" s="74" t="n">
        <f aca="false">IF(13&gt;='Assumption Setting'!$C$133,1,0)</f>
        <v>0</v>
      </c>
      <c r="Q17" s="74" t="n">
        <f aca="false">IF(14&gt;='Assumption Setting'!$C$133,1,0)</f>
        <v>0</v>
      </c>
      <c r="R17" s="74" t="n">
        <f aca="false">IF(15&gt;='Assumption Setting'!$C$133,1,0)</f>
        <v>0</v>
      </c>
      <c r="S17" s="74" t="n">
        <f aca="false">IF(16&gt;='Assumption Setting'!$C$133,1,0)</f>
        <v>0</v>
      </c>
      <c r="T17" s="74" t="n">
        <f aca="false">IF(17&gt;='Assumption Setting'!$C$133,1,0)</f>
        <v>0</v>
      </c>
      <c r="U17" s="74" t="n">
        <f aca="false">IF(18&gt;='Assumption Setting'!$C$133,1,0)</f>
        <v>0</v>
      </c>
      <c r="V17" s="74" t="n">
        <f aca="false">IF(19&gt;='Assumption Setting'!$C$133,1,0)</f>
        <v>0</v>
      </c>
      <c r="W17" s="74" t="n">
        <f aca="false">IF(20&gt;='Assumption Setting'!$C$133,1,0)</f>
        <v>0</v>
      </c>
      <c r="X17" s="74" t="n">
        <f aca="false">IF(21&gt;='Assumption Setting'!$C$133,1,0)</f>
        <v>0</v>
      </c>
      <c r="Y17" s="74" t="n">
        <f aca="false">IF(22&gt;='Assumption Setting'!$C$133,1,0)</f>
        <v>0</v>
      </c>
      <c r="Z17" s="74" t="n">
        <f aca="false">IF(23&gt;='Assumption Setting'!$C$133,1,0)</f>
        <v>0</v>
      </c>
      <c r="AA17" s="74" t="n">
        <f aca="false">IF(24&gt;='Assumption Setting'!$C$133,1,0)</f>
        <v>0</v>
      </c>
      <c r="AC17" s="74" t="n">
        <f aca="false">IF(25&gt;='Assumption Setting'!$C$133,1,0)</f>
        <v>1</v>
      </c>
      <c r="AD17" s="74" t="n">
        <f aca="false">IF(26&gt;='Assumption Setting'!$C$133,1,0)</f>
        <v>1</v>
      </c>
      <c r="AE17" s="74" t="n">
        <f aca="false">IF(27&gt;='Assumption Setting'!$C$133,1,0)</f>
        <v>1</v>
      </c>
      <c r="AF17" s="74" t="n">
        <f aca="false">IF(28&gt;='Assumption Setting'!$C$133,1,0)</f>
        <v>1</v>
      </c>
      <c r="AG17" s="74" t="n">
        <f aca="false">IF(29&gt;='Assumption Setting'!$C$133,1,0)</f>
        <v>1</v>
      </c>
      <c r="AH17" s="74" t="n">
        <f aca="false">IF(30&gt;='Assumption Setting'!$C$133,1,0)</f>
        <v>1</v>
      </c>
      <c r="AI17" s="74" t="n">
        <f aca="false">IF(31&gt;='Assumption Setting'!$C$133,1,0)</f>
        <v>1</v>
      </c>
      <c r="AJ17" s="74" t="n">
        <f aca="false">IF(32&gt;='Assumption Setting'!$C$133,1,0)</f>
        <v>1</v>
      </c>
      <c r="AK17" s="74" t="n">
        <f aca="false">IF(33&gt;='Assumption Setting'!$C$133,1,0)</f>
        <v>1</v>
      </c>
      <c r="AL17" s="74" t="n">
        <f aca="false">IF(34&gt;='Assumption Setting'!$C$133,1,0)</f>
        <v>1</v>
      </c>
      <c r="AM17" s="74" t="n">
        <f aca="false">IF(35&gt;='Assumption Setting'!$C$133,1,0)</f>
        <v>1</v>
      </c>
      <c r="AN17" s="74" t="n">
        <f aca="false">IF(36&gt;='Assumption Setting'!$C$133,1,0)</f>
        <v>1</v>
      </c>
      <c r="AP17" s="74" t="n">
        <f aca="false">IF(37&gt;='Assumption Setting'!$C$133,1,0)</f>
        <v>1</v>
      </c>
      <c r="AQ17" s="74" t="n">
        <f aca="false">IF(38&gt;='Assumption Setting'!$C$133,1,0)</f>
        <v>1</v>
      </c>
      <c r="AR17" s="74" t="n">
        <f aca="false">IF(39&gt;='Assumption Setting'!$C$133,1,0)</f>
        <v>1</v>
      </c>
      <c r="AS17" s="74" t="n">
        <f aca="false">IF(40&gt;='Assumption Setting'!$C$133,1,0)</f>
        <v>1</v>
      </c>
      <c r="AT17" s="74" t="n">
        <f aca="false">IF(41&gt;='Assumption Setting'!$C$133,1,0)</f>
        <v>1</v>
      </c>
      <c r="AU17" s="74" t="n">
        <f aca="false">IF(42&gt;='Assumption Setting'!$C$133,1,0)</f>
        <v>1</v>
      </c>
      <c r="AV17" s="74" t="n">
        <f aca="false">IF(43&gt;='Assumption Setting'!$C$133,1,0)</f>
        <v>1</v>
      </c>
      <c r="AW17" s="74" t="n">
        <f aca="false">IF(44&gt;='Assumption Setting'!$C$133,1,0)</f>
        <v>1</v>
      </c>
      <c r="AX17" s="74" t="n">
        <f aca="false">IF(45&gt;='Assumption Setting'!$C$133,1,0)</f>
        <v>1</v>
      </c>
      <c r="AY17" s="74" t="n">
        <f aca="false">IF(46&gt;='Assumption Setting'!$C$133,1,0)</f>
        <v>1</v>
      </c>
      <c r="AZ17" s="74" t="n">
        <f aca="false">IF(47&gt;='Assumption Setting'!$C$133,1,0)</f>
        <v>1</v>
      </c>
      <c r="BA17" s="74" t="n">
        <f aca="false">IF(48&gt;='Assumption Setting'!$C$133,1,0)</f>
        <v>1</v>
      </c>
      <c r="BC17" s="74" t="n">
        <f aca="false">IF(49&gt;='Assumption Setting'!$C$133,1,0)</f>
        <v>1</v>
      </c>
      <c r="BD17" s="74" t="n">
        <f aca="false">IF(50&gt;='Assumption Setting'!$C$133,1,0)</f>
        <v>1</v>
      </c>
      <c r="BE17" s="74" t="n">
        <f aca="false">IF(51&gt;='Assumption Setting'!$C$133,1,0)</f>
        <v>1</v>
      </c>
      <c r="BF17" s="74" t="n">
        <f aca="false">IF(52&gt;='Assumption Setting'!$C$133,1,0)</f>
        <v>1</v>
      </c>
      <c r="BG17" s="74" t="n">
        <f aca="false">IF(53&gt;='Assumption Setting'!$C$133,1,0)</f>
        <v>1</v>
      </c>
      <c r="BH17" s="74" t="n">
        <f aca="false">IF(54&gt;='Assumption Setting'!$C$133,1,0)</f>
        <v>1</v>
      </c>
      <c r="BI17" s="74" t="n">
        <f aca="false">IF(55&gt;='Assumption Setting'!$C$133,1,0)</f>
        <v>1</v>
      </c>
      <c r="BJ17" s="74" t="n">
        <f aca="false">IF(56&gt;='Assumption Setting'!$C$133,1,0)</f>
        <v>1</v>
      </c>
      <c r="BK17" s="74" t="n">
        <f aca="false">IF(57&gt;='Assumption Setting'!$C$133,1,0)</f>
        <v>1</v>
      </c>
      <c r="BL17" s="74" t="n">
        <f aca="false">IF(58&gt;='Assumption Setting'!$C$133,1,0)</f>
        <v>1</v>
      </c>
      <c r="BM17" s="74" t="n">
        <f aca="false">IF(59&gt;='Assumption Setting'!$C$133,1,0)</f>
        <v>1</v>
      </c>
      <c r="BN17" s="74" t="n">
        <f aca="false">IF(60&gt;='Assumption Setting'!$C$133,1,0)</f>
        <v>1</v>
      </c>
    </row>
    <row r="19" customFormat="false" ht="15" hidden="false" customHeight="false" outlineLevel="0" collapsed="false">
      <c r="A19" s="9" t="s">
        <v>766</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row>
    <row r="20" customFormat="false" ht="15" hidden="false" customHeight="false" outlineLevel="0" collapsed="false">
      <c r="A20" s="56" t="s">
        <v>632</v>
      </c>
      <c r="B20" s="57" t="s">
        <v>87</v>
      </c>
      <c r="C20" s="58" t="s">
        <v>562</v>
      </c>
      <c r="D20" s="58" t="s">
        <v>563</v>
      </c>
      <c r="E20" s="58" t="s">
        <v>564</v>
      </c>
      <c r="F20" s="58" t="s">
        <v>565</v>
      </c>
      <c r="G20" s="58" t="s">
        <v>566</v>
      </c>
      <c r="H20" s="58" t="s">
        <v>567</v>
      </c>
      <c r="I20" s="58" t="s">
        <v>568</v>
      </c>
      <c r="J20" s="58" t="s">
        <v>569</v>
      </c>
      <c r="K20" s="58" t="s">
        <v>570</v>
      </c>
      <c r="L20" s="58" t="s">
        <v>571</v>
      </c>
      <c r="M20" s="58" t="s">
        <v>572</v>
      </c>
      <c r="N20" s="58" t="s">
        <v>573</v>
      </c>
      <c r="O20" s="57" t="s">
        <v>88</v>
      </c>
      <c r="P20" s="58" t="s">
        <v>574</v>
      </c>
      <c r="Q20" s="58" t="s">
        <v>575</v>
      </c>
      <c r="R20" s="58" t="s">
        <v>576</v>
      </c>
      <c r="S20" s="58" t="s">
        <v>577</v>
      </c>
      <c r="T20" s="58" t="s">
        <v>578</v>
      </c>
      <c r="U20" s="58" t="s">
        <v>579</v>
      </c>
      <c r="V20" s="58" t="s">
        <v>580</v>
      </c>
      <c r="W20" s="58" t="s">
        <v>581</v>
      </c>
      <c r="X20" s="58" t="s">
        <v>582</v>
      </c>
      <c r="Y20" s="58" t="s">
        <v>583</v>
      </c>
      <c r="Z20" s="58" t="s">
        <v>584</v>
      </c>
      <c r="AA20" s="58" t="s">
        <v>585</v>
      </c>
      <c r="AB20" s="57" t="s">
        <v>89</v>
      </c>
      <c r="AC20" s="58" t="s">
        <v>586</v>
      </c>
      <c r="AD20" s="58" t="s">
        <v>587</v>
      </c>
      <c r="AE20" s="58" t="s">
        <v>588</v>
      </c>
      <c r="AF20" s="58" t="s">
        <v>589</v>
      </c>
      <c r="AG20" s="58" t="s">
        <v>590</v>
      </c>
      <c r="AH20" s="58" t="s">
        <v>591</v>
      </c>
      <c r="AI20" s="58" t="s">
        <v>592</v>
      </c>
      <c r="AJ20" s="58" t="s">
        <v>593</v>
      </c>
      <c r="AK20" s="58" t="s">
        <v>594</v>
      </c>
      <c r="AL20" s="58" t="s">
        <v>595</v>
      </c>
      <c r="AM20" s="58" t="s">
        <v>596</v>
      </c>
      <c r="AN20" s="58" t="s">
        <v>597</v>
      </c>
      <c r="AO20" s="57" t="s">
        <v>90</v>
      </c>
      <c r="AP20" s="58" t="s">
        <v>598</v>
      </c>
      <c r="AQ20" s="58" t="s">
        <v>599</v>
      </c>
      <c r="AR20" s="58" t="s">
        <v>600</v>
      </c>
      <c r="AS20" s="58" t="s">
        <v>601</v>
      </c>
      <c r="AT20" s="58" t="s">
        <v>602</v>
      </c>
      <c r="AU20" s="58" t="s">
        <v>603</v>
      </c>
      <c r="AV20" s="58" t="s">
        <v>604</v>
      </c>
      <c r="AW20" s="58" t="s">
        <v>605</v>
      </c>
      <c r="AX20" s="58" t="s">
        <v>606</v>
      </c>
      <c r="AY20" s="58" t="s">
        <v>607</v>
      </c>
      <c r="AZ20" s="58" t="s">
        <v>608</v>
      </c>
      <c r="BA20" s="58" t="s">
        <v>609</v>
      </c>
      <c r="BB20" s="57" t="s">
        <v>91</v>
      </c>
      <c r="BC20" s="58" t="s">
        <v>610</v>
      </c>
      <c r="BD20" s="58" t="s">
        <v>611</v>
      </c>
      <c r="BE20" s="58" t="s">
        <v>612</v>
      </c>
      <c r="BF20" s="58" t="s">
        <v>613</v>
      </c>
      <c r="BG20" s="58" t="s">
        <v>614</v>
      </c>
      <c r="BH20" s="58" t="s">
        <v>615</v>
      </c>
      <c r="BI20" s="58" t="s">
        <v>616</v>
      </c>
      <c r="BJ20" s="58" t="s">
        <v>617</v>
      </c>
      <c r="BK20" s="58" t="s">
        <v>618</v>
      </c>
      <c r="BL20" s="58" t="s">
        <v>619</v>
      </c>
      <c r="BM20" s="58" t="s">
        <v>620</v>
      </c>
      <c r="BN20" s="58" t="s">
        <v>621</v>
      </c>
    </row>
    <row r="21" customFormat="false" ht="15" hidden="false" customHeight="false" outlineLevel="0" collapsed="false">
      <c r="A21" s="4" t="s">
        <v>767</v>
      </c>
      <c r="B21" s="65" t="n">
        <f aca="false">IFERROR(AVERAGE(C21:N21),0)</f>
        <v>109.529012590226</v>
      </c>
      <c r="C21" s="68" t="n">
        <f aca="false">(Acquisitions!C98+Acquisitions!C104)/2</f>
        <v>0</v>
      </c>
      <c r="D21" s="68" t="n">
        <f aca="false">(Acquisitions!D98+Acquisitions!D104)/2</f>
        <v>11.3010988344712</v>
      </c>
      <c r="E21" s="68" t="n">
        <f aca="false">(Acquisitions!E98+Acquisitions!E104)/2</f>
        <v>33.7960239218446</v>
      </c>
      <c r="F21" s="68" t="n">
        <f aca="false">(Acquisitions!F98+Acquisitions!F104)/2</f>
        <v>56.0592882883232</v>
      </c>
      <c r="G21" s="68" t="n">
        <f aca="false">(Acquisitions!G98+Acquisitions!G104)/2</f>
        <v>78.0586983194296</v>
      </c>
      <c r="H21" s="68" t="n">
        <f aca="false">(Acquisitions!H98+Acquisitions!H104)/2</f>
        <v>99.7659674455824</v>
      </c>
      <c r="I21" s="68" t="n">
        <f aca="false">(Acquisitions!I98+Acquisitions!I104)/2</f>
        <v>121.156392508916</v>
      </c>
      <c r="J21" s="68" t="n">
        <f aca="false">(Acquisitions!J98+Acquisitions!J104)/2</f>
        <v>142.208553841788</v>
      </c>
      <c r="K21" s="68" t="n">
        <f aca="false">(Acquisitions!K98+Acquisitions!K104)/2</f>
        <v>162.904037412968</v>
      </c>
      <c r="L21" s="68" t="n">
        <f aca="false">(Acquisitions!L98+Acquisitions!L104)/2</f>
        <v>183.227177508331</v>
      </c>
      <c r="M21" s="68" t="n">
        <f aca="false">(Acquisitions!M98+Acquisitions!M104)/2</f>
        <v>203.16481851628</v>
      </c>
      <c r="N21" s="68" t="n">
        <f aca="false">(Acquisitions!N98+Acquisitions!N104)/2</f>
        <v>222.706094484777</v>
      </c>
      <c r="O21" s="65" t="n">
        <f aca="false">IFERROR(AVERAGE(P21:AA21),0)</f>
        <v>540.185223906216</v>
      </c>
      <c r="P21" s="68" t="n">
        <f aca="false">(Acquisitions!P98+Acquisitions!P104)/2</f>
        <v>244.930712841994</v>
      </c>
      <c r="Q21" s="68" t="n">
        <f aca="false">(Acquisitions!Q98+Acquisitions!Q104)/2</f>
        <v>286.636336471726</v>
      </c>
      <c r="R21" s="68" t="n">
        <f aca="false">(Acquisitions!R98+Acquisitions!R104)/2</f>
        <v>344.679967030662</v>
      </c>
      <c r="S21" s="68" t="n">
        <f aca="false">(Acquisitions!S98+Acquisitions!S104)/2</f>
        <v>402.173346325151</v>
      </c>
      <c r="T21" s="68" t="n">
        <f aca="false">(Acquisitions!T98+Acquisitions!T104)/2</f>
        <v>459.055481896409</v>
      </c>
      <c r="U21" s="68" t="n">
        <f aca="false">(Acquisitions!U98+Acquisitions!U104)/2</f>
        <v>515.27191828535</v>
      </c>
      <c r="V21" s="68" t="n">
        <f aca="false">(Acquisitions!V98+Acquisitions!V104)/2</f>
        <v>570.774264832255</v>
      </c>
      <c r="W21" s="68" t="n">
        <f aca="false">(Acquisitions!W98+Acquisitions!W104)/2</f>
        <v>625.519753528022</v>
      </c>
      <c r="X21" s="68" t="n">
        <f aca="false">(Acquisitions!X98+Acquisitions!X104)/2</f>
        <v>679.47082511143</v>
      </c>
      <c r="Y21" s="68" t="n">
        <f aca="false">(Acquisitions!Y98+Acquisitions!Y104)/2</f>
        <v>732.594741712112</v>
      </c>
      <c r="Z21" s="68" t="n">
        <f aca="false">(Acquisitions!Z98+Acquisitions!Z104)/2</f>
        <v>784.863224438221</v>
      </c>
      <c r="AA21" s="68" t="n">
        <f aca="false">(Acquisitions!AA98+Acquisitions!AA104)/2</f>
        <v>836.252114401259</v>
      </c>
      <c r="AB21" s="65" t="n">
        <f aca="false">IFERROR(AVERAGE(AC21:AN21),0)</f>
        <v>1461.08852269703</v>
      </c>
      <c r="AC21" s="68" t="n">
        <f aca="false">(Acquisitions!AC98+Acquisitions!AC104)/2</f>
        <v>893.78890861947</v>
      </c>
      <c r="AD21" s="68" t="n">
        <f aca="false">(Acquisitions!AD98+Acquisitions!AD104)/2</f>
        <v>981.311797117504</v>
      </c>
      <c r="AE21" s="68" t="n">
        <f aca="false">(Acquisitions!AE98+Acquisitions!AE104)/2</f>
        <v>1091.64039078317</v>
      </c>
      <c r="AF21" s="68" t="n">
        <f aca="false">(Acquisitions!AF98+Acquisitions!AF104)/2</f>
        <v>1200.75265470254</v>
      </c>
      <c r="AG21" s="68" t="n">
        <f aca="false">(Acquisitions!AG98+Acquisitions!AG104)/2</f>
        <v>1308.56898209729</v>
      </c>
      <c r="AH21" s="68" t="n">
        <f aca="false">(Acquisitions!AH98+Acquisitions!AH104)/2</f>
        <v>1415.01841998883</v>
      </c>
      <c r="AI21" s="68" t="n">
        <f aca="false">(Acquisitions!AI98+Acquisitions!AI104)/2</f>
        <v>1520.03807655043</v>
      </c>
      <c r="AJ21" s="68" t="n">
        <f aca="false">(Acquisitions!AJ98+Acquisitions!AJ104)/2</f>
        <v>1623.57256378493</v>
      </c>
      <c r="AK21" s="68" t="n">
        <f aca="false">(Acquisitions!AK98+Acquisitions!AK104)/2</f>
        <v>1725.57347354843</v>
      </c>
      <c r="AL21" s="68" t="n">
        <f aca="false">(Acquisitions!AL98+Acquisitions!AL104)/2</f>
        <v>1825.99888504807</v>
      </c>
      <c r="AM21" s="68" t="n">
        <f aca="false">(Acquisitions!AM98+Acquisitions!AM104)/2</f>
        <v>1924.81290204378</v>
      </c>
      <c r="AN21" s="68" t="n">
        <f aca="false">(Acquisitions!AN98+Acquisitions!AN104)/2</f>
        <v>2021.98521807993</v>
      </c>
      <c r="AO21" s="65" t="n">
        <f aca="false">IFERROR(AVERAGE(AP21:BA21),0)</f>
        <v>2984.99240307824</v>
      </c>
      <c r="AP21" s="68" t="n">
        <f aca="false">(Acquisitions!AP98+Acquisitions!AP104)/2</f>
        <v>2129.81230205074</v>
      </c>
      <c r="AQ21" s="68" t="n">
        <f aca="false">(Acquisitions!AQ98+Acquisitions!AQ104)/2</f>
        <v>2272.38607059975</v>
      </c>
      <c r="AR21" s="68" t="n">
        <f aca="false">(Acquisitions!AR98+Acquisitions!AR104)/2</f>
        <v>2437.18377582591</v>
      </c>
      <c r="AS21" s="68" t="n">
        <f aca="false">(Acquisitions!AS98+Acquisitions!AS104)/2</f>
        <v>2599.86217679</v>
      </c>
      <c r="AT21" s="68" t="n">
        <f aca="false">(Acquisitions!AT98+Acquisitions!AT104)/2</f>
        <v>2760.34811233181</v>
      </c>
      <c r="AU21" s="68" t="n">
        <f aca="false">(Acquisitions!AU98+Acquisitions!AU104)/2</f>
        <v>2918.57721463732</v>
      </c>
      <c r="AV21" s="68" t="n">
        <f aca="false">(Acquisitions!AV98+Acquisitions!AV104)/2</f>
        <v>3074.49332765345</v>
      </c>
      <c r="AW21" s="68" t="n">
        <f aca="false">(Acquisitions!AW98+Acquisitions!AW104)/2</f>
        <v>3228.04795823594</v>
      </c>
      <c r="AX21" s="68" t="n">
        <f aca="false">(Acquisitions!AX98+Acquisitions!AX104)/2</f>
        <v>3379.19975831366</v>
      </c>
      <c r="AY21" s="68" t="n">
        <f aca="false">(Acquisitions!AY98+Acquisitions!AY104)/2</f>
        <v>3527.91403643959</v>
      </c>
      <c r="AZ21" s="68" t="n">
        <f aca="false">(Acquisitions!AZ98+Acquisitions!AZ104)/2</f>
        <v>3674.16229718097</v>
      </c>
      <c r="BA21" s="68" t="n">
        <f aca="false">(Acquisitions!BA98+Acquisitions!BA104)/2</f>
        <v>3817.92180687971</v>
      </c>
      <c r="BB21" s="65" t="n">
        <f aca="false">IFERROR(AVERAGE(BC21:BN21),0)</f>
        <v>4947.42708415857</v>
      </c>
      <c r="BC21" s="68" t="n">
        <f aca="false">(Acquisitions!BC98+Acquisitions!BC104)/2</f>
        <v>3967.84873412043</v>
      </c>
      <c r="BD21" s="68" t="n">
        <f aca="false">(Acquisitions!BD98+Acquisitions!BD104)/2</f>
        <v>4140.37837498983</v>
      </c>
      <c r="BE21" s="68" t="n">
        <f aca="false">(Acquisitions!BE98+Acquisitions!BE104)/2</f>
        <v>4326.94938185098</v>
      </c>
      <c r="BF21" s="68" t="n">
        <f aca="false">(Acquisitions!BF98+Acquisitions!BF104)/2</f>
        <v>4511.19285622222</v>
      </c>
      <c r="BG21" s="68" t="n">
        <f aca="false">(Acquisitions!BG98+Acquisitions!BG104)/2</f>
        <v>4693.03634671128</v>
      </c>
      <c r="BH21" s="68" t="n">
        <f aca="false">(Acquisitions!BH98+Acquisitions!BH104)/2</f>
        <v>4872.41583619691</v>
      </c>
      <c r="BI21" s="68" t="n">
        <f aca="false">(Acquisitions!BI98+Acquisitions!BI104)/2</f>
        <v>5049.27521120704</v>
      </c>
      <c r="BJ21" s="68" t="n">
        <f aca="false">(Acquisitions!BJ98+Acquisitions!BJ104)/2</f>
        <v>5223.56575958658</v>
      </c>
      <c r="BK21" s="68" t="n">
        <f aca="false">(Acquisitions!BK98+Acquisitions!BK104)/2</f>
        <v>5395.24569505276</v>
      </c>
      <c r="BL21" s="68" t="n">
        <f aca="false">(Acquisitions!BL98+Acquisitions!BL104)/2</f>
        <v>5564.27970730317</v>
      </c>
      <c r="BM21" s="68" t="n">
        <f aca="false">(Acquisitions!BM98+Acquisitions!BM104)/2</f>
        <v>5730.63853640523</v>
      </c>
      <c r="BN21" s="68" t="n">
        <f aca="false">(Acquisitions!BN98+Acquisitions!BN104)/2</f>
        <v>5894.29857025643</v>
      </c>
    </row>
    <row r="22" customFormat="false" ht="15" hidden="false" customHeight="false" outlineLevel="0" collapsed="false">
      <c r="A22" s="4" t="s">
        <v>768</v>
      </c>
      <c r="B22" s="69" t="n">
        <f aca="false">IFERROR(AVERAGE(C22:N22),0)</f>
        <v>959.04</v>
      </c>
      <c r="C22" s="72" t="n">
        <f aca="false">'Assumption Setting'!$C$90*C7*C9</f>
        <v>959.04</v>
      </c>
      <c r="D22" s="72" t="n">
        <f aca="false">'Assumption Setting'!$C$90*D7*D9</f>
        <v>959.04</v>
      </c>
      <c r="E22" s="72" t="n">
        <f aca="false">'Assumption Setting'!$C$90*E7*E9</f>
        <v>959.04</v>
      </c>
      <c r="F22" s="72" t="n">
        <f aca="false">'Assumption Setting'!$C$90*F7*F9</f>
        <v>959.04</v>
      </c>
      <c r="G22" s="72" t="n">
        <f aca="false">'Assumption Setting'!$C$90*G7*G9</f>
        <v>959.04</v>
      </c>
      <c r="H22" s="72" t="n">
        <f aca="false">'Assumption Setting'!$C$90*H7*H9</f>
        <v>959.04</v>
      </c>
      <c r="I22" s="72" t="n">
        <f aca="false">'Assumption Setting'!$C$90*I7*I9</f>
        <v>959.04</v>
      </c>
      <c r="J22" s="72" t="n">
        <f aca="false">'Assumption Setting'!$C$90*J7*J9</f>
        <v>959.04</v>
      </c>
      <c r="K22" s="72" t="n">
        <f aca="false">'Assumption Setting'!$C$90*K7*K9</f>
        <v>959.04</v>
      </c>
      <c r="L22" s="72" t="n">
        <f aca="false">'Assumption Setting'!$C$90*L7*L9</f>
        <v>959.04</v>
      </c>
      <c r="M22" s="72" t="n">
        <f aca="false">'Assumption Setting'!$C$90*M7*M9</f>
        <v>959.04</v>
      </c>
      <c r="N22" s="72" t="n">
        <f aca="false">'Assumption Setting'!$C$90*N7*N9</f>
        <v>959.04</v>
      </c>
      <c r="O22" s="69" t="n">
        <f aca="false">IFERROR(AVERAGE(P22:AA22),0)</f>
        <v>1022.81616</v>
      </c>
      <c r="P22" s="72" t="n">
        <f aca="false">'Assumption Setting'!$C$90*P7*P9</f>
        <v>1022.81616</v>
      </c>
      <c r="Q22" s="72" t="n">
        <f aca="false">'Assumption Setting'!$C$90*Q7*Q9</f>
        <v>1022.81616</v>
      </c>
      <c r="R22" s="72" t="n">
        <f aca="false">'Assumption Setting'!$C$90*R7*R9</f>
        <v>1022.81616</v>
      </c>
      <c r="S22" s="72" t="n">
        <f aca="false">'Assumption Setting'!$C$90*S7*S9</f>
        <v>1022.81616</v>
      </c>
      <c r="T22" s="72" t="n">
        <f aca="false">'Assumption Setting'!$C$90*T7*T9</f>
        <v>1022.81616</v>
      </c>
      <c r="U22" s="72" t="n">
        <f aca="false">'Assumption Setting'!$C$90*U7*U9</f>
        <v>1022.81616</v>
      </c>
      <c r="V22" s="72" t="n">
        <f aca="false">'Assumption Setting'!$C$90*V7*V9</f>
        <v>1022.81616</v>
      </c>
      <c r="W22" s="72" t="n">
        <f aca="false">'Assumption Setting'!$C$90*W7*W9</f>
        <v>1022.81616</v>
      </c>
      <c r="X22" s="72" t="n">
        <f aca="false">'Assumption Setting'!$C$90*X7*X9</f>
        <v>1022.81616</v>
      </c>
      <c r="Y22" s="72" t="n">
        <f aca="false">'Assumption Setting'!$C$90*Y7*Y9</f>
        <v>1022.81616</v>
      </c>
      <c r="Z22" s="72" t="n">
        <f aca="false">'Assumption Setting'!$C$90*Z7*Z9</f>
        <v>1022.81616</v>
      </c>
      <c r="AA22" s="72" t="n">
        <f aca="false">'Assumption Setting'!$C$90*AA7*AA9</f>
        <v>1022.81616</v>
      </c>
      <c r="AB22" s="69" t="n">
        <f aca="false">IFERROR(AVERAGE(AC22:AN22),0)</f>
        <v>1092.9891168</v>
      </c>
      <c r="AC22" s="72" t="n">
        <f aca="false">'Assumption Setting'!$C$90*AC7*AC9</f>
        <v>1092.9891168</v>
      </c>
      <c r="AD22" s="72" t="n">
        <f aca="false">'Assumption Setting'!$C$90*AD7*AD9</f>
        <v>1092.9891168</v>
      </c>
      <c r="AE22" s="72" t="n">
        <f aca="false">'Assumption Setting'!$C$90*AE7*AE9</f>
        <v>1092.9891168</v>
      </c>
      <c r="AF22" s="72" t="n">
        <f aca="false">'Assumption Setting'!$C$90*AF7*AF9</f>
        <v>1092.9891168</v>
      </c>
      <c r="AG22" s="72" t="n">
        <f aca="false">'Assumption Setting'!$C$90*AG7*AG9</f>
        <v>1092.9891168</v>
      </c>
      <c r="AH22" s="72" t="n">
        <f aca="false">'Assumption Setting'!$C$90*AH7*AH9</f>
        <v>1092.9891168</v>
      </c>
      <c r="AI22" s="72" t="n">
        <f aca="false">'Assumption Setting'!$C$90*AI7*AI9</f>
        <v>1092.9891168</v>
      </c>
      <c r="AJ22" s="72" t="n">
        <f aca="false">'Assumption Setting'!$C$90*AJ7*AJ9</f>
        <v>1092.9891168</v>
      </c>
      <c r="AK22" s="72" t="n">
        <f aca="false">'Assumption Setting'!$C$90*AK7*AK9</f>
        <v>1092.9891168</v>
      </c>
      <c r="AL22" s="72" t="n">
        <f aca="false">'Assumption Setting'!$C$90*AL7*AL9</f>
        <v>1092.9891168</v>
      </c>
      <c r="AM22" s="72" t="n">
        <f aca="false">'Assumption Setting'!$C$90*AM7*AM9</f>
        <v>1092.9891168</v>
      </c>
      <c r="AN22" s="72" t="n">
        <f aca="false">'Assumption Setting'!$C$90*AN7*AN9</f>
        <v>1092.9891168</v>
      </c>
      <c r="AO22" s="69" t="n">
        <f aca="false">IFERROR(AVERAGE(AP22:BA22),0)</f>
        <v>1159.52395536</v>
      </c>
      <c r="AP22" s="72" t="n">
        <f aca="false">'Assumption Setting'!$C$90*AP7*AP9</f>
        <v>1159.52395536</v>
      </c>
      <c r="AQ22" s="72" t="n">
        <f aca="false">'Assumption Setting'!$C$90*AQ7*AQ9</f>
        <v>1159.52395536</v>
      </c>
      <c r="AR22" s="72" t="n">
        <f aca="false">'Assumption Setting'!$C$90*AR7*AR9</f>
        <v>1159.52395536</v>
      </c>
      <c r="AS22" s="72" t="n">
        <f aca="false">'Assumption Setting'!$C$90*AS7*AS9</f>
        <v>1159.52395536</v>
      </c>
      <c r="AT22" s="72" t="n">
        <f aca="false">'Assumption Setting'!$C$90*AT7*AT9</f>
        <v>1159.52395536</v>
      </c>
      <c r="AU22" s="72" t="n">
        <f aca="false">'Assumption Setting'!$C$90*AU7*AU9</f>
        <v>1159.52395536</v>
      </c>
      <c r="AV22" s="72" t="n">
        <f aca="false">'Assumption Setting'!$C$90*AV7*AV9</f>
        <v>1159.52395536</v>
      </c>
      <c r="AW22" s="72" t="n">
        <f aca="false">'Assumption Setting'!$C$90*AW7*AW9</f>
        <v>1159.52395536</v>
      </c>
      <c r="AX22" s="72" t="n">
        <f aca="false">'Assumption Setting'!$C$90*AX7*AX9</f>
        <v>1159.52395536</v>
      </c>
      <c r="AY22" s="72" t="n">
        <f aca="false">'Assumption Setting'!$C$90*AY7*AY9</f>
        <v>1159.52395536</v>
      </c>
      <c r="AZ22" s="72" t="n">
        <f aca="false">'Assumption Setting'!$C$90*AZ7*AZ9</f>
        <v>1159.52395536</v>
      </c>
      <c r="BA22" s="72" t="n">
        <f aca="false">'Assumption Setting'!$C$90*BA7*BA9</f>
        <v>1159.52395536</v>
      </c>
      <c r="BB22" s="69" t="n">
        <f aca="false">IFERROR(AVERAGE(BC22:BN22),0)</f>
        <v>1221.16574498688</v>
      </c>
      <c r="BC22" s="72" t="n">
        <f aca="false">'Assumption Setting'!$C$90*BC7*BC9</f>
        <v>1221.16574498688</v>
      </c>
      <c r="BD22" s="72" t="n">
        <f aca="false">'Assumption Setting'!$C$90*BD7*BD9</f>
        <v>1221.16574498688</v>
      </c>
      <c r="BE22" s="72" t="n">
        <f aca="false">'Assumption Setting'!$C$90*BE7*BE9</f>
        <v>1221.16574498688</v>
      </c>
      <c r="BF22" s="72" t="n">
        <f aca="false">'Assumption Setting'!$C$90*BF7*BF9</f>
        <v>1221.16574498688</v>
      </c>
      <c r="BG22" s="72" t="n">
        <f aca="false">'Assumption Setting'!$C$90*BG7*BG9</f>
        <v>1221.16574498688</v>
      </c>
      <c r="BH22" s="72" t="n">
        <f aca="false">'Assumption Setting'!$C$90*BH7*BH9</f>
        <v>1221.16574498688</v>
      </c>
      <c r="BI22" s="72" t="n">
        <f aca="false">'Assumption Setting'!$C$90*BI7*BI9</f>
        <v>1221.16574498688</v>
      </c>
      <c r="BJ22" s="72" t="n">
        <f aca="false">'Assumption Setting'!$C$90*BJ7*BJ9</f>
        <v>1221.16574498688</v>
      </c>
      <c r="BK22" s="72" t="n">
        <f aca="false">'Assumption Setting'!$C$90*BK7*BK9</f>
        <v>1221.16574498688</v>
      </c>
      <c r="BL22" s="72" t="n">
        <f aca="false">'Assumption Setting'!$C$90*BL7*BL9</f>
        <v>1221.16574498688</v>
      </c>
      <c r="BM22" s="72" t="n">
        <f aca="false">'Assumption Setting'!$C$90*BM7*BM9</f>
        <v>1221.16574498688</v>
      </c>
      <c r="BN22" s="72" t="n">
        <f aca="false">'Assumption Setting'!$C$90*BN7*BN9</f>
        <v>1221.16574498688</v>
      </c>
    </row>
    <row r="23" customFormat="false" ht="15" hidden="false" customHeight="false" outlineLevel="0" collapsed="false">
      <c r="A23" s="13" t="s">
        <v>769</v>
      </c>
      <c r="B23" s="59" t="n">
        <f aca="false">SUM(C23:N23)</f>
        <v>23571.4463571945</v>
      </c>
      <c r="C23" s="61" t="n">
        <f aca="false">C21*C22/C6*C10</f>
        <v>0</v>
      </c>
      <c r="D23" s="61" t="n">
        <f aca="false">D21*D22/D6*D10</f>
        <v>209.431181700323</v>
      </c>
      <c r="E23" s="61" t="n">
        <f aca="false">E21*E22/E6*E10</f>
        <v>623.271770183983</v>
      </c>
      <c r="F23" s="61" t="n">
        <f aca="false">F21*F22/F6*F10</f>
        <v>1028.84655020537</v>
      </c>
      <c r="G23" s="61" t="n">
        <f aca="false">G21*G22/G6*G10</f>
        <v>1425.65850297108</v>
      </c>
      <c r="H23" s="61" t="n">
        <f aca="false">H21*H22/H6*H10</f>
        <v>1813.29222763646</v>
      </c>
      <c r="I23" s="61" t="n">
        <f aca="false">I21*I22/I6*I10</f>
        <v>2191.40623571771</v>
      </c>
      <c r="J23" s="61" t="n">
        <f aca="false">J21*J22/J6*J10</f>
        <v>2559.72586872869</v>
      </c>
      <c r="K23" s="61" t="n">
        <f aca="false">K21*K22/K6*K10</f>
        <v>2918.03679194414</v>
      </c>
      <c r="L23" s="61" t="n">
        <f aca="false">L21*L22/L6*L10</f>
        <v>3266.1790206279</v>
      </c>
      <c r="M23" s="61" t="n">
        <f aca="false">M21*M22/M6*M10</f>
        <v>3604.04143825554</v>
      </c>
      <c r="N23" s="61" t="n">
        <f aca="false">N21*N22/N6*N10</f>
        <v>3931.55676922333</v>
      </c>
      <c r="O23" s="59" t="n">
        <f aca="false">SUM(P23:AA23)</f>
        <v>117575.961828241</v>
      </c>
      <c r="P23" s="61" t="n">
        <f aca="false">P21*P22/P6*P10</f>
        <v>4589.10223804929</v>
      </c>
      <c r="Q23" s="61" t="n">
        <f aca="false">Q21*Q22/Q6*Q10</f>
        <v>5344.4978792095</v>
      </c>
      <c r="R23" s="61" t="n">
        <f aca="false">R21*R22/R6*R10</f>
        <v>6395.62343598267</v>
      </c>
      <c r="S23" s="61" t="n">
        <f aca="false">S21*S22/S6*S10</f>
        <v>7426.27974963061</v>
      </c>
      <c r="T23" s="61" t="n">
        <f aca="false">T21*T22/T6*T10</f>
        <v>8435.56888617866</v>
      </c>
      <c r="U23" s="61" t="n">
        <f aca="false">U21*U22/U6*U10</f>
        <v>9422.73225238689</v>
      </c>
      <c r="V23" s="61" t="n">
        <f aca="false">V21*V22/V6*V10</f>
        <v>10387.1388587281</v>
      </c>
      <c r="W23" s="61" t="n">
        <f aca="false">W21*W22/W6*W10</f>
        <v>11328.2744208795</v>
      </c>
      <c r="X23" s="61" t="n">
        <f aca="false">X21*X22/X6*X10</f>
        <v>12245.7312440009</v>
      </c>
      <c r="Y23" s="61" t="n">
        <f aca="false">Y21*Y22/Y6*Y10</f>
        <v>13139.198837643</v>
      </c>
      <c r="Z23" s="61" t="n">
        <f aca="false">Z21*Z22/Z6*Z10</f>
        <v>14008.4552124656</v>
      </c>
      <c r="AA23" s="61" t="n">
        <f aca="false">AA21*AA22/AA6*AA10</f>
        <v>14853.3588130866</v>
      </c>
      <c r="AB23" s="59" t="n">
        <f aca="false">SUM(AC23:AN23)</f>
        <v>321163.596387509</v>
      </c>
      <c r="AC23" s="61" t="n">
        <f aca="false">AC21*AC22/AC6*AC10</f>
        <v>16882.3087689298</v>
      </c>
      <c r="AD23" s="61" t="n">
        <f aca="false">AD21*AD22/AD6*AD10</f>
        <v>18445.697229023</v>
      </c>
      <c r="AE23" s="61" t="n">
        <f aca="false">AE21*AE22/AE6*AE10</f>
        <v>20420.1453954352</v>
      </c>
      <c r="AF23" s="61" t="n">
        <f aca="false">AF21*AF22/AF6*AF10</f>
        <v>22352.3900438435</v>
      </c>
      <c r="AG23" s="61" t="n">
        <f aca="false">AG21*AG22/AG6*AG10</f>
        <v>24241.4286629606</v>
      </c>
      <c r="AH23" s="61" t="n">
        <f aca="false">AH21*AH22/AH6*AH10</f>
        <v>26086.4427361645</v>
      </c>
      <c r="AI23" s="61" t="n">
        <f aca="false">AI21*AI22/AI6*AI10</f>
        <v>27886.7826901063</v>
      </c>
      <c r="AJ23" s="61" t="n">
        <f aca="false">AJ21*AJ22/AJ6*AJ10</f>
        <v>29641.9538635506</v>
      </c>
      <c r="AK23" s="61" t="n">
        <f aca="false">AK21*AK22/AK6*AK10</f>
        <v>31351.6034325984</v>
      </c>
      <c r="AL23" s="61" t="n">
        <f aca="false">AL21*AL22/AL6*AL10</f>
        <v>33015.5082322769</v>
      </c>
      <c r="AM23" s="61" t="n">
        <f aca="false">AM21*AM22/AM6*AM10</f>
        <v>34633.5634180908</v>
      </c>
      <c r="AN23" s="61" t="n">
        <f aca="false">AN21*AN22/AN6*AN10</f>
        <v>36205.7719145296</v>
      </c>
      <c r="AO23" s="59" t="n">
        <f aca="false">SUM(AP23:BA23)</f>
        <v>657410.285674889</v>
      </c>
      <c r="AP23" s="61" t="n">
        <f aca="false">AP21*AP22/AP6*AP10</f>
        <v>40262.0822624779</v>
      </c>
      <c r="AQ23" s="61" t="n">
        <f aca="false">AQ21*AQ22/AQ6*AQ10</f>
        <v>42749.2201896128</v>
      </c>
      <c r="AR23" s="61" t="n">
        <f aca="false">AR21*AR22/AR6*AR10</f>
        <v>45627.3803369333</v>
      </c>
      <c r="AS23" s="61" t="n">
        <f aca="false">AS21*AS22/AS6*AS10</f>
        <v>48437.1699029094</v>
      </c>
      <c r="AT23" s="61" t="n">
        <f aca="false">AT21*AT22/AT6*AT10</f>
        <v>51178.0185454911</v>
      </c>
      <c r="AU23" s="61" t="n">
        <f aca="false">AU21*AU22/AU6*AU10</f>
        <v>53849.5375095933</v>
      </c>
      <c r="AV23" s="61" t="n">
        <f aca="false">AV21*AV22/AV6*AV10</f>
        <v>56451.5047539575</v>
      </c>
      <c r="AW23" s="61" t="n">
        <f aca="false">AW21*AW22/AW6*AW10</f>
        <v>58983.8510462958</v>
      </c>
      <c r="AX23" s="61" t="n">
        <f aca="false">AX21*AX22/AX6*AX10</f>
        <v>61446.6469692914</v>
      </c>
      <c r="AY23" s="61" t="n">
        <f aca="false">AY21*AY22/AY6*AY10</f>
        <v>63840.0907832751</v>
      </c>
      <c r="AZ23" s="61" t="n">
        <f aca="false">AZ21*AZ22/AZ6*AZ10</f>
        <v>66164.4970944686</v>
      </c>
      <c r="BA23" s="61" t="n">
        <f aca="false">BA21*BA22/BA6*BA10</f>
        <v>68420.2862805826</v>
      </c>
      <c r="BB23" s="59" t="n">
        <f aca="false">SUM(BC23:BN23)</f>
        <v>1083606.95102066</v>
      </c>
      <c r="BC23" s="61" t="n">
        <f aca="false">BC21*BC22/BC6*BC10</f>
        <v>74524.4930605387</v>
      </c>
      <c r="BD23" s="61" t="n">
        <f aca="false">BD21*BD22/BD6*BD10</f>
        <v>77388.2690351049</v>
      </c>
      <c r="BE23" s="61" t="n">
        <f aca="false">BE21*BE22/BE6*BE10</f>
        <v>80483.7296857046</v>
      </c>
      <c r="BF23" s="61" t="n">
        <f aca="false">BF21*BF22/BF6*BF10</f>
        <v>83504.3021201252</v>
      </c>
      <c r="BG23" s="61" t="n">
        <f aca="false">BG21*BG22/BG6*BG10</f>
        <v>86449.5133024486</v>
      </c>
      <c r="BH23" s="61" t="n">
        <f aca="false">BH21*BH22/BH6*BH10</f>
        <v>89319.0630689061</v>
      </c>
      <c r="BI23" s="61" t="n">
        <f aca="false">BI21*BI22/BI6*BI10</f>
        <v>92112.8104483056</v>
      </c>
      <c r="BJ23" s="61" t="n">
        <f aca="false">BJ21*BJ22/BJ6*BJ10</f>
        <v>94830.7608344195</v>
      </c>
      <c r="BK23" s="61" t="n">
        <f aca="false">BK21*BK22/BK6*BK10</f>
        <v>97473.0539621819</v>
      </c>
      <c r="BL23" s="61" t="n">
        <f aca="false">BL21*BL22/BL6*BL10</f>
        <v>100039.952642137</v>
      </c>
      <c r="BM23" s="61" t="n">
        <f aca="false">BM21*BM22/BM6*BM10</f>
        <v>102531.832210029</v>
      </c>
      <c r="BN23" s="61" t="n">
        <f aca="false">BN21*BN22/BN6*BN10</f>
        <v>104949.170650756</v>
      </c>
    </row>
    <row r="25" customFormat="false" ht="15" hidden="false" customHeight="false" outlineLevel="0" collapsed="false">
      <c r="A25" s="9" t="s">
        <v>770</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row>
    <row r="26" customFormat="false" ht="15" hidden="false" customHeight="false" outlineLevel="0" collapsed="false">
      <c r="A26" s="56" t="s">
        <v>632</v>
      </c>
      <c r="B26" s="57" t="s">
        <v>87</v>
      </c>
      <c r="C26" s="58" t="s">
        <v>562</v>
      </c>
      <c r="D26" s="58" t="s">
        <v>563</v>
      </c>
      <c r="E26" s="58" t="s">
        <v>564</v>
      </c>
      <c r="F26" s="58" t="s">
        <v>565</v>
      </c>
      <c r="G26" s="58" t="s">
        <v>566</v>
      </c>
      <c r="H26" s="58" t="s">
        <v>567</v>
      </c>
      <c r="I26" s="58" t="s">
        <v>568</v>
      </c>
      <c r="J26" s="58" t="s">
        <v>569</v>
      </c>
      <c r="K26" s="58" t="s">
        <v>570</v>
      </c>
      <c r="L26" s="58" t="s">
        <v>571</v>
      </c>
      <c r="M26" s="58" t="s">
        <v>572</v>
      </c>
      <c r="N26" s="58" t="s">
        <v>573</v>
      </c>
      <c r="O26" s="57" t="s">
        <v>88</v>
      </c>
      <c r="P26" s="58" t="s">
        <v>574</v>
      </c>
      <c r="Q26" s="58" t="s">
        <v>575</v>
      </c>
      <c r="R26" s="58" t="s">
        <v>576</v>
      </c>
      <c r="S26" s="58" t="s">
        <v>577</v>
      </c>
      <c r="T26" s="58" t="s">
        <v>578</v>
      </c>
      <c r="U26" s="58" t="s">
        <v>579</v>
      </c>
      <c r="V26" s="58" t="s">
        <v>580</v>
      </c>
      <c r="W26" s="58" t="s">
        <v>581</v>
      </c>
      <c r="X26" s="58" t="s">
        <v>582</v>
      </c>
      <c r="Y26" s="58" t="s">
        <v>583</v>
      </c>
      <c r="Z26" s="58" t="s">
        <v>584</v>
      </c>
      <c r="AA26" s="58" t="s">
        <v>585</v>
      </c>
      <c r="AB26" s="57" t="s">
        <v>89</v>
      </c>
      <c r="AC26" s="58" t="s">
        <v>586</v>
      </c>
      <c r="AD26" s="58" t="s">
        <v>587</v>
      </c>
      <c r="AE26" s="58" t="s">
        <v>588</v>
      </c>
      <c r="AF26" s="58" t="s">
        <v>589</v>
      </c>
      <c r="AG26" s="58" t="s">
        <v>590</v>
      </c>
      <c r="AH26" s="58" t="s">
        <v>591</v>
      </c>
      <c r="AI26" s="58" t="s">
        <v>592</v>
      </c>
      <c r="AJ26" s="58" t="s">
        <v>593</v>
      </c>
      <c r="AK26" s="58" t="s">
        <v>594</v>
      </c>
      <c r="AL26" s="58" t="s">
        <v>595</v>
      </c>
      <c r="AM26" s="58" t="s">
        <v>596</v>
      </c>
      <c r="AN26" s="58" t="s">
        <v>597</v>
      </c>
      <c r="AO26" s="57" t="s">
        <v>90</v>
      </c>
      <c r="AP26" s="58" t="s">
        <v>598</v>
      </c>
      <c r="AQ26" s="58" t="s">
        <v>599</v>
      </c>
      <c r="AR26" s="58" t="s">
        <v>600</v>
      </c>
      <c r="AS26" s="58" t="s">
        <v>601</v>
      </c>
      <c r="AT26" s="58" t="s">
        <v>602</v>
      </c>
      <c r="AU26" s="58" t="s">
        <v>603</v>
      </c>
      <c r="AV26" s="58" t="s">
        <v>604</v>
      </c>
      <c r="AW26" s="58" t="s">
        <v>605</v>
      </c>
      <c r="AX26" s="58" t="s">
        <v>606</v>
      </c>
      <c r="AY26" s="58" t="s">
        <v>607</v>
      </c>
      <c r="AZ26" s="58" t="s">
        <v>608</v>
      </c>
      <c r="BA26" s="58" t="s">
        <v>609</v>
      </c>
      <c r="BB26" s="57" t="s">
        <v>91</v>
      </c>
      <c r="BC26" s="58" t="s">
        <v>610</v>
      </c>
      <c r="BD26" s="58" t="s">
        <v>611</v>
      </c>
      <c r="BE26" s="58" t="s">
        <v>612</v>
      </c>
      <c r="BF26" s="58" t="s">
        <v>613</v>
      </c>
      <c r="BG26" s="58" t="s">
        <v>614</v>
      </c>
      <c r="BH26" s="58" t="s">
        <v>615</v>
      </c>
      <c r="BI26" s="58" t="s">
        <v>616</v>
      </c>
      <c r="BJ26" s="58" t="s">
        <v>617</v>
      </c>
      <c r="BK26" s="58" t="s">
        <v>618</v>
      </c>
      <c r="BL26" s="58" t="s">
        <v>619</v>
      </c>
      <c r="BM26" s="58" t="s">
        <v>620</v>
      </c>
      <c r="BN26" s="58" t="s">
        <v>621</v>
      </c>
    </row>
    <row r="27" customFormat="false" ht="15" hidden="false" customHeight="false" outlineLevel="0" collapsed="false">
      <c r="A27" s="4" t="s">
        <v>771</v>
      </c>
      <c r="B27" s="65" t="n">
        <f aca="false">IFERROR(AVERAGE(C27:N27),0)</f>
        <v>37.8465412110005</v>
      </c>
      <c r="C27" s="68" t="n">
        <f aca="false">(Acquisitions!C106+Acquisitions!C113)/2</f>
        <v>0</v>
      </c>
      <c r="D27" s="68" t="n">
        <f aca="false">(Acquisitions!D106+Acquisitions!D113)/2</f>
        <v>3.49294957008291</v>
      </c>
      <c r="E27" s="68" t="n">
        <f aca="false">(Acquisitions!E106+Acquisitions!E113)/2</f>
        <v>10.5672181076104</v>
      </c>
      <c r="F27" s="68" t="n">
        <f aca="false">(Acquisitions!F106+Acquisitions!F113)/2</f>
        <v>17.8519895793147</v>
      </c>
      <c r="G27" s="68" t="n">
        <f aca="false">(Acquisitions!G106+Acquisitions!G113)/2</f>
        <v>25.3321215788493</v>
      </c>
      <c r="H27" s="68" t="n">
        <f aca="false">(Acquisitions!H106+Acquisitions!H113)/2</f>
        <v>32.9520730196518</v>
      </c>
      <c r="I27" s="68" t="n">
        <f aca="false">(Acquisitions!I106+Acquisitions!I113)/2</f>
        <v>40.6987624477685</v>
      </c>
      <c r="J27" s="68" t="n">
        <f aca="false">(Acquisitions!J106+Acquisitions!J113)/2</f>
        <v>48.5594906074007</v>
      </c>
      <c r="K27" s="68" t="n">
        <f aca="false">(Acquisitions!K106+Acquisitions!K113)/2</f>
        <v>56.5219528374059</v>
      </c>
      <c r="L27" s="68" t="n">
        <f aca="false">(Acquisitions!L106+Acquisitions!L113)/2</f>
        <v>64.5742486348338</v>
      </c>
      <c r="M27" s="68" t="n">
        <f aca="false">(Acquisitions!M106+Acquisitions!M113)/2</f>
        <v>72.7048886659999</v>
      </c>
      <c r="N27" s="68" t="n">
        <f aca="false">(Acquisitions!N106+Acquisitions!N113)/2</f>
        <v>80.9027994830879</v>
      </c>
      <c r="O27" s="65" t="n">
        <f aca="false">IFERROR(AVERAGE(P27:AA27),0)</f>
        <v>213.641206847467</v>
      </c>
      <c r="P27" s="68" t="n">
        <f aca="false">(Acquisitions!P106+Acquisitions!P113)/2</f>
        <v>89.9947733757909</v>
      </c>
      <c r="Q27" s="68" t="n">
        <f aca="false">(Acquisitions!Q106+Acquisitions!Q113)/2</f>
        <v>106.110558469167</v>
      </c>
      <c r="R27" s="68" t="n">
        <f aca="false">(Acquisitions!R106+Acquisitions!R113)/2</f>
        <v>128.619857163744</v>
      </c>
      <c r="S27" s="68" t="n">
        <f aca="false">(Acquisitions!S106+Acquisitions!S113)/2</f>
        <v>151.632312653227</v>
      </c>
      <c r="T27" s="68" t="n">
        <f aca="false">(Acquisitions!T106+Acquisitions!T113)/2</f>
        <v>175.115926456923</v>
      </c>
      <c r="U27" s="68" t="n">
        <f aca="false">(Acquisitions!U106+Acquisitions!U113)/2</f>
        <v>198.986368801291</v>
      </c>
      <c r="V27" s="68" t="n">
        <f aca="false">(Acquisitions!V106+Acquisitions!V113)/2</f>
        <v>223.214214322691</v>
      </c>
      <c r="W27" s="68" t="n">
        <f aca="false">(Acquisitions!W106+Acquisitions!W113)/2</f>
        <v>247.770671817524</v>
      </c>
      <c r="X27" s="68" t="n">
        <f aca="false">(Acquisitions!X106+Acquisitions!X113)/2</f>
        <v>272.62761577255</v>
      </c>
      <c r="Y27" s="68" t="n">
        <f aca="false">(Acquisitions!Y106+Acquisitions!Y113)/2</f>
        <v>297.757613019275</v>
      </c>
      <c r="Z27" s="68" t="n">
        <f aca="false">(Acquisitions!Z106+Acquisitions!Z113)/2</f>
        <v>323.133944912397</v>
      </c>
      <c r="AA27" s="68" t="n">
        <f aca="false">(Acquisitions!AA106+Acquisitions!AA113)/2</f>
        <v>348.73062540503</v>
      </c>
      <c r="AB27" s="65" t="n">
        <f aca="false">IFERROR(AVERAGE(AC27:AN27),0)</f>
        <v>655.791195711587</v>
      </c>
      <c r="AC27" s="68" t="n">
        <f aca="false">(Acquisitions!AC106+Acquisitions!AC113)/2</f>
        <v>376.86462212513</v>
      </c>
      <c r="AD27" s="68" t="n">
        <f aca="false">(Acquisitions!AD106+Acquisitions!AD113)/2</f>
        <v>417.095565424989</v>
      </c>
      <c r="AE27" s="68" t="n">
        <f aca="false">(Acquisitions!AE106+Acquisitions!AE113)/2</f>
        <v>467.451065966953</v>
      </c>
      <c r="AF27" s="68" t="n">
        <f aca="false">(Acquisitions!AF106+Acquisitions!AF113)/2</f>
        <v>518.771150896876</v>
      </c>
      <c r="AG27" s="68" t="n">
        <f aca="false">(Acquisitions!AG106+Acquisitions!AG113)/2</f>
        <v>570.9985750125</v>
      </c>
      <c r="AH27" s="68" t="n">
        <f aca="false">(Acquisitions!AH106+Acquisitions!AH113)/2</f>
        <v>624.006725654511</v>
      </c>
      <c r="AI27" s="68" t="n">
        <f aca="false">(Acquisitions!AI106+Acquisitions!AI113)/2</f>
        <v>677.741928653161</v>
      </c>
      <c r="AJ27" s="68" t="n">
        <f aca="false">(Acquisitions!AJ106+Acquisitions!AJ113)/2</f>
        <v>732.151570986697</v>
      </c>
      <c r="AK27" s="68" t="n">
        <f aca="false">(Acquisitions!AK106+Acquisitions!AK113)/2</f>
        <v>787.184147415486</v>
      </c>
      <c r="AL27" s="68" t="n">
        <f aca="false">(Acquisitions!AL106+Acquisitions!AL113)/2</f>
        <v>842.78930043658</v>
      </c>
      <c r="AM27" s="68" t="n">
        <f aca="false">(Acquisitions!AM106+Acquisitions!AM113)/2</f>
        <v>898.917854063315</v>
      </c>
      <c r="AN27" s="68" t="n">
        <f aca="false">(Acquisitions!AN106+Acquisitions!AN113)/2</f>
        <v>955.521841902841</v>
      </c>
      <c r="AO27" s="65" t="n">
        <f aca="false">IFERROR(AVERAGE(AP27:BA27),0)</f>
        <v>1488.03069077036</v>
      </c>
      <c r="AP27" s="68" t="n">
        <f aca="false">(Acquisitions!AP106+Acquisitions!AP113)/2</f>
        <v>1015.45520254385</v>
      </c>
      <c r="AQ27" s="68" t="n">
        <f aca="false">(Acquisitions!AQ106+Acquisitions!AQ113)/2</f>
        <v>1089.26171024454</v>
      </c>
      <c r="AR27" s="68" t="n">
        <f aca="false">(Acquisitions!AR106+Acquisitions!AR113)/2</f>
        <v>1174.44445192873</v>
      </c>
      <c r="AS27" s="68" t="n">
        <f aca="false">(Acquisitions!AS106+Acquisitions!AS113)/2</f>
        <v>1260.86132292609</v>
      </c>
      <c r="AT27" s="68" t="n">
        <f aca="false">(Acquisitions!AT106+Acquisitions!AT113)/2</f>
        <v>1348.43500423583</v>
      </c>
      <c r="AU27" s="68" t="n">
        <f aca="false">(Acquisitions!AU106+Acquisitions!AU113)/2</f>
        <v>1437.03027518338</v>
      </c>
      <c r="AV27" s="68" t="n">
        <f aca="false">(Acquisitions!AV106+Acquisitions!AV113)/2</f>
        <v>1526.57403556962</v>
      </c>
      <c r="AW27" s="68" t="n">
        <f aca="false">(Acquisitions!AW106+Acquisitions!AW113)/2</f>
        <v>1616.99474603629</v>
      </c>
      <c r="AX27" s="68" t="n">
        <f aca="false">(Acquisitions!AX106+Acquisitions!AX113)/2</f>
        <v>1708.22246546822</v>
      </c>
      <c r="AY27" s="68" t="n">
        <f aca="false">(Acquisitions!AY106+Acquisitions!AY113)/2</f>
        <v>1800.1888821383</v>
      </c>
      <c r="AZ27" s="68" t="n">
        <f aca="false">(Acquisitions!AZ106+Acquisitions!AZ113)/2</f>
        <v>1892.82733905157</v>
      </c>
      <c r="BA27" s="68" t="n">
        <f aca="false">(Acquisitions!BA106+Acquisitions!BA113)/2</f>
        <v>1986.07285391793</v>
      </c>
      <c r="BB27" s="65" t="n">
        <f aca="false">IFERROR(AVERAGE(BC27:BN27),0)</f>
        <v>2716.55783580181</v>
      </c>
      <c r="BC27" s="68" t="n">
        <f aca="false">(Acquisitions!BC106+Acquisitions!BC113)/2</f>
        <v>2082.83969533626</v>
      </c>
      <c r="BD27" s="68" t="n">
        <f aca="false">(Acquisitions!BD106+Acquisitions!BD113)/2</f>
        <v>2189.49818385449</v>
      </c>
      <c r="BE27" s="68" t="n">
        <f aca="false">(Acquisitions!BE106+Acquisitions!BE113)/2</f>
        <v>2303.39989450566</v>
      </c>
      <c r="BF27" s="68" t="n">
        <f aca="false">(Acquisitions!BF106+Acquisitions!BF113)/2</f>
        <v>2418.49000687081</v>
      </c>
      <c r="BG27" s="68" t="n">
        <f aca="false">(Acquisitions!BG106+Acquisitions!BG113)/2</f>
        <v>2534.69163638521</v>
      </c>
      <c r="BH27" s="68" t="n">
        <f aca="false">(Acquisitions!BH106+Acquisitions!BH113)/2</f>
        <v>2651.87337384266</v>
      </c>
      <c r="BI27" s="68" t="n">
        <f aca="false">(Acquisitions!BI106+Acquisitions!BI113)/2</f>
        <v>2769.9620325188</v>
      </c>
      <c r="BJ27" s="68" t="n">
        <f aca="false">(Acquisitions!BJ106+Acquisitions!BJ113)/2</f>
        <v>2888.88582821032</v>
      </c>
      <c r="BK27" s="68" t="n">
        <f aca="false">(Acquisitions!BK106+Acquisitions!BK113)/2</f>
        <v>3008.57442065652</v>
      </c>
      <c r="BL27" s="68" t="n">
        <f aca="false">(Acquisitions!BL106+Acquisitions!BL113)/2</f>
        <v>3128.95894915677</v>
      </c>
      <c r="BM27" s="68" t="n">
        <f aca="false">(Acquisitions!BM106+Acquisitions!BM113)/2</f>
        <v>3249.97206277591</v>
      </c>
      <c r="BN27" s="68" t="n">
        <f aca="false">(Acquisitions!BN106+Acquisitions!BN113)/2</f>
        <v>3371.54794550827</v>
      </c>
    </row>
    <row r="28" customFormat="false" ht="15" hidden="false" customHeight="false" outlineLevel="0" collapsed="false">
      <c r="A28" s="4" t="s">
        <v>768</v>
      </c>
      <c r="B28" s="69" t="n">
        <f aca="false">IFERROR(AVERAGE(C28:N28),0)</f>
        <v>2879.04</v>
      </c>
      <c r="C28" s="72" t="n">
        <f aca="false">'Assumption Setting'!$C$91*C7*C9</f>
        <v>2879.04</v>
      </c>
      <c r="D28" s="72" t="n">
        <f aca="false">'Assumption Setting'!$C$91*D7*D9</f>
        <v>2879.04</v>
      </c>
      <c r="E28" s="72" t="n">
        <f aca="false">'Assumption Setting'!$C$91*E7*E9</f>
        <v>2879.04</v>
      </c>
      <c r="F28" s="72" t="n">
        <f aca="false">'Assumption Setting'!$C$91*F7*F9</f>
        <v>2879.04</v>
      </c>
      <c r="G28" s="72" t="n">
        <f aca="false">'Assumption Setting'!$C$91*G7*G9</f>
        <v>2879.04</v>
      </c>
      <c r="H28" s="72" t="n">
        <f aca="false">'Assumption Setting'!$C$91*H7*H9</f>
        <v>2879.04</v>
      </c>
      <c r="I28" s="72" t="n">
        <f aca="false">'Assumption Setting'!$C$91*I7*I9</f>
        <v>2879.04</v>
      </c>
      <c r="J28" s="72" t="n">
        <f aca="false">'Assumption Setting'!$C$91*J7*J9</f>
        <v>2879.04</v>
      </c>
      <c r="K28" s="72" t="n">
        <f aca="false">'Assumption Setting'!$C$91*K7*K9</f>
        <v>2879.04</v>
      </c>
      <c r="L28" s="72" t="n">
        <f aca="false">'Assumption Setting'!$C$91*L7*L9</f>
        <v>2879.04</v>
      </c>
      <c r="M28" s="72" t="n">
        <f aca="false">'Assumption Setting'!$C$91*M7*M9</f>
        <v>2879.04</v>
      </c>
      <c r="N28" s="72" t="n">
        <f aca="false">'Assumption Setting'!$C$91*N7*N9</f>
        <v>2879.04</v>
      </c>
      <c r="O28" s="69" t="n">
        <f aca="false">IFERROR(AVERAGE(P28:AA28),0)</f>
        <v>3070.49616</v>
      </c>
      <c r="P28" s="72" t="n">
        <f aca="false">'Assumption Setting'!$C$91*P7*P9</f>
        <v>3070.49616</v>
      </c>
      <c r="Q28" s="72" t="n">
        <f aca="false">'Assumption Setting'!$C$91*Q7*Q9</f>
        <v>3070.49616</v>
      </c>
      <c r="R28" s="72" t="n">
        <f aca="false">'Assumption Setting'!$C$91*R7*R9</f>
        <v>3070.49616</v>
      </c>
      <c r="S28" s="72" t="n">
        <f aca="false">'Assumption Setting'!$C$91*S7*S9</f>
        <v>3070.49616</v>
      </c>
      <c r="T28" s="72" t="n">
        <f aca="false">'Assumption Setting'!$C$91*T7*T9</f>
        <v>3070.49616</v>
      </c>
      <c r="U28" s="72" t="n">
        <f aca="false">'Assumption Setting'!$C$91*U7*U9</f>
        <v>3070.49616</v>
      </c>
      <c r="V28" s="72" t="n">
        <f aca="false">'Assumption Setting'!$C$91*V7*V9</f>
        <v>3070.49616</v>
      </c>
      <c r="W28" s="72" t="n">
        <f aca="false">'Assumption Setting'!$C$91*W7*W9</f>
        <v>3070.49616</v>
      </c>
      <c r="X28" s="72" t="n">
        <f aca="false">'Assumption Setting'!$C$91*X7*X9</f>
        <v>3070.49616</v>
      </c>
      <c r="Y28" s="72" t="n">
        <f aca="false">'Assumption Setting'!$C$91*Y7*Y9</f>
        <v>3070.49616</v>
      </c>
      <c r="Z28" s="72" t="n">
        <f aca="false">'Assumption Setting'!$C$91*Z7*Z9</f>
        <v>3070.49616</v>
      </c>
      <c r="AA28" s="72" t="n">
        <f aca="false">'Assumption Setting'!$C$91*AA7*AA9</f>
        <v>3070.49616</v>
      </c>
      <c r="AB28" s="69" t="n">
        <f aca="false">IFERROR(AVERAGE(AC28:AN28),0)</f>
        <v>3281.1555168</v>
      </c>
      <c r="AC28" s="72" t="n">
        <f aca="false">'Assumption Setting'!$C$91*AC7*AC9</f>
        <v>3281.1555168</v>
      </c>
      <c r="AD28" s="72" t="n">
        <f aca="false">'Assumption Setting'!$C$91*AD7*AD9</f>
        <v>3281.1555168</v>
      </c>
      <c r="AE28" s="72" t="n">
        <f aca="false">'Assumption Setting'!$C$91*AE7*AE9</f>
        <v>3281.1555168</v>
      </c>
      <c r="AF28" s="72" t="n">
        <f aca="false">'Assumption Setting'!$C$91*AF7*AF9</f>
        <v>3281.1555168</v>
      </c>
      <c r="AG28" s="72" t="n">
        <f aca="false">'Assumption Setting'!$C$91*AG7*AG9</f>
        <v>3281.1555168</v>
      </c>
      <c r="AH28" s="72" t="n">
        <f aca="false">'Assumption Setting'!$C$91*AH7*AH9</f>
        <v>3281.1555168</v>
      </c>
      <c r="AI28" s="72" t="n">
        <f aca="false">'Assumption Setting'!$C$91*AI7*AI9</f>
        <v>3281.1555168</v>
      </c>
      <c r="AJ28" s="72" t="n">
        <f aca="false">'Assumption Setting'!$C$91*AJ7*AJ9</f>
        <v>3281.1555168</v>
      </c>
      <c r="AK28" s="72" t="n">
        <f aca="false">'Assumption Setting'!$C$91*AK7*AK9</f>
        <v>3281.1555168</v>
      </c>
      <c r="AL28" s="72" t="n">
        <f aca="false">'Assumption Setting'!$C$91*AL7*AL9</f>
        <v>3281.1555168</v>
      </c>
      <c r="AM28" s="72" t="n">
        <f aca="false">'Assumption Setting'!$C$91*AM7*AM9</f>
        <v>3281.1555168</v>
      </c>
      <c r="AN28" s="72" t="n">
        <f aca="false">'Assumption Setting'!$C$91*AN7*AN9</f>
        <v>3281.1555168</v>
      </c>
      <c r="AO28" s="69" t="n">
        <f aca="false">IFERROR(AVERAGE(AP28:BA28),0)</f>
        <v>3480.89323536</v>
      </c>
      <c r="AP28" s="72" t="n">
        <f aca="false">'Assumption Setting'!$C$91*AP7*AP9</f>
        <v>3480.89323536</v>
      </c>
      <c r="AQ28" s="72" t="n">
        <f aca="false">'Assumption Setting'!$C$91*AQ7*AQ9</f>
        <v>3480.89323536</v>
      </c>
      <c r="AR28" s="72" t="n">
        <f aca="false">'Assumption Setting'!$C$91*AR7*AR9</f>
        <v>3480.89323536</v>
      </c>
      <c r="AS28" s="72" t="n">
        <f aca="false">'Assumption Setting'!$C$91*AS7*AS9</f>
        <v>3480.89323536</v>
      </c>
      <c r="AT28" s="72" t="n">
        <f aca="false">'Assumption Setting'!$C$91*AT7*AT9</f>
        <v>3480.89323536</v>
      </c>
      <c r="AU28" s="72" t="n">
        <f aca="false">'Assumption Setting'!$C$91*AU7*AU9</f>
        <v>3480.89323536</v>
      </c>
      <c r="AV28" s="72" t="n">
        <f aca="false">'Assumption Setting'!$C$91*AV7*AV9</f>
        <v>3480.89323536</v>
      </c>
      <c r="AW28" s="72" t="n">
        <f aca="false">'Assumption Setting'!$C$91*AW7*AW9</f>
        <v>3480.89323536</v>
      </c>
      <c r="AX28" s="72" t="n">
        <f aca="false">'Assumption Setting'!$C$91*AX7*AX9</f>
        <v>3480.89323536</v>
      </c>
      <c r="AY28" s="72" t="n">
        <f aca="false">'Assumption Setting'!$C$91*AY7*AY9</f>
        <v>3480.89323536</v>
      </c>
      <c r="AZ28" s="72" t="n">
        <f aca="false">'Assumption Setting'!$C$91*AZ7*AZ9</f>
        <v>3480.89323536</v>
      </c>
      <c r="BA28" s="72" t="n">
        <f aca="false">'Assumption Setting'!$C$91*BA7*BA9</f>
        <v>3480.89323536</v>
      </c>
      <c r="BB28" s="69" t="n">
        <f aca="false">IFERROR(AVERAGE(BC28:BN28),0)</f>
        <v>3665.94201122688</v>
      </c>
      <c r="BC28" s="72" t="n">
        <f aca="false">'Assumption Setting'!$C$91*BC7*BC9</f>
        <v>3665.94201122688</v>
      </c>
      <c r="BD28" s="72" t="n">
        <f aca="false">'Assumption Setting'!$C$91*BD7*BD9</f>
        <v>3665.94201122688</v>
      </c>
      <c r="BE28" s="72" t="n">
        <f aca="false">'Assumption Setting'!$C$91*BE7*BE9</f>
        <v>3665.94201122688</v>
      </c>
      <c r="BF28" s="72" t="n">
        <f aca="false">'Assumption Setting'!$C$91*BF7*BF9</f>
        <v>3665.94201122688</v>
      </c>
      <c r="BG28" s="72" t="n">
        <f aca="false">'Assumption Setting'!$C$91*BG7*BG9</f>
        <v>3665.94201122688</v>
      </c>
      <c r="BH28" s="72" t="n">
        <f aca="false">'Assumption Setting'!$C$91*BH7*BH9</f>
        <v>3665.94201122688</v>
      </c>
      <c r="BI28" s="72" t="n">
        <f aca="false">'Assumption Setting'!$C$91*BI7*BI9</f>
        <v>3665.94201122688</v>
      </c>
      <c r="BJ28" s="72" t="n">
        <f aca="false">'Assumption Setting'!$C$91*BJ7*BJ9</f>
        <v>3665.94201122688</v>
      </c>
      <c r="BK28" s="72" t="n">
        <f aca="false">'Assumption Setting'!$C$91*BK7*BK9</f>
        <v>3665.94201122688</v>
      </c>
      <c r="BL28" s="72" t="n">
        <f aca="false">'Assumption Setting'!$C$91*BL7*BL9</f>
        <v>3665.94201122688</v>
      </c>
      <c r="BM28" s="72" t="n">
        <f aca="false">'Assumption Setting'!$C$91*BM7*BM9</f>
        <v>3665.94201122688</v>
      </c>
      <c r="BN28" s="72" t="n">
        <f aca="false">'Assumption Setting'!$C$91*BN7*BN9</f>
        <v>3665.94201122688</v>
      </c>
    </row>
    <row r="29" customFormat="false" ht="15" hidden="false" customHeight="false" outlineLevel="0" collapsed="false">
      <c r="A29" s="13" t="s">
        <v>772</v>
      </c>
      <c r="B29" s="59" t="n">
        <f aca="false">SUM(C29:N29)</f>
        <v>24437.9325904268</v>
      </c>
      <c r="C29" s="61" t="n">
        <f aca="false">C27*C28/C6*C11</f>
        <v>0</v>
      </c>
      <c r="D29" s="61" t="n">
        <f aca="false">D27*D28/D6*D11</f>
        <v>194.322891079367</v>
      </c>
      <c r="E29" s="61" t="n">
        <f aca="false">E27*E28/E6*E11</f>
        <v>585.037220249057</v>
      </c>
      <c r="F29" s="61" t="n">
        <f aca="false">F27*F28/F6*F11</f>
        <v>983.559478704583</v>
      </c>
      <c r="G29" s="61" t="n">
        <f aca="false">G27*G28/G6*G11</f>
        <v>1388.91844377362</v>
      </c>
      <c r="H29" s="61" t="n">
        <f aca="false">H27*H28/H6*H11</f>
        <v>1797.95617047319</v>
      </c>
      <c r="I29" s="61" t="n">
        <f aca="false">I27*I28/I6*I11</f>
        <v>2209.88025059943</v>
      </c>
      <c r="J29" s="61" t="n">
        <f aca="false">J27*J28/J6*J11</f>
        <v>2623.93357906353</v>
      </c>
      <c r="K29" s="61" t="n">
        <f aca="false">K27*K28/K6*K11</f>
        <v>3039.39434609229</v>
      </c>
      <c r="L29" s="61" t="n">
        <f aca="false">L27*L28/L6*L11</f>
        <v>3455.57586739342</v>
      </c>
      <c r="M29" s="61" t="n">
        <f aca="false">M27*M28/M6*M11</f>
        <v>3871.82627259604</v>
      </c>
      <c r="N29" s="61" t="n">
        <f aca="false">N27*N28/N6*N11</f>
        <v>4287.52807040232</v>
      </c>
      <c r="O29" s="59" t="n">
        <f aca="false">SUM(P29:AA29)</f>
        <v>139510.434201249</v>
      </c>
      <c r="P29" s="61" t="n">
        <f aca="false">P27*P28/P6*P11</f>
        <v>5061.89056732801</v>
      </c>
      <c r="Q29" s="61" t="n">
        <f aca="false">Q27*Q28/Q6*Q11</f>
        <v>5939.43648497818</v>
      </c>
      <c r="R29" s="61" t="n">
        <f aca="false">R27*R28/R6*R11</f>
        <v>7164.49927421715</v>
      </c>
      <c r="S29" s="61" t="n">
        <f aca="false">S27*S28/S6*S11</f>
        <v>8405.44588982764</v>
      </c>
      <c r="T29" s="61" t="n">
        <f aca="false">T27*T28/T6*T11</f>
        <v>9660.1934172469</v>
      </c>
      <c r="U29" s="61" t="n">
        <f aca="false">U27*U28/U6*U11</f>
        <v>10923.8236546887</v>
      </c>
      <c r="V29" s="61" t="n">
        <f aca="false">V27*V28/V6*V11</f>
        <v>12194.5106899929</v>
      </c>
      <c r="W29" s="61" t="n">
        <f aca="false">W27*W28/W6*W11</f>
        <v>13470.4966412886</v>
      </c>
      <c r="X29" s="61" t="n">
        <f aca="false">X27*X28/X6*X11</f>
        <v>14750.0921300693</v>
      </c>
      <c r="Y29" s="61" t="n">
        <f aca="false">Y27*Y28/Y6*Y11</f>
        <v>16031.6764581052</v>
      </c>
      <c r="Z29" s="61" t="n">
        <f aca="false">Z27*Z28/Z6*Z11</f>
        <v>17313.6975191968</v>
      </c>
      <c r="AA29" s="61" t="n">
        <f aca="false">AA27*AA28/AA6*AA11</f>
        <v>18594.6714743091</v>
      </c>
      <c r="AB29" s="59" t="n">
        <f aca="false">SUM(AC29:AN29)</f>
        <v>432489.139324759</v>
      </c>
      <c r="AC29" s="61" t="n">
        <f aca="false">AC27*AC28/AC6*AC11</f>
        <v>21369.4441578667</v>
      </c>
      <c r="AD29" s="61" t="n">
        <f aca="false">AD27*AD28/AD6*AD11</f>
        <v>23536.1057043293</v>
      </c>
      <c r="AE29" s="61" t="n">
        <f aca="false">AE27*AE28/AE6*AE11</f>
        <v>26249.8221815914</v>
      </c>
      <c r="AF29" s="61" t="n">
        <f aca="false">AF27*AF28/AF6*AF11</f>
        <v>28990.6001487267</v>
      </c>
      <c r="AG29" s="61" t="n">
        <f aca="false">AG27*AG28/AG6*AG11</f>
        <v>31754.6691009392</v>
      </c>
      <c r="AH29" s="61" t="n">
        <f aca="false">AH27*AH28/AH6*AH11</f>
        <v>34534.4875213296</v>
      </c>
      <c r="AI29" s="61" t="n">
        <f aca="false">AI27*AI28/AI6*AI11</f>
        <v>37326.6725682453</v>
      </c>
      <c r="AJ29" s="61" t="n">
        <f aca="false">AJ27*AJ28/AJ6*AJ11</f>
        <v>40127.9616153963</v>
      </c>
      <c r="AK29" s="61" t="n">
        <f aca="false">AK27*AK28/AK6*AK11</f>
        <v>42935.2126519759</v>
      </c>
      <c r="AL29" s="61" t="n">
        <f aca="false">AL27*AL28/AL6*AL11</f>
        <v>45745.4042737989</v>
      </c>
      <c r="AM29" s="61" t="n">
        <f aca="false">AM27*AM28/AM6*AM11</f>
        <v>48555.6353059709</v>
      </c>
      <c r="AN29" s="61" t="n">
        <f aca="false">AN27*AN28/AN6*AN11</f>
        <v>51363.1240945885</v>
      </c>
      <c r="AO29" s="59" t="n">
        <f aca="false">SUM(AP29:BA29)</f>
        <v>983372.621660339</v>
      </c>
      <c r="AP29" s="61" t="n">
        <f aca="false">AP27*AP28/AP6*AP11</f>
        <v>57627.0843727388</v>
      </c>
      <c r="AQ29" s="61" t="n">
        <f aca="false">AQ27*AQ28/AQ6*AQ11</f>
        <v>61516.1707314867</v>
      </c>
      <c r="AR29" s="61" t="n">
        <f aca="false">AR27*AR28/AR6*AR11</f>
        <v>66005.5895670233</v>
      </c>
      <c r="AS29" s="61" t="n">
        <f aca="false">AS27*AS28/AS6*AS11</f>
        <v>70519.0957351909</v>
      </c>
      <c r="AT29" s="61" t="n">
        <f aca="false">AT27*AT28/AT6*AT11</f>
        <v>75051.7127383023</v>
      </c>
      <c r="AU29" s="61" t="n">
        <f aca="false">AU27*AU28/AU6*AU11</f>
        <v>79595.347933859</v>
      </c>
      <c r="AV29" s="61" t="n">
        <f aca="false">AV27*AV28/AV6*AV11</f>
        <v>84145.4848127167</v>
      </c>
      <c r="AW29" s="61" t="n">
        <f aca="false">AW27*AW28/AW6*AW11</f>
        <v>88697.7763439409</v>
      </c>
      <c r="AX29" s="61" t="n">
        <f aca="false">AX27*AX28/AX6*AX11</f>
        <v>93248.0439463421</v>
      </c>
      <c r="AY29" s="61" t="n">
        <f aca="false">AY27*AY28/AY6*AY11</f>
        <v>97792.2761004355</v>
      </c>
      <c r="AZ29" s="61" t="n">
        <f aca="false">AZ27*AZ28/AZ6*AZ11</f>
        <v>102326.626637615</v>
      </c>
      <c r="BA29" s="61" t="n">
        <f aca="false">BA27*BA28/BA6*BA11</f>
        <v>106847.412740687</v>
      </c>
      <c r="BB29" s="59" t="n">
        <f aca="false">SUM(BC29:BN29)</f>
        <v>1785371.62847293</v>
      </c>
      <c r="BC29" s="61" t="n">
        <f aca="false">BC27*BC28/BC6*BC11</f>
        <v>117438.567946806</v>
      </c>
      <c r="BD29" s="61" t="n">
        <f aca="false">BD27*BD28/BD6*BD11</f>
        <v>122854.38663186</v>
      </c>
      <c r="BE29" s="61" t="n">
        <f aca="false">BE27*BE28/BE6*BE11</f>
        <v>128619.435510211</v>
      </c>
      <c r="BF29" s="61" t="n">
        <f aca="false">BF27*BF28/BF6*BF11</f>
        <v>134391.787915227</v>
      </c>
      <c r="BG29" s="61" t="n">
        <f aca="false">BG27*BG28/BG6*BG11</f>
        <v>140166.666272233</v>
      </c>
      <c r="BH29" s="61" t="n">
        <f aca="false">BH27*BH28/BH6*BH11</f>
        <v>145936.381290512</v>
      </c>
      <c r="BI29" s="61" t="n">
        <f aca="false">BI27*BI28/BI6*BI11</f>
        <v>151696.578161404</v>
      </c>
      <c r="BJ29" s="61" t="n">
        <f aca="false">BJ27*BJ28/BJ6*BJ11</f>
        <v>157443.060918794</v>
      </c>
      <c r="BK29" s="61" t="n">
        <f aca="false">BK27*BK28/BK6*BK11</f>
        <v>163171.791849926</v>
      </c>
      <c r="BL29" s="61" t="n">
        <f aca="false">BL27*BL28/BL6*BL11</f>
        <v>168878.890564004</v>
      </c>
      <c r="BM29" s="61" t="n">
        <f aca="false">BM27*BM28/BM6*BM11</f>
        <v>174560.632751009</v>
      </c>
      <c r="BN29" s="61" t="n">
        <f aca="false">BN27*BN28/BN6*BN11</f>
        <v>180213.448660939</v>
      </c>
    </row>
    <row r="31" customFormat="false" ht="15" hidden="false" customHeight="false" outlineLevel="0" collapsed="false">
      <c r="A31" s="9" t="s">
        <v>773</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row>
    <row r="32" customFormat="false" ht="15" hidden="false" customHeight="false" outlineLevel="0" collapsed="false">
      <c r="A32" s="56" t="s">
        <v>632</v>
      </c>
      <c r="B32" s="57" t="s">
        <v>87</v>
      </c>
      <c r="C32" s="58" t="s">
        <v>562</v>
      </c>
      <c r="D32" s="58" t="s">
        <v>563</v>
      </c>
      <c r="E32" s="58" t="s">
        <v>564</v>
      </c>
      <c r="F32" s="58" t="s">
        <v>565</v>
      </c>
      <c r="G32" s="58" t="s">
        <v>566</v>
      </c>
      <c r="H32" s="58" t="s">
        <v>567</v>
      </c>
      <c r="I32" s="58" t="s">
        <v>568</v>
      </c>
      <c r="J32" s="58" t="s">
        <v>569</v>
      </c>
      <c r="K32" s="58" t="s">
        <v>570</v>
      </c>
      <c r="L32" s="58" t="s">
        <v>571</v>
      </c>
      <c r="M32" s="58" t="s">
        <v>572</v>
      </c>
      <c r="N32" s="58" t="s">
        <v>573</v>
      </c>
      <c r="O32" s="57" t="s">
        <v>88</v>
      </c>
      <c r="P32" s="58" t="s">
        <v>574</v>
      </c>
      <c r="Q32" s="58" t="s">
        <v>575</v>
      </c>
      <c r="R32" s="58" t="s">
        <v>576</v>
      </c>
      <c r="S32" s="58" t="s">
        <v>577</v>
      </c>
      <c r="T32" s="58" t="s">
        <v>578</v>
      </c>
      <c r="U32" s="58" t="s">
        <v>579</v>
      </c>
      <c r="V32" s="58" t="s">
        <v>580</v>
      </c>
      <c r="W32" s="58" t="s">
        <v>581</v>
      </c>
      <c r="X32" s="58" t="s">
        <v>582</v>
      </c>
      <c r="Y32" s="58" t="s">
        <v>583</v>
      </c>
      <c r="Z32" s="58" t="s">
        <v>584</v>
      </c>
      <c r="AA32" s="58" t="s">
        <v>585</v>
      </c>
      <c r="AB32" s="57" t="s">
        <v>89</v>
      </c>
      <c r="AC32" s="58" t="s">
        <v>586</v>
      </c>
      <c r="AD32" s="58" t="s">
        <v>587</v>
      </c>
      <c r="AE32" s="58" t="s">
        <v>588</v>
      </c>
      <c r="AF32" s="58" t="s">
        <v>589</v>
      </c>
      <c r="AG32" s="58" t="s">
        <v>590</v>
      </c>
      <c r="AH32" s="58" t="s">
        <v>591</v>
      </c>
      <c r="AI32" s="58" t="s">
        <v>592</v>
      </c>
      <c r="AJ32" s="58" t="s">
        <v>593</v>
      </c>
      <c r="AK32" s="58" t="s">
        <v>594</v>
      </c>
      <c r="AL32" s="58" t="s">
        <v>595</v>
      </c>
      <c r="AM32" s="58" t="s">
        <v>596</v>
      </c>
      <c r="AN32" s="58" t="s">
        <v>597</v>
      </c>
      <c r="AO32" s="57" t="s">
        <v>90</v>
      </c>
      <c r="AP32" s="58" t="s">
        <v>598</v>
      </c>
      <c r="AQ32" s="58" t="s">
        <v>599</v>
      </c>
      <c r="AR32" s="58" t="s">
        <v>600</v>
      </c>
      <c r="AS32" s="58" t="s">
        <v>601</v>
      </c>
      <c r="AT32" s="58" t="s">
        <v>602</v>
      </c>
      <c r="AU32" s="58" t="s">
        <v>603</v>
      </c>
      <c r="AV32" s="58" t="s">
        <v>604</v>
      </c>
      <c r="AW32" s="58" t="s">
        <v>605</v>
      </c>
      <c r="AX32" s="58" t="s">
        <v>606</v>
      </c>
      <c r="AY32" s="58" t="s">
        <v>607</v>
      </c>
      <c r="AZ32" s="58" t="s">
        <v>608</v>
      </c>
      <c r="BA32" s="58" t="s">
        <v>609</v>
      </c>
      <c r="BB32" s="57" t="s">
        <v>91</v>
      </c>
      <c r="BC32" s="58" t="s">
        <v>610</v>
      </c>
      <c r="BD32" s="58" t="s">
        <v>611</v>
      </c>
      <c r="BE32" s="58" t="s">
        <v>612</v>
      </c>
      <c r="BF32" s="58" t="s">
        <v>613</v>
      </c>
      <c r="BG32" s="58" t="s">
        <v>614</v>
      </c>
      <c r="BH32" s="58" t="s">
        <v>615</v>
      </c>
      <c r="BI32" s="58" t="s">
        <v>616</v>
      </c>
      <c r="BJ32" s="58" t="s">
        <v>617</v>
      </c>
      <c r="BK32" s="58" t="s">
        <v>618</v>
      </c>
      <c r="BL32" s="58" t="s">
        <v>619</v>
      </c>
      <c r="BM32" s="58" t="s">
        <v>620</v>
      </c>
      <c r="BN32" s="58" t="s">
        <v>621</v>
      </c>
    </row>
    <row r="33" customFormat="false" ht="15" hidden="false" customHeight="false" outlineLevel="0" collapsed="false">
      <c r="A33" s="4" t="s">
        <v>774</v>
      </c>
      <c r="B33" s="65" t="n">
        <f aca="false">IFERROR(AVERAGE(C33:N33),0)</f>
        <v>0.954763760219125</v>
      </c>
      <c r="C33" s="68" t="n">
        <f aca="false">(Acquisitions!C115+Acquisitions!C119)/2</f>
        <v>0</v>
      </c>
      <c r="D33" s="68" t="n">
        <f aca="false">(Acquisitions!D115+Acquisitions!D119)/2</f>
        <v>0.0217662351352727</v>
      </c>
      <c r="E33" s="68" t="n">
        <f aca="false">(Acquisitions!E115+Acquisitions!E119)/2</f>
        <v>0.0685739926245484</v>
      </c>
      <c r="F33" s="68" t="n">
        <f aca="false">(Acquisitions!F115+Acquisitions!F119)/2</f>
        <v>0.217160143287368</v>
      </c>
      <c r="G33" s="68" t="n">
        <f aca="false">(Acquisitions!G115+Acquisitions!G119)/2</f>
        <v>0.466717406126172</v>
      </c>
      <c r="H33" s="68" t="n">
        <f aca="false">(Acquisitions!H115+Acquisitions!H119)/2</f>
        <v>0.721259228336124</v>
      </c>
      <c r="I33" s="68" t="n">
        <f aca="false">(Acquisitions!I115+Acquisitions!I119)/2</f>
        <v>0.980875583764778</v>
      </c>
      <c r="J33" s="68" t="n">
        <f aca="false">(Acquisitions!J115+Acquisitions!J119)/2</f>
        <v>1.24564246506726</v>
      </c>
      <c r="K33" s="68" t="n">
        <f aca="false">(Acquisitions!K115+Acquisitions!K119)/2</f>
        <v>1.51562240571635</v>
      </c>
      <c r="L33" s="68" t="n">
        <f aca="false">(Acquisitions!L115+Acquisitions!L119)/2</f>
        <v>1.79086500918896</v>
      </c>
      <c r="M33" s="68" t="n">
        <f aca="false">(Acquisitions!M115+Acquisitions!M119)/2</f>
        <v>2.07140748242427</v>
      </c>
      <c r="N33" s="68" t="n">
        <f aca="false">(Acquisitions!N115+Acquisitions!N119)/2</f>
        <v>2.35727517095839</v>
      </c>
      <c r="O33" s="65" t="n">
        <f aca="false">IFERROR(AVERAGE(P33:AA33),0)</f>
        <v>6.34743768639523</v>
      </c>
      <c r="P33" s="68" t="n">
        <f aca="false">(Acquisitions!P115+Acquisitions!P119)/2</f>
        <v>2.68393178354988</v>
      </c>
      <c r="Q33" s="68" t="n">
        <f aca="false">(Acquisitions!Q115+Acquisitions!Q119)/2</f>
        <v>3.08295858793069</v>
      </c>
      <c r="R33" s="68" t="n">
        <f aca="false">(Acquisitions!R115+Acquisitions!R119)/2</f>
        <v>3.53120839194045</v>
      </c>
      <c r="S33" s="68" t="n">
        <f aca="false">(Acquisitions!S115+Acquisitions!S119)/2</f>
        <v>4.13312140603709</v>
      </c>
      <c r="T33" s="68" t="n">
        <f aca="false">(Acquisitions!T115+Acquisitions!T119)/2</f>
        <v>4.88822305973227</v>
      </c>
      <c r="U33" s="68" t="n">
        <f aca="false">(Acquisitions!U115+Acquisitions!U119)/2</f>
        <v>5.67250932090343</v>
      </c>
      <c r="V33" s="68" t="n">
        <f aca="false">(Acquisitions!V115+Acquisitions!V119)/2</f>
        <v>6.48632695550178</v>
      </c>
      <c r="W33" s="68" t="n">
        <f aca="false">(Acquisitions!W115+Acquisitions!W119)/2</f>
        <v>7.32997581730544</v>
      </c>
      <c r="X33" s="68" t="n">
        <f aca="false">(Acquisitions!X115+Acquisitions!X119)/2</f>
        <v>8.20371017445692</v>
      </c>
      <c r="Y33" s="68" t="n">
        <f aca="false">(Acquisitions!Y115+Acquisitions!Y119)/2</f>
        <v>9.10774007268372</v>
      </c>
      <c r="Z33" s="68" t="n">
        <f aca="false">(Acquisitions!Z115+Acquisitions!Z119)/2</f>
        <v>10.0422327275948</v>
      </c>
      <c r="AA33" s="68" t="n">
        <f aca="false">(Acquisitions!AA115+Acquisitions!AA119)/2</f>
        <v>11.0073139391063</v>
      </c>
      <c r="AB33" s="65" t="n">
        <f aca="false">IFERROR(AVERAGE(AC33:AN33),0)</f>
        <v>22.1786936272131</v>
      </c>
      <c r="AC33" s="68" t="n">
        <f aca="false">(Acquisitions!AC115+Acquisitions!AC119)/2</f>
        <v>12.1196032429321</v>
      </c>
      <c r="AD33" s="68" t="n">
        <f aca="false">(Acquisitions!AD115+Acquisitions!AD119)/2</f>
        <v>13.4275339457928</v>
      </c>
      <c r="AE33" s="68" t="n">
        <f aca="false">(Acquisitions!AE115+Acquisitions!AE119)/2</f>
        <v>14.8443120434285</v>
      </c>
      <c r="AF33" s="68" t="n">
        <f aca="false">(Acquisitions!AF115+Acquisitions!AF119)/2</f>
        <v>16.5160306790397</v>
      </c>
      <c r="AG33" s="68" t="n">
        <f aca="false">(Acquisitions!AG115+Acquisitions!AG119)/2</f>
        <v>18.4428344376363</v>
      </c>
      <c r="AH33" s="68" t="n">
        <f aca="false">(Acquisitions!AH115+Acquisitions!AH119)/2</f>
        <v>20.460605418154</v>
      </c>
      <c r="AI33" s="68" t="n">
        <f aca="false">(Acquisitions!AI115+Acquisitions!AI119)/2</f>
        <v>22.5702683030921</v>
      </c>
      <c r="AJ33" s="68" t="n">
        <f aca="false">(Acquisitions!AJ115+Acquisitions!AJ119)/2</f>
        <v>24.772633953833</v>
      </c>
      <c r="AK33" s="68" t="n">
        <f aca="false">(Acquisitions!AK115+Acquisitions!AK119)/2</f>
        <v>27.0684023296857</v>
      </c>
      <c r="AL33" s="68" t="n">
        <f aca="false">(Acquisitions!AL115+Acquisitions!AL119)/2</f>
        <v>29.458165479765</v>
      </c>
      <c r="AM33" s="68" t="n">
        <f aca="false">(Acquisitions!AM115+Acquisitions!AM119)/2</f>
        <v>31.942410593836</v>
      </c>
      <c r="AN33" s="68" t="n">
        <f aca="false">(Acquisitions!AN115+Acquisitions!AN119)/2</f>
        <v>34.5215230993619</v>
      </c>
      <c r="AO33" s="65" t="n">
        <f aca="false">IFERROR(AVERAGE(AP33:BA33),0)</f>
        <v>56.951878685798</v>
      </c>
      <c r="AP33" s="68" t="n">
        <f aca="false">(Acquisitions!AP115+Acquisitions!AP119)/2</f>
        <v>37.2392548478036</v>
      </c>
      <c r="AQ33" s="68" t="n">
        <f aca="false">(Acquisitions!AQ115+Acquisitions!AQ119)/2</f>
        <v>40.1343925728637</v>
      </c>
      <c r="AR33" s="68" t="n">
        <f aca="false">(Acquisitions!AR115+Acquisitions!AR119)/2</f>
        <v>43.1914663930428</v>
      </c>
      <c r="AS33" s="68" t="n">
        <f aca="false">(Acquisitions!AS115+Acquisitions!AS119)/2</f>
        <v>46.5391438955858</v>
      </c>
      <c r="AT33" s="68" t="n">
        <f aca="false">(Acquisitions!AT115+Acquisitions!AT119)/2</f>
        <v>50.1781497170249</v>
      </c>
      <c r="AU33" s="68" t="n">
        <f aca="false">(Acquisitions!AU115+Acquisitions!AU119)/2</f>
        <v>53.9704688661548</v>
      </c>
      <c r="AV33" s="68" t="n">
        <f aca="false">(Acquisitions!AV115+Acquisitions!AV119)/2</f>
        <v>57.9172246422851</v>
      </c>
      <c r="AW33" s="68" t="n">
        <f aca="false">(Acquisitions!AW115+Acquisitions!AW119)/2</f>
        <v>62.0193874045311</v>
      </c>
      <c r="AX33" s="68" t="n">
        <f aca="false">(Acquisitions!AX115+Acquisitions!AX119)/2</f>
        <v>66.2777786111369</v>
      </c>
      <c r="AY33" s="68" t="n">
        <f aca="false">(Acquisitions!AY115+Acquisitions!AY119)/2</f>
        <v>70.6930749093669</v>
      </c>
      <c r="AZ33" s="68" t="n">
        <f aca="false">(Acquisitions!AZ115+Acquisitions!AZ119)/2</f>
        <v>75.2658122631478</v>
      </c>
      <c r="BA33" s="68" t="n">
        <f aca="false">(Acquisitions!BA115+Acquisitions!BA119)/2</f>
        <v>79.9963901066325</v>
      </c>
      <c r="BB33" s="65" t="n">
        <f aca="false">IFERROR(AVERAGE(BC33:BN33),0)</f>
        <v>118.269470656169</v>
      </c>
      <c r="BC33" s="68" t="n">
        <f aca="false">(Acquisitions!BC115+Acquisitions!BC119)/2</f>
        <v>84.9488005876269</v>
      </c>
      <c r="BD33" s="68" t="n">
        <f aca="false">(Acquisitions!BD115+Acquisitions!BD119)/2</f>
        <v>90.1611036777214</v>
      </c>
      <c r="BE33" s="68" t="n">
        <f aca="false">(Acquisitions!BE115+Acquisitions!BE119)/2</f>
        <v>95.590462923803</v>
      </c>
      <c r="BF33" s="68" t="n">
        <f aca="false">(Acquisitions!BF115+Acquisitions!BF119)/2</f>
        <v>101.350781426345</v>
      </c>
      <c r="BG33" s="68" t="n">
        <f aca="false">(Acquisitions!BG115+Acquisitions!BG119)/2</f>
        <v>107.442781192495</v>
      </c>
      <c r="BH33" s="68" t="n">
        <f aca="false">(Acquisitions!BH115+Acquisitions!BH119)/2</f>
        <v>113.736724218842</v>
      </c>
      <c r="BI33" s="68" t="n">
        <f aca="false">(Acquisitions!BI115+Acquisitions!BI119)/2</f>
        <v>120.233561004972</v>
      </c>
      <c r="BJ33" s="68" t="n">
        <f aca="false">(Acquisitions!BJ115+Acquisitions!BJ119)/2</f>
        <v>126.934090924524</v>
      </c>
      <c r="BK33" s="68" t="n">
        <f aca="false">(Acquisitions!BK115+Acquisitions!BK119)/2</f>
        <v>133.838965785862</v>
      </c>
      <c r="BL33" s="68" t="n">
        <f aca="false">(Acquisitions!BL115+Acquisitions!BL119)/2</f>
        <v>140.948693457785</v>
      </c>
      <c r="BM33" s="68" t="n">
        <f aca="false">(Acquisitions!BM115+Acquisitions!BM119)/2</f>
        <v>148.263641548348</v>
      </c>
      <c r="BN33" s="68" t="n">
        <f aca="false">(Acquisitions!BN115+Acquisitions!BN119)/2</f>
        <v>155.784041125698</v>
      </c>
    </row>
    <row r="34" customFormat="false" ht="15" hidden="false" customHeight="false" outlineLevel="0" collapsed="false">
      <c r="A34" s="4" t="s">
        <v>775</v>
      </c>
      <c r="B34" s="69" t="n">
        <f aca="false">IFERROR(AVERAGE(C34:N34),0)</f>
        <v>16000</v>
      </c>
      <c r="C34" s="72" t="n">
        <f aca="false">'Assumption Setting'!$C$92*C7</f>
        <v>16000</v>
      </c>
      <c r="D34" s="72" t="n">
        <f aca="false">'Assumption Setting'!$C$92*D7</f>
        <v>16000</v>
      </c>
      <c r="E34" s="72" t="n">
        <f aca="false">'Assumption Setting'!$C$92*E7</f>
        <v>16000</v>
      </c>
      <c r="F34" s="72" t="n">
        <f aca="false">'Assumption Setting'!$C$92*F7</f>
        <v>16000</v>
      </c>
      <c r="G34" s="72" t="n">
        <f aca="false">'Assumption Setting'!$C$92*G7</f>
        <v>16000</v>
      </c>
      <c r="H34" s="72" t="n">
        <f aca="false">'Assumption Setting'!$C$92*H7</f>
        <v>16000</v>
      </c>
      <c r="I34" s="72" t="n">
        <f aca="false">'Assumption Setting'!$C$92*I7</f>
        <v>16000</v>
      </c>
      <c r="J34" s="72" t="n">
        <f aca="false">'Assumption Setting'!$C$92*J7</f>
        <v>16000</v>
      </c>
      <c r="K34" s="72" t="n">
        <f aca="false">'Assumption Setting'!$C$92*K7</f>
        <v>16000</v>
      </c>
      <c r="L34" s="72" t="n">
        <f aca="false">'Assumption Setting'!$C$92*L7</f>
        <v>16000</v>
      </c>
      <c r="M34" s="72" t="n">
        <f aca="false">'Assumption Setting'!$C$92*M7</f>
        <v>16000</v>
      </c>
      <c r="N34" s="72" t="n">
        <f aca="false">'Assumption Setting'!$C$92*N7</f>
        <v>16000</v>
      </c>
      <c r="O34" s="69" t="n">
        <f aca="false">IFERROR(AVERAGE(P34:AA34),0)</f>
        <v>17280</v>
      </c>
      <c r="P34" s="72" t="n">
        <f aca="false">'Assumption Setting'!$C$92*P7</f>
        <v>17280</v>
      </c>
      <c r="Q34" s="72" t="n">
        <f aca="false">'Assumption Setting'!$C$92*Q7</f>
        <v>17280</v>
      </c>
      <c r="R34" s="72" t="n">
        <f aca="false">'Assumption Setting'!$C$92*R7</f>
        <v>17280</v>
      </c>
      <c r="S34" s="72" t="n">
        <f aca="false">'Assumption Setting'!$C$92*S7</f>
        <v>17280</v>
      </c>
      <c r="T34" s="72" t="n">
        <f aca="false">'Assumption Setting'!$C$92*T7</f>
        <v>17280</v>
      </c>
      <c r="U34" s="72" t="n">
        <f aca="false">'Assumption Setting'!$C$92*U7</f>
        <v>17280</v>
      </c>
      <c r="V34" s="72" t="n">
        <f aca="false">'Assumption Setting'!$C$92*V7</f>
        <v>17280</v>
      </c>
      <c r="W34" s="72" t="n">
        <f aca="false">'Assumption Setting'!$C$92*W7</f>
        <v>17280</v>
      </c>
      <c r="X34" s="72" t="n">
        <f aca="false">'Assumption Setting'!$C$92*X7</f>
        <v>17280</v>
      </c>
      <c r="Y34" s="72" t="n">
        <f aca="false">'Assumption Setting'!$C$92*Y7</f>
        <v>17280</v>
      </c>
      <c r="Z34" s="72" t="n">
        <f aca="false">'Assumption Setting'!$C$92*Z7</f>
        <v>17280</v>
      </c>
      <c r="AA34" s="72" t="n">
        <f aca="false">'Assumption Setting'!$C$92*AA7</f>
        <v>17280</v>
      </c>
      <c r="AB34" s="69" t="n">
        <f aca="false">IFERROR(AVERAGE(AC34:AN34),0)</f>
        <v>18662.4</v>
      </c>
      <c r="AC34" s="72" t="n">
        <f aca="false">'Assumption Setting'!$C$92*AC7</f>
        <v>18662.4</v>
      </c>
      <c r="AD34" s="72" t="n">
        <f aca="false">'Assumption Setting'!$C$92*AD7</f>
        <v>18662.4</v>
      </c>
      <c r="AE34" s="72" t="n">
        <f aca="false">'Assumption Setting'!$C$92*AE7</f>
        <v>18662.4</v>
      </c>
      <c r="AF34" s="72" t="n">
        <f aca="false">'Assumption Setting'!$C$92*AF7</f>
        <v>18662.4</v>
      </c>
      <c r="AG34" s="72" t="n">
        <f aca="false">'Assumption Setting'!$C$92*AG7</f>
        <v>18662.4</v>
      </c>
      <c r="AH34" s="72" t="n">
        <f aca="false">'Assumption Setting'!$C$92*AH7</f>
        <v>18662.4</v>
      </c>
      <c r="AI34" s="72" t="n">
        <f aca="false">'Assumption Setting'!$C$92*AI7</f>
        <v>18662.4</v>
      </c>
      <c r="AJ34" s="72" t="n">
        <f aca="false">'Assumption Setting'!$C$92*AJ7</f>
        <v>18662.4</v>
      </c>
      <c r="AK34" s="72" t="n">
        <f aca="false">'Assumption Setting'!$C$92*AK7</f>
        <v>18662.4</v>
      </c>
      <c r="AL34" s="72" t="n">
        <f aca="false">'Assumption Setting'!$C$92*AL7</f>
        <v>18662.4</v>
      </c>
      <c r="AM34" s="72" t="n">
        <f aca="false">'Assumption Setting'!$C$92*AM7</f>
        <v>18662.4</v>
      </c>
      <c r="AN34" s="72" t="n">
        <f aca="false">'Assumption Setting'!$C$92*AN7</f>
        <v>18662.4</v>
      </c>
      <c r="AO34" s="69" t="n">
        <f aca="false">IFERROR(AVERAGE(AP34:BA34),0)</f>
        <v>19968.768</v>
      </c>
      <c r="AP34" s="72" t="n">
        <f aca="false">'Assumption Setting'!$C$92*AP7</f>
        <v>19968.768</v>
      </c>
      <c r="AQ34" s="72" t="n">
        <f aca="false">'Assumption Setting'!$C$92*AQ7</f>
        <v>19968.768</v>
      </c>
      <c r="AR34" s="72" t="n">
        <f aca="false">'Assumption Setting'!$C$92*AR7</f>
        <v>19968.768</v>
      </c>
      <c r="AS34" s="72" t="n">
        <f aca="false">'Assumption Setting'!$C$92*AS7</f>
        <v>19968.768</v>
      </c>
      <c r="AT34" s="72" t="n">
        <f aca="false">'Assumption Setting'!$C$92*AT7</f>
        <v>19968.768</v>
      </c>
      <c r="AU34" s="72" t="n">
        <f aca="false">'Assumption Setting'!$C$92*AU7</f>
        <v>19968.768</v>
      </c>
      <c r="AV34" s="72" t="n">
        <f aca="false">'Assumption Setting'!$C$92*AV7</f>
        <v>19968.768</v>
      </c>
      <c r="AW34" s="72" t="n">
        <f aca="false">'Assumption Setting'!$C$92*AW7</f>
        <v>19968.768</v>
      </c>
      <c r="AX34" s="72" t="n">
        <f aca="false">'Assumption Setting'!$C$92*AX7</f>
        <v>19968.768</v>
      </c>
      <c r="AY34" s="72" t="n">
        <f aca="false">'Assumption Setting'!$C$92*AY7</f>
        <v>19968.768</v>
      </c>
      <c r="AZ34" s="72" t="n">
        <f aca="false">'Assumption Setting'!$C$92*AZ7</f>
        <v>19968.768</v>
      </c>
      <c r="BA34" s="72" t="n">
        <f aca="false">'Assumption Setting'!$C$92*BA7</f>
        <v>19968.768</v>
      </c>
      <c r="BB34" s="69" t="n">
        <f aca="false">IFERROR(AVERAGE(BC34:BN34),0)</f>
        <v>21166.89408</v>
      </c>
      <c r="BC34" s="72" t="n">
        <f aca="false">'Assumption Setting'!$C$92*BC7</f>
        <v>21166.89408</v>
      </c>
      <c r="BD34" s="72" t="n">
        <f aca="false">'Assumption Setting'!$C$92*BD7</f>
        <v>21166.89408</v>
      </c>
      <c r="BE34" s="72" t="n">
        <f aca="false">'Assumption Setting'!$C$92*BE7</f>
        <v>21166.89408</v>
      </c>
      <c r="BF34" s="72" t="n">
        <f aca="false">'Assumption Setting'!$C$92*BF7</f>
        <v>21166.89408</v>
      </c>
      <c r="BG34" s="72" t="n">
        <f aca="false">'Assumption Setting'!$C$92*BG7</f>
        <v>21166.89408</v>
      </c>
      <c r="BH34" s="72" t="n">
        <f aca="false">'Assumption Setting'!$C$92*BH7</f>
        <v>21166.89408</v>
      </c>
      <c r="BI34" s="72" t="n">
        <f aca="false">'Assumption Setting'!$C$92*BI7</f>
        <v>21166.89408</v>
      </c>
      <c r="BJ34" s="72" t="n">
        <f aca="false">'Assumption Setting'!$C$92*BJ7</f>
        <v>21166.89408</v>
      </c>
      <c r="BK34" s="72" t="n">
        <f aca="false">'Assumption Setting'!$C$92*BK7</f>
        <v>21166.89408</v>
      </c>
      <c r="BL34" s="72" t="n">
        <f aca="false">'Assumption Setting'!$C$92*BL7</f>
        <v>21166.89408</v>
      </c>
      <c r="BM34" s="72" t="n">
        <f aca="false">'Assumption Setting'!$C$92*BM7</f>
        <v>21166.89408</v>
      </c>
      <c r="BN34" s="72" t="n">
        <f aca="false">'Assumption Setting'!$C$92*BN7</f>
        <v>21166.89408</v>
      </c>
    </row>
    <row r="35" customFormat="false" ht="15" hidden="false" customHeight="false" outlineLevel="0" collapsed="false">
      <c r="A35" s="13" t="s">
        <v>776</v>
      </c>
      <c r="B35" s="59" t="n">
        <f aca="false">SUM(C35:N35)</f>
        <v>3418.12035676645</v>
      </c>
      <c r="C35" s="61" t="n">
        <f aca="false">C33*C34/C6*C12</f>
        <v>0</v>
      </c>
      <c r="D35" s="61" t="n">
        <f aca="false">D33*D34/D6*D12</f>
        <v>6.72956896171557</v>
      </c>
      <c r="E35" s="61" t="n">
        <f aca="false">E33*E34/E6*E12</f>
        <v>21.09864407295</v>
      </c>
      <c r="F35" s="61" t="n">
        <f aca="false">F33*F34/F6*F12</f>
        <v>66.4915423189776</v>
      </c>
      <c r="G35" s="61" t="n">
        <f aca="false">G33*G34/G6*G12</f>
        <v>142.210434487609</v>
      </c>
      <c r="H35" s="61" t="n">
        <f aca="false">H33*H34/H6*H12</f>
        <v>218.705661741619</v>
      </c>
      <c r="I35" s="61" t="n">
        <f aca="false">I33*I34/I6*I12</f>
        <v>295.987755259699</v>
      </c>
      <c r="J35" s="61" t="n">
        <f aca="false">J33*J34/J6*J12</f>
        <v>374.062699902295</v>
      </c>
      <c r="K35" s="61" t="n">
        <f aca="false">K33*K34/K6*K12</f>
        <v>452.932196759495</v>
      </c>
      <c r="L35" s="61" t="n">
        <f aca="false">L33*L34/L6*L12</f>
        <v>532.59392177106</v>
      </c>
      <c r="M35" s="61" t="n">
        <f aca="false">M33*M34/M6*M12</f>
        <v>613.041779580578</v>
      </c>
      <c r="N35" s="61" t="n">
        <f aca="false">N33*N34/N6*N12</f>
        <v>694.266151910447</v>
      </c>
      <c r="O35" s="59" t="n">
        <f aca="false">SUM(P35:AA35)</f>
        <v>23312.8414292499</v>
      </c>
      <c r="P35" s="61" t="n">
        <f aca="false">P33*P34/P6*P12</f>
        <v>849.5757688174</v>
      </c>
      <c r="Q35" s="61" t="n">
        <f aca="false">Q33*Q34/Q6*Q12</f>
        <v>971.157151927291</v>
      </c>
      <c r="R35" s="61" t="n">
        <f aca="false">R33*R34/R6*R12</f>
        <v>1106.97126508645</v>
      </c>
      <c r="S35" s="61" t="n">
        <f aca="false">S33*S34/S6*S12</f>
        <v>1289.38418760749</v>
      </c>
      <c r="T35" s="61" t="n">
        <f aca="false">T33*T34/T6*T12</f>
        <v>1517.56174717124</v>
      </c>
      <c r="U35" s="61" t="n">
        <f aca="false">U33*U34/U6*U12</f>
        <v>1752.51503087427</v>
      </c>
      <c r="V35" s="61" t="n">
        <f aca="false">V33*V34/V6*V12</f>
        <v>1994.2359799659</v>
      </c>
      <c r="W35" s="61" t="n">
        <f aca="false">W33*W34/W6*W12</f>
        <v>2242.70128008828</v>
      </c>
      <c r="X35" s="61" t="n">
        <f aca="false">X33*X34/X6*X12</f>
        <v>2497.87312822842</v>
      </c>
      <c r="Y35" s="61" t="n">
        <f aca="false">Y33*Y34/Y6*Y12</f>
        <v>2759.69999382312</v>
      </c>
      <c r="Z35" s="61" t="n">
        <f aca="false">Z33*Z34/Z6*Z12</f>
        <v>3028.11737160336</v>
      </c>
      <c r="AA35" s="61" t="n">
        <f aca="false">AA33*AA34/AA6*AA12</f>
        <v>3303.04852405671</v>
      </c>
      <c r="AB35" s="59" t="n">
        <f aca="false">SUM(AC35:AN35)</f>
        <v>83136.0325581343</v>
      </c>
      <c r="AC35" s="61" t="n">
        <f aca="false">AC33*AC34/AC6*AC12</f>
        <v>3908.74138191211</v>
      </c>
      <c r="AD35" s="61" t="n">
        <f aca="false">AD33*AD34/AD6*AD12</f>
        <v>4309.59016007705</v>
      </c>
      <c r="AE35" s="61" t="n">
        <f aca="false">AE33*AE34/AE6*AE12</f>
        <v>4741.2293584561</v>
      </c>
      <c r="AF35" s="61" t="n">
        <f aca="false">AF33*AF34/AF6*AF12</f>
        <v>5249.61856206884</v>
      </c>
      <c r="AG35" s="61" t="n">
        <f aca="false">AG33*AG34/AG6*AG12</f>
        <v>5833.6573060803</v>
      </c>
      <c r="AH35" s="61" t="n">
        <f aca="false">AH33*AH34/AH6*AH12</f>
        <v>6440.54922130919</v>
      </c>
      <c r="AI35" s="61" t="n">
        <f aca="false">AI33*AI34/AI6*AI12</f>
        <v>7070.21015873876</v>
      </c>
      <c r="AJ35" s="61" t="n">
        <f aca="false">AJ33*AJ34/AJ6*AJ12</f>
        <v>7722.51863190314</v>
      </c>
      <c r="AK35" s="61" t="n">
        <f aca="false">AK33*AK34/AK6*AK12</f>
        <v>8397.31761890623</v>
      </c>
      <c r="AL35" s="61" t="n">
        <f aca="false">AL33*AL34/AL6*AL12</f>
        <v>9094.41634768732</v>
      </c>
      <c r="AM35" s="61" t="n">
        <f aca="false">AM33*AM34/AM6*AM12</f>
        <v>9813.5920601015</v>
      </c>
      <c r="AN35" s="61" t="n">
        <f aca="false">AN33*AN34/AN6*AN12</f>
        <v>10554.5917508937</v>
      </c>
      <c r="AO35" s="59" t="n">
        <f aca="false">SUM(AP35:BA35)</f>
        <v>215800.36159905</v>
      </c>
      <c r="AP35" s="61" t="n">
        <f aca="false">AP33*AP34/AP6*AP12</f>
        <v>12123.4835831551</v>
      </c>
      <c r="AQ35" s="61" t="n">
        <f aca="false">AQ33*AQ34/AQ6*AQ12</f>
        <v>13002.723239308</v>
      </c>
      <c r="AR35" s="61" t="n">
        <f aca="false">AR33*AR34/AR6*AR12</f>
        <v>13925.3702565036</v>
      </c>
      <c r="AS35" s="61" t="n">
        <f aca="false">AS33*AS34/AS6*AS12</f>
        <v>14932.0133722379</v>
      </c>
      <c r="AT35" s="61" t="n">
        <f aca="false">AT33*AT34/AT6*AT12</f>
        <v>16021.5969094649</v>
      </c>
      <c r="AU35" s="61" t="n">
        <f aca="false">AU33*AU34/AU6*AU12</f>
        <v>17148.9892043254</v>
      </c>
      <c r="AV35" s="61" t="n">
        <f aca="false">AV33*AV34/AV6*AV12</f>
        <v>18313.9176245181</v>
      </c>
      <c r="AW35" s="61" t="n">
        <f aca="false">AW33*AW34/AW6*AW12</f>
        <v>19516.0608670385</v>
      </c>
      <c r="AX35" s="61" t="n">
        <f aca="false">AX33*AX34/AX6*AX12</f>
        <v>20755.0514198581</v>
      </c>
      <c r="AY35" s="61" t="n">
        <f aca="false">AY33*AY34/AY6*AY12</f>
        <v>22030.4779852381</v>
      </c>
      <c r="AZ35" s="61" t="n">
        <f aca="false">AZ33*AZ34/AZ6*AZ12</f>
        <v>23341.8878609849</v>
      </c>
      <c r="BA35" s="61" t="n">
        <f aca="false">BA33*BA34/BA6*BA12</f>
        <v>24688.7892764175</v>
      </c>
      <c r="BB35" s="59" t="n">
        <f aca="false">SUM(BC35:BN35)</f>
        <v>448506.816845214</v>
      </c>
      <c r="BC35" s="61" t="n">
        <f aca="false">BC33*BC34/BC6*BC12</f>
        <v>27655.639016997</v>
      </c>
      <c r="BD35" s="61" t="n">
        <f aca="false">BD33*BD34/BD6*BD12</f>
        <v>29210.35558078</v>
      </c>
      <c r="BE35" s="61" t="n">
        <f aca="false">BE33*BE34/BE6*BE12</f>
        <v>30819.3423462685</v>
      </c>
      <c r="BF35" s="61" t="n">
        <f aca="false">BF33*BF34/BF6*BF12</f>
        <v>32518.2437163073</v>
      </c>
      <c r="BG35" s="61" t="n">
        <f aca="false">BG33*BG34/BG6*BG12</f>
        <v>34305.8670119503</v>
      </c>
      <c r="BH35" s="61" t="n">
        <f aca="false">BH33*BH34/BH6*BH12</f>
        <v>36139.5758966141</v>
      </c>
      <c r="BI35" s="61" t="n">
        <f aca="false">BI33*BI34/BI6*BI12</f>
        <v>38018.8716836391</v>
      </c>
      <c r="BJ35" s="61" t="n">
        <f aca="false">BJ33*BJ34/BJ6*BJ12</f>
        <v>39943.2104742819</v>
      </c>
      <c r="BK35" s="61" t="n">
        <f aca="false">BK33*BK34/BK6*BK12</f>
        <v>41912.005427403</v>
      </c>
      <c r="BL35" s="61" t="n">
        <f aca="false">BL33*BL34/BL6*BL12</f>
        <v>43924.629000094</v>
      </c>
      <c r="BM35" s="61" t="n">
        <f aca="false">BM33*BM34/BM6*BM12</f>
        <v>45980.4151555977</v>
      </c>
      <c r="BN35" s="61" t="n">
        <f aca="false">BN33*BN34/BN6*BN12</f>
        <v>48078.6615352813</v>
      </c>
    </row>
    <row r="37" customFormat="false" ht="15" hidden="false" customHeight="false" outlineLevel="0" collapsed="false">
      <c r="A37" s="9" t="s">
        <v>777</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row>
    <row r="38" customFormat="false" ht="15" hidden="false" customHeight="false" outlineLevel="0" collapsed="false">
      <c r="A38" s="56" t="s">
        <v>632</v>
      </c>
      <c r="B38" s="57" t="s">
        <v>87</v>
      </c>
      <c r="C38" s="58" t="s">
        <v>562</v>
      </c>
      <c r="D38" s="58" t="s">
        <v>563</v>
      </c>
      <c r="E38" s="58" t="s">
        <v>564</v>
      </c>
      <c r="F38" s="58" t="s">
        <v>565</v>
      </c>
      <c r="G38" s="58" t="s">
        <v>566</v>
      </c>
      <c r="H38" s="58" t="s">
        <v>567</v>
      </c>
      <c r="I38" s="58" t="s">
        <v>568</v>
      </c>
      <c r="J38" s="58" t="s">
        <v>569</v>
      </c>
      <c r="K38" s="58" t="s">
        <v>570</v>
      </c>
      <c r="L38" s="58" t="s">
        <v>571</v>
      </c>
      <c r="M38" s="58" t="s">
        <v>572</v>
      </c>
      <c r="N38" s="58" t="s">
        <v>573</v>
      </c>
      <c r="O38" s="57" t="s">
        <v>88</v>
      </c>
      <c r="P38" s="58" t="s">
        <v>574</v>
      </c>
      <c r="Q38" s="58" t="s">
        <v>575</v>
      </c>
      <c r="R38" s="58" t="s">
        <v>576</v>
      </c>
      <c r="S38" s="58" t="s">
        <v>577</v>
      </c>
      <c r="T38" s="58" t="s">
        <v>578</v>
      </c>
      <c r="U38" s="58" t="s">
        <v>579</v>
      </c>
      <c r="V38" s="58" t="s">
        <v>580</v>
      </c>
      <c r="W38" s="58" t="s">
        <v>581</v>
      </c>
      <c r="X38" s="58" t="s">
        <v>582</v>
      </c>
      <c r="Y38" s="58" t="s">
        <v>583</v>
      </c>
      <c r="Z38" s="58" t="s">
        <v>584</v>
      </c>
      <c r="AA38" s="58" t="s">
        <v>585</v>
      </c>
      <c r="AB38" s="57" t="s">
        <v>89</v>
      </c>
      <c r="AC38" s="58" t="s">
        <v>586</v>
      </c>
      <c r="AD38" s="58" t="s">
        <v>587</v>
      </c>
      <c r="AE38" s="58" t="s">
        <v>588</v>
      </c>
      <c r="AF38" s="58" t="s">
        <v>589</v>
      </c>
      <c r="AG38" s="58" t="s">
        <v>590</v>
      </c>
      <c r="AH38" s="58" t="s">
        <v>591</v>
      </c>
      <c r="AI38" s="58" t="s">
        <v>592</v>
      </c>
      <c r="AJ38" s="58" t="s">
        <v>593</v>
      </c>
      <c r="AK38" s="58" t="s">
        <v>594</v>
      </c>
      <c r="AL38" s="58" t="s">
        <v>595</v>
      </c>
      <c r="AM38" s="58" t="s">
        <v>596</v>
      </c>
      <c r="AN38" s="58" t="s">
        <v>597</v>
      </c>
      <c r="AO38" s="57" t="s">
        <v>90</v>
      </c>
      <c r="AP38" s="58" t="s">
        <v>598</v>
      </c>
      <c r="AQ38" s="58" t="s">
        <v>599</v>
      </c>
      <c r="AR38" s="58" t="s">
        <v>600</v>
      </c>
      <c r="AS38" s="58" t="s">
        <v>601</v>
      </c>
      <c r="AT38" s="58" t="s">
        <v>602</v>
      </c>
      <c r="AU38" s="58" t="s">
        <v>603</v>
      </c>
      <c r="AV38" s="58" t="s">
        <v>604</v>
      </c>
      <c r="AW38" s="58" t="s">
        <v>605</v>
      </c>
      <c r="AX38" s="58" t="s">
        <v>606</v>
      </c>
      <c r="AY38" s="58" t="s">
        <v>607</v>
      </c>
      <c r="AZ38" s="58" t="s">
        <v>608</v>
      </c>
      <c r="BA38" s="58" t="s">
        <v>609</v>
      </c>
      <c r="BB38" s="57" t="s">
        <v>91</v>
      </c>
      <c r="BC38" s="58" t="s">
        <v>610</v>
      </c>
      <c r="BD38" s="58" t="s">
        <v>611</v>
      </c>
      <c r="BE38" s="58" t="s">
        <v>612</v>
      </c>
      <c r="BF38" s="58" t="s">
        <v>613</v>
      </c>
      <c r="BG38" s="58" t="s">
        <v>614</v>
      </c>
      <c r="BH38" s="58" t="s">
        <v>615</v>
      </c>
      <c r="BI38" s="58" t="s">
        <v>616</v>
      </c>
      <c r="BJ38" s="58" t="s">
        <v>617</v>
      </c>
      <c r="BK38" s="58" t="s">
        <v>618</v>
      </c>
      <c r="BL38" s="58" t="s">
        <v>619</v>
      </c>
      <c r="BM38" s="58" t="s">
        <v>620</v>
      </c>
      <c r="BN38" s="58" t="s">
        <v>621</v>
      </c>
    </row>
    <row r="39" customFormat="false" ht="15" hidden="false" customHeight="false" outlineLevel="0" collapsed="false">
      <c r="A39" s="4" t="s">
        <v>778</v>
      </c>
      <c r="B39" s="65" t="n">
        <f aca="false">IFERROR(AVERAGE(C39:N39),0)</f>
        <v>13.6247548359602</v>
      </c>
      <c r="C39" s="68" t="n">
        <f aca="false">C27*'Assumption Setting'!$C$100*'Assumption Setting'!$C$101</f>
        <v>0</v>
      </c>
      <c r="D39" s="68" t="n">
        <f aca="false">D27*'Assumption Setting'!$C$100*'Assumption Setting'!$C$101</f>
        <v>1.25746184522985</v>
      </c>
      <c r="E39" s="68" t="n">
        <f aca="false">E27*'Assumption Setting'!$C$100*'Assumption Setting'!$C$101</f>
        <v>3.80419851873975</v>
      </c>
      <c r="F39" s="68" t="n">
        <f aca="false">F27*'Assumption Setting'!$C$100*'Assumption Setting'!$C$101</f>
        <v>6.4267162485533</v>
      </c>
      <c r="G39" s="68" t="n">
        <f aca="false">G27*'Assumption Setting'!$C$100*'Assumption Setting'!$C$101</f>
        <v>9.11956376838575</v>
      </c>
      <c r="H39" s="68" t="n">
        <f aca="false">H27*'Assumption Setting'!$C$100*'Assumption Setting'!$C$101</f>
        <v>11.8627462870747</v>
      </c>
      <c r="I39" s="68" t="n">
        <f aca="false">I27*'Assumption Setting'!$C$100*'Assumption Setting'!$C$101</f>
        <v>14.6515544811967</v>
      </c>
      <c r="J39" s="68" t="n">
        <f aca="false">J27*'Assumption Setting'!$C$100*'Assumption Setting'!$C$101</f>
        <v>17.4814166186643</v>
      </c>
      <c r="K39" s="68" t="n">
        <f aca="false">K27*'Assumption Setting'!$C$100*'Assumption Setting'!$C$101</f>
        <v>20.3479030214661</v>
      </c>
      <c r="L39" s="68" t="n">
        <f aca="false">L27*'Assumption Setting'!$C$100*'Assumption Setting'!$C$101</f>
        <v>23.2467295085402</v>
      </c>
      <c r="M39" s="68" t="n">
        <f aca="false">M27*'Assumption Setting'!$C$100*'Assumption Setting'!$C$101</f>
        <v>26.17375991976</v>
      </c>
      <c r="N39" s="68" t="n">
        <f aca="false">N27*'Assumption Setting'!$C$100*'Assumption Setting'!$C$101</f>
        <v>29.1250078139116</v>
      </c>
      <c r="O39" s="65" t="n">
        <f aca="false">IFERROR(AVERAGE(P39:AA39),0)</f>
        <v>76.9108344650883</v>
      </c>
      <c r="P39" s="68" t="n">
        <f aca="false">P27*'Assumption Setting'!$C$100*'Assumption Setting'!$C$101</f>
        <v>32.3981184152847</v>
      </c>
      <c r="Q39" s="68" t="n">
        <f aca="false">Q27*'Assumption Setting'!$C$100*'Assumption Setting'!$C$101</f>
        <v>38.1998010489</v>
      </c>
      <c r="R39" s="68" t="n">
        <f aca="false">R27*'Assumption Setting'!$C$100*'Assumption Setting'!$C$101</f>
        <v>46.3031485789478</v>
      </c>
      <c r="S39" s="68" t="n">
        <f aca="false">S27*'Assumption Setting'!$C$100*'Assumption Setting'!$C$101</f>
        <v>54.5876325551616</v>
      </c>
      <c r="T39" s="68" t="n">
        <f aca="false">T27*'Assumption Setting'!$C$100*'Assumption Setting'!$C$101</f>
        <v>63.0417335244924</v>
      </c>
      <c r="U39" s="68" t="n">
        <f aca="false">U27*'Assumption Setting'!$C$100*'Assumption Setting'!$C$101</f>
        <v>71.6350927684649</v>
      </c>
      <c r="V39" s="68" t="n">
        <f aca="false">V27*'Assumption Setting'!$C$100*'Assumption Setting'!$C$101</f>
        <v>80.3571171561688</v>
      </c>
      <c r="W39" s="68" t="n">
        <f aca="false">W27*'Assumption Setting'!$C$100*'Assumption Setting'!$C$101</f>
        <v>89.1974418543087</v>
      </c>
      <c r="X39" s="68" t="n">
        <f aca="false">X27*'Assumption Setting'!$C$100*'Assumption Setting'!$C$101</f>
        <v>98.1459416781179</v>
      </c>
      <c r="Y39" s="68" t="n">
        <f aca="false">Y27*'Assumption Setting'!$C$100*'Assumption Setting'!$C$101</f>
        <v>107.192740686939</v>
      </c>
      <c r="Z39" s="68" t="n">
        <f aca="false">Z27*'Assumption Setting'!$C$100*'Assumption Setting'!$C$101</f>
        <v>116.328220168463</v>
      </c>
      <c r="AA39" s="68" t="n">
        <f aca="false">AA27*'Assumption Setting'!$C$100*'Assumption Setting'!$C$101</f>
        <v>125.543025145811</v>
      </c>
      <c r="AB39" s="65" t="n">
        <f aca="false">IFERROR(AVERAGE(AC39:AN39),0)</f>
        <v>236.084830456171</v>
      </c>
      <c r="AC39" s="68" t="n">
        <f aca="false">AC27*'Assumption Setting'!$C$100*'Assumption Setting'!$C$101</f>
        <v>135.671263965047</v>
      </c>
      <c r="AD39" s="68" t="n">
        <f aca="false">AD27*'Assumption Setting'!$C$100*'Assumption Setting'!$C$101</f>
        <v>150.154403552996</v>
      </c>
      <c r="AE39" s="68" t="n">
        <f aca="false">AE27*'Assumption Setting'!$C$100*'Assumption Setting'!$C$101</f>
        <v>168.282383748103</v>
      </c>
      <c r="AF39" s="68" t="n">
        <f aca="false">AF27*'Assumption Setting'!$C$100*'Assumption Setting'!$C$101</f>
        <v>186.757614322876</v>
      </c>
      <c r="AG39" s="68" t="n">
        <f aca="false">AG27*'Assumption Setting'!$C$100*'Assumption Setting'!$C$101</f>
        <v>205.5594870045</v>
      </c>
      <c r="AH39" s="68" t="n">
        <f aca="false">AH27*'Assumption Setting'!$C$100*'Assumption Setting'!$C$101</f>
        <v>224.642421235624</v>
      </c>
      <c r="AI39" s="68" t="n">
        <f aca="false">AI27*'Assumption Setting'!$C$100*'Assumption Setting'!$C$101</f>
        <v>243.987094315138</v>
      </c>
      <c r="AJ39" s="68" t="n">
        <f aca="false">AJ27*'Assumption Setting'!$C$100*'Assumption Setting'!$C$101</f>
        <v>263.574565555211</v>
      </c>
      <c r="AK39" s="68" t="n">
        <f aca="false">AK27*'Assumption Setting'!$C$100*'Assumption Setting'!$C$101</f>
        <v>283.386293069575</v>
      </c>
      <c r="AL39" s="68" t="n">
        <f aca="false">AL27*'Assumption Setting'!$C$100*'Assumption Setting'!$C$101</f>
        <v>303.404148157169</v>
      </c>
      <c r="AM39" s="68" t="n">
        <f aca="false">AM27*'Assumption Setting'!$C$100*'Assumption Setting'!$C$101</f>
        <v>323.610427462793</v>
      </c>
      <c r="AN39" s="68" t="n">
        <f aca="false">AN27*'Assumption Setting'!$C$100*'Assumption Setting'!$C$101</f>
        <v>343.987863085023</v>
      </c>
      <c r="AO39" s="65" t="n">
        <f aca="false">IFERROR(AVERAGE(AP39:BA39),0)</f>
        <v>535.69104867733</v>
      </c>
      <c r="AP39" s="68" t="n">
        <f aca="false">AP27*'Assumption Setting'!$C$100*'Assumption Setting'!$C$101</f>
        <v>365.563872915787</v>
      </c>
      <c r="AQ39" s="68" t="n">
        <f aca="false">AQ27*'Assumption Setting'!$C$100*'Assumption Setting'!$C$101</f>
        <v>392.134215688036</v>
      </c>
      <c r="AR39" s="68" t="n">
        <f aca="false">AR27*'Assumption Setting'!$C$100*'Assumption Setting'!$C$101</f>
        <v>422.800002694341</v>
      </c>
      <c r="AS39" s="68" t="n">
        <f aca="false">AS27*'Assumption Setting'!$C$100*'Assumption Setting'!$C$101</f>
        <v>453.910076253394</v>
      </c>
      <c r="AT39" s="68" t="n">
        <f aca="false">AT27*'Assumption Setting'!$C$100*'Assumption Setting'!$C$101</f>
        <v>485.436601524898</v>
      </c>
      <c r="AU39" s="68" t="n">
        <f aca="false">AU27*'Assumption Setting'!$C$100*'Assumption Setting'!$C$101</f>
        <v>517.330899066016</v>
      </c>
      <c r="AV39" s="68" t="n">
        <f aca="false">AV27*'Assumption Setting'!$C$100*'Assumption Setting'!$C$101</f>
        <v>549.566652805064</v>
      </c>
      <c r="AW39" s="68" t="n">
        <f aca="false">AW27*'Assumption Setting'!$C$100*'Assumption Setting'!$C$101</f>
        <v>582.118108573064</v>
      </c>
      <c r="AX39" s="68" t="n">
        <f aca="false">AX27*'Assumption Setting'!$C$100*'Assumption Setting'!$C$101</f>
        <v>614.960087568559</v>
      </c>
      <c r="AY39" s="68" t="n">
        <f aca="false">AY27*'Assumption Setting'!$C$100*'Assumption Setting'!$C$101</f>
        <v>648.067997569788</v>
      </c>
      <c r="AZ39" s="68" t="n">
        <f aca="false">AZ27*'Assumption Setting'!$C$100*'Assumption Setting'!$C$101</f>
        <v>681.417842058565</v>
      </c>
      <c r="BA39" s="68" t="n">
        <f aca="false">BA27*'Assumption Setting'!$C$100*'Assumption Setting'!$C$101</f>
        <v>714.986227410454</v>
      </c>
      <c r="BB39" s="65" t="n">
        <f aca="false">IFERROR(AVERAGE(BC39:BN39),0)</f>
        <v>977.96082088865</v>
      </c>
      <c r="BC39" s="68" t="n">
        <f aca="false">BC27*'Assumption Setting'!$C$100*'Assumption Setting'!$C$101</f>
        <v>749.822290321054</v>
      </c>
      <c r="BD39" s="68" t="n">
        <f aca="false">BD27*'Assumption Setting'!$C$100*'Assumption Setting'!$C$101</f>
        <v>788.219346187617</v>
      </c>
      <c r="BE39" s="68" t="n">
        <f aca="false">BE27*'Assumption Setting'!$C$100*'Assumption Setting'!$C$101</f>
        <v>829.223962022038</v>
      </c>
      <c r="BF39" s="68" t="n">
        <f aca="false">BF27*'Assumption Setting'!$C$100*'Assumption Setting'!$C$101</f>
        <v>870.656402473492</v>
      </c>
      <c r="BG39" s="68" t="n">
        <f aca="false">BG27*'Assumption Setting'!$C$100*'Assumption Setting'!$C$101</f>
        <v>912.488989098675</v>
      </c>
      <c r="BH39" s="68" t="n">
        <f aca="false">BH27*'Assumption Setting'!$C$100*'Assumption Setting'!$C$101</f>
        <v>954.674414583357</v>
      </c>
      <c r="BI39" s="68" t="n">
        <f aca="false">BI27*'Assumption Setting'!$C$100*'Assumption Setting'!$C$101</f>
        <v>997.186331706768</v>
      </c>
      <c r="BJ39" s="68" t="n">
        <f aca="false">BJ27*'Assumption Setting'!$C$100*'Assumption Setting'!$C$101</f>
        <v>1039.99889815572</v>
      </c>
      <c r="BK39" s="68" t="n">
        <f aca="false">BK27*'Assumption Setting'!$C$100*'Assumption Setting'!$C$101</f>
        <v>1083.08679143635</v>
      </c>
      <c r="BL39" s="68" t="n">
        <f aca="false">BL27*'Assumption Setting'!$C$100*'Assumption Setting'!$C$101</f>
        <v>1126.42522169644</v>
      </c>
      <c r="BM39" s="68" t="n">
        <f aca="false">BM27*'Assumption Setting'!$C$100*'Assumption Setting'!$C$101</f>
        <v>1169.98994259933</v>
      </c>
      <c r="BN39" s="68" t="n">
        <f aca="false">BN27*'Assumption Setting'!$C$100*'Assumption Setting'!$C$101</f>
        <v>1213.75726038298</v>
      </c>
    </row>
    <row r="40" customFormat="false" ht="15" hidden="false" customHeight="false" outlineLevel="0" collapsed="false">
      <c r="A40" s="13" t="s">
        <v>779</v>
      </c>
      <c r="B40" s="59" t="n">
        <f aca="false">SUM(C40:N40)</f>
        <v>231.748850574105</v>
      </c>
      <c r="C40" s="61" t="n">
        <f aca="false">C39*'Assumption Setting'!$C$99*C7*C9/C6*C13</f>
        <v>0</v>
      </c>
      <c r="D40" s="61" t="n">
        <f aca="false">D39*'Assumption Setting'!$C$99*D7*D9/D6*D13</f>
        <v>1.84279527252324</v>
      </c>
      <c r="E40" s="61" t="n">
        <f aca="false">E39*'Assumption Setting'!$C$99*E7*E9/E6*E13</f>
        <v>5.54800218202174</v>
      </c>
      <c r="F40" s="61" t="n">
        <f aca="false">F39*'Assumption Setting'!$C$99*F7*F9/F6*F13</f>
        <v>9.32725294243359</v>
      </c>
      <c r="G40" s="61" t="n">
        <f aca="false">G39*'Assumption Setting'!$C$99*G7*G9/G6*G13</f>
        <v>13.1713372927382</v>
      </c>
      <c r="H40" s="61" t="n">
        <f aca="false">H39*'Assumption Setting'!$C$99*H7*H9/H6*H13</f>
        <v>17.0503079320632</v>
      </c>
      <c r="I40" s="61" t="n">
        <f aca="false">I39*'Assumption Setting'!$C$99*I7*I9/I6*I13</f>
        <v>20.9566503257912</v>
      </c>
      <c r="J40" s="61" t="n">
        <f aca="false">J39*'Assumption Setting'!$C$99*J7*J9/J6*J13</f>
        <v>24.8831847244304</v>
      </c>
      <c r="K40" s="61" t="n">
        <f aca="false">K39*'Assumption Setting'!$C$99*K7*K9/K6*K13</f>
        <v>28.8230660896515</v>
      </c>
      <c r="L40" s="61" t="n">
        <f aca="false">L39*'Assumption Setting'!$C$99*L7*L9/L6*L13</f>
        <v>32.7697824837175</v>
      </c>
      <c r="M40" s="61" t="n">
        <f aca="false">M39*'Assumption Setting'!$C$99*M7*M9/M6*M13</f>
        <v>36.7171521149155</v>
      </c>
      <c r="N40" s="61" t="n">
        <f aca="false">N39*'Assumption Setting'!$C$99*N7*N9/N6*N13</f>
        <v>40.6593192138186</v>
      </c>
      <c r="O40" s="59" t="n">
        <f aca="false">SUM(P40:AA40)</f>
        <v>1322.9999161999</v>
      </c>
      <c r="P40" s="61" t="n">
        <f aca="false">P39*'Assumption Setting'!$C$99*P7*P9/P6*P13</f>
        <v>48.0027234860983</v>
      </c>
      <c r="Q40" s="61" t="n">
        <f aca="false">Q39*'Assumption Setting'!$C$99*Q7*Q9/Q6*Q13</f>
        <v>56.3246327551782</v>
      </c>
      <c r="R40" s="61" t="n">
        <f aca="false">R39*'Assumption Setting'!$C$99*R7*R9/R6*R13</f>
        <v>67.9421004864074</v>
      </c>
      <c r="S40" s="61" t="n">
        <f aca="false">S39*'Assumption Setting'!$C$99*S7*S9/S6*S13</f>
        <v>79.7101971012664</v>
      </c>
      <c r="T40" s="61" t="n">
        <f aca="false">T39*'Assumption Setting'!$C$99*T7*T9/T6*T13</f>
        <v>91.6091699854958</v>
      </c>
      <c r="U40" s="61" t="n">
        <f aca="false">U39*'Assumption Setting'!$C$99*U7*U9/U6*U13</f>
        <v>103.592379039462</v>
      </c>
      <c r="V40" s="61" t="n">
        <f aca="false">V39*'Assumption Setting'!$C$99*V7*V9/V6*V13</f>
        <v>115.642508844081</v>
      </c>
      <c r="W40" s="61" t="n">
        <f aca="false">W39*'Assumption Setting'!$C$99*W7*W9/W6*W13</f>
        <v>127.742889122457</v>
      </c>
      <c r="X40" s="61" t="n">
        <f aca="false">X39*'Assumption Setting'!$C$99*X7*X9/X6*X13</f>
        <v>139.877499226133</v>
      </c>
      <c r="Y40" s="61" t="n">
        <f aca="false">Y39*'Assumption Setting'!$C$99*Y7*Y9/Y6*Y13</f>
        <v>152.030969812775</v>
      </c>
      <c r="Z40" s="61" t="n">
        <f aca="false">Z39*'Assumption Setting'!$C$99*Z7*Z9/Z6*Z13</f>
        <v>164.188582009322</v>
      </c>
      <c r="AA40" s="61" t="n">
        <f aca="false">AA39*'Assumption Setting'!$C$99*AA7*AA9/AA6*AA13</f>
        <v>176.336264331227</v>
      </c>
      <c r="AB40" s="59" t="n">
        <f aca="false">SUM(AC40:AN40)</f>
        <v>4101.36416218611</v>
      </c>
      <c r="AC40" s="61" t="n">
        <f aca="false">AC39*'Assumption Setting'!$C$99*AC7*AC9/AC6*AC13</f>
        <v>202.649880576768</v>
      </c>
      <c r="AD40" s="61" t="n">
        <f aca="false">AD39*'Assumption Setting'!$C$99*AD7*AD9/AD6*AD13</f>
        <v>223.196680970699</v>
      </c>
      <c r="AE40" s="61" t="n">
        <f aca="false">AE39*'Assumption Setting'!$C$99*AE7*AE9/AE6*AE13</f>
        <v>248.931291378613</v>
      </c>
      <c r="AF40" s="61" t="n">
        <f aca="false">AF39*'Assumption Setting'!$C$99*AF7*AF9/AF6*AF13</f>
        <v>274.922530253347</v>
      </c>
      <c r="AG40" s="61" t="n">
        <f aca="false">AG39*'Assumption Setting'!$C$99*AG7*AG9/AG6*AG13</f>
        <v>301.134641290667</v>
      </c>
      <c r="AH40" s="61" t="n">
        <f aca="false">AH39*'Assumption Setting'!$C$99*AH7*AH9/AH6*AH13</f>
        <v>327.496107071228</v>
      </c>
      <c r="AI40" s="61" t="n">
        <f aca="false">AI39*'Assumption Setting'!$C$99*AI7*AI9/AI6*AI13</f>
        <v>353.97484756282</v>
      </c>
      <c r="AJ40" s="61" t="n">
        <f aca="false">AJ39*'Assumption Setting'!$C$99*AJ7*AJ9/AJ6*AJ13</f>
        <v>380.539922754875</v>
      </c>
      <c r="AK40" s="61" t="n">
        <f aca="false">AK39*'Assumption Setting'!$C$99*AK7*AK9/AK6*AK13</f>
        <v>407.161536452882</v>
      </c>
      <c r="AL40" s="61" t="n">
        <f aca="false">AL39*'Assumption Setting'!$C$99*AL7*AL9/AL6*AL13</f>
        <v>433.811036194345</v>
      </c>
      <c r="AM40" s="61" t="n">
        <f aca="false">AM39*'Assumption Setting'!$C$99*AM7*AM9/AM6*AM13</f>
        <v>460.460909670495</v>
      </c>
      <c r="AN40" s="61" t="n">
        <f aca="false">AN39*'Assumption Setting'!$C$99*AN7*AN9/AN6*AN13</f>
        <v>487.084778009369</v>
      </c>
      <c r="AO40" s="59" t="n">
        <f aca="false">SUM(AP40:BA40)</f>
        <v>9325.48094698901</v>
      </c>
      <c r="AP40" s="61" t="n">
        <f aca="false">AP39*'Assumption Setting'!$C$99*AP7*AP9/AP6*AP13</f>
        <v>546.486922160951</v>
      </c>
      <c r="AQ40" s="61" t="n">
        <f aca="false">AQ39*'Assumption Setting'!$C$99*AQ7*AQ9/AQ6*AQ13</f>
        <v>583.367754452645</v>
      </c>
      <c r="AR40" s="61" t="n">
        <f aca="false">AR39*'Assumption Setting'!$C$99*AR7*AR9/AR6*AR13</f>
        <v>625.941636307484</v>
      </c>
      <c r="AS40" s="61" t="n">
        <f aca="false">AS39*'Assumption Setting'!$C$99*AS7*AS9/AS6*AS13</f>
        <v>668.743942217016</v>
      </c>
      <c r="AT40" s="61" t="n">
        <f aca="false">AT39*'Assumption Setting'!$C$99*AT7*AT9/AT6*AT13</f>
        <v>711.72747925219</v>
      </c>
      <c r="AU40" s="61" t="n">
        <f aca="false">AU39*'Assumption Setting'!$C$99*AU7*AU9/AU6*AU13</f>
        <v>754.815503580844</v>
      </c>
      <c r="AV40" s="61" t="n">
        <f aca="false">AV39*'Assumption Setting'!$C$99*AV7*AV9/AV6*AV13</f>
        <v>797.965184419361</v>
      </c>
      <c r="AW40" s="61" t="n">
        <f aca="false">AW39*'Assumption Setting'!$C$99*AW7*AW9/AW6*AW13</f>
        <v>841.135298173284</v>
      </c>
      <c r="AX40" s="61" t="n">
        <f aca="false">AX39*'Assumption Setting'!$C$99*AX7*AX9/AX6*AX13</f>
        <v>884.286218684218</v>
      </c>
      <c r="AY40" s="61" t="n">
        <f aca="false">AY39*'Assumption Setting'!$C$99*AY7*AY9/AY6*AY13</f>
        <v>927.379904066818</v>
      </c>
      <c r="AZ40" s="61" t="n">
        <f aca="false">AZ39*'Assumption Setting'!$C$99*AZ7*AZ9/AZ6*AZ13</f>
        <v>970.379880484752</v>
      </c>
      <c r="BA40" s="61" t="n">
        <f aca="false">BA39*'Assumption Setting'!$C$99*BA7*BA9/BA6*BA13</f>
        <v>1013.25122318945</v>
      </c>
      <c r="BB40" s="59" t="n">
        <f aca="false">SUM(BC40:BN40)</f>
        <v>16930.9666934878</v>
      </c>
      <c r="BC40" s="61" t="n">
        <f aca="false">BC39*'Assumption Setting'!$C$99*BC7*BC9/BC6*BC13</f>
        <v>1113.68885375364</v>
      </c>
      <c r="BD40" s="61" t="n">
        <f aca="false">BD39*'Assumption Setting'!$C$99*BD7*BD9/BD6*BD13</f>
        <v>1165.04793458156</v>
      </c>
      <c r="BE40" s="61" t="n">
        <f aca="false">BE39*'Assumption Setting'!$C$99*BE7*BE9/BE6*BE13</f>
        <v>1219.71882157733</v>
      </c>
      <c r="BF40" s="61" t="n">
        <f aca="false">BF39*'Assumption Setting'!$C$99*BF7*BF9/BF6*BF13</f>
        <v>1274.45896909271</v>
      </c>
      <c r="BG40" s="61" t="n">
        <f aca="false">BG39*'Assumption Setting'!$C$99*BG7*BG9/BG6*BG13</f>
        <v>1329.22307061764</v>
      </c>
      <c r="BH40" s="61" t="n">
        <f aca="false">BH39*'Assumption Setting'!$C$99*BH7*BH9/BH6*BH13</f>
        <v>1383.93820736985</v>
      </c>
      <c r="BI40" s="61" t="n">
        <f aca="false">BI39*'Assumption Setting'!$C$99*BI7*BI9/BI6*BI13</f>
        <v>1438.56308199744</v>
      </c>
      <c r="BJ40" s="61" t="n">
        <f aca="false">BJ39*'Assumption Setting'!$C$99*BJ7*BJ9/BJ6*BJ13</f>
        <v>1493.05790347799</v>
      </c>
      <c r="BK40" s="61" t="n">
        <f aca="false">BK39*'Assumption Setting'!$C$99*BK7*BK9/BK6*BK13</f>
        <v>1547.38438153114</v>
      </c>
      <c r="BL40" s="61" t="n">
        <f aca="false">BL39*'Assumption Setting'!$C$99*BL7*BL9/BL6*BL13</f>
        <v>1601.50571778602</v>
      </c>
      <c r="BM40" s="61" t="n">
        <f aca="false">BM39*'Assumption Setting'!$C$99*BM7*BM9/BM6*BM13</f>
        <v>1655.3865940109</v>
      </c>
      <c r="BN40" s="61" t="n">
        <f aca="false">BN39*'Assumption Setting'!$C$99*BN7*BN9/BN6*BN13</f>
        <v>1708.9931576916</v>
      </c>
    </row>
    <row r="42" customFormat="false" ht="15" hidden="false" customHeight="false" outlineLevel="0" collapsed="false">
      <c r="A42" s="9" t="s">
        <v>780</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row>
    <row r="43" customFormat="false" ht="15" hidden="false" customHeight="false" outlineLevel="0" collapsed="false">
      <c r="A43" s="56" t="s">
        <v>632</v>
      </c>
      <c r="B43" s="57" t="s">
        <v>87</v>
      </c>
      <c r="C43" s="58" t="s">
        <v>562</v>
      </c>
      <c r="D43" s="58" t="s">
        <v>563</v>
      </c>
      <c r="E43" s="58" t="s">
        <v>564</v>
      </c>
      <c r="F43" s="58" t="s">
        <v>565</v>
      </c>
      <c r="G43" s="58" t="s">
        <v>566</v>
      </c>
      <c r="H43" s="58" t="s">
        <v>567</v>
      </c>
      <c r="I43" s="58" t="s">
        <v>568</v>
      </c>
      <c r="J43" s="58" t="s">
        <v>569</v>
      </c>
      <c r="K43" s="58" t="s">
        <v>570</v>
      </c>
      <c r="L43" s="58" t="s">
        <v>571</v>
      </c>
      <c r="M43" s="58" t="s">
        <v>572</v>
      </c>
      <c r="N43" s="58" t="s">
        <v>573</v>
      </c>
      <c r="O43" s="57" t="s">
        <v>88</v>
      </c>
      <c r="P43" s="58" t="s">
        <v>574</v>
      </c>
      <c r="Q43" s="58" t="s">
        <v>575</v>
      </c>
      <c r="R43" s="58" t="s">
        <v>576</v>
      </c>
      <c r="S43" s="58" t="s">
        <v>577</v>
      </c>
      <c r="T43" s="58" t="s">
        <v>578</v>
      </c>
      <c r="U43" s="58" t="s">
        <v>579</v>
      </c>
      <c r="V43" s="58" t="s">
        <v>580</v>
      </c>
      <c r="W43" s="58" t="s">
        <v>581</v>
      </c>
      <c r="X43" s="58" t="s">
        <v>582</v>
      </c>
      <c r="Y43" s="58" t="s">
        <v>583</v>
      </c>
      <c r="Z43" s="58" t="s">
        <v>584</v>
      </c>
      <c r="AA43" s="58" t="s">
        <v>585</v>
      </c>
      <c r="AB43" s="57" t="s">
        <v>89</v>
      </c>
      <c r="AC43" s="58" t="s">
        <v>586</v>
      </c>
      <c r="AD43" s="58" t="s">
        <v>587</v>
      </c>
      <c r="AE43" s="58" t="s">
        <v>588</v>
      </c>
      <c r="AF43" s="58" t="s">
        <v>589</v>
      </c>
      <c r="AG43" s="58" t="s">
        <v>590</v>
      </c>
      <c r="AH43" s="58" t="s">
        <v>591</v>
      </c>
      <c r="AI43" s="58" t="s">
        <v>592</v>
      </c>
      <c r="AJ43" s="58" t="s">
        <v>593</v>
      </c>
      <c r="AK43" s="58" t="s">
        <v>594</v>
      </c>
      <c r="AL43" s="58" t="s">
        <v>595</v>
      </c>
      <c r="AM43" s="58" t="s">
        <v>596</v>
      </c>
      <c r="AN43" s="58" t="s">
        <v>597</v>
      </c>
      <c r="AO43" s="57" t="s">
        <v>90</v>
      </c>
      <c r="AP43" s="58" t="s">
        <v>598</v>
      </c>
      <c r="AQ43" s="58" t="s">
        <v>599</v>
      </c>
      <c r="AR43" s="58" t="s">
        <v>600</v>
      </c>
      <c r="AS43" s="58" t="s">
        <v>601</v>
      </c>
      <c r="AT43" s="58" t="s">
        <v>602</v>
      </c>
      <c r="AU43" s="58" t="s">
        <v>603</v>
      </c>
      <c r="AV43" s="58" t="s">
        <v>604</v>
      </c>
      <c r="AW43" s="58" t="s">
        <v>605</v>
      </c>
      <c r="AX43" s="58" t="s">
        <v>606</v>
      </c>
      <c r="AY43" s="58" t="s">
        <v>607</v>
      </c>
      <c r="AZ43" s="58" t="s">
        <v>608</v>
      </c>
      <c r="BA43" s="58" t="s">
        <v>609</v>
      </c>
      <c r="BB43" s="57" t="s">
        <v>91</v>
      </c>
      <c r="BC43" s="58" t="s">
        <v>610</v>
      </c>
      <c r="BD43" s="58" t="s">
        <v>611</v>
      </c>
      <c r="BE43" s="58" t="s">
        <v>612</v>
      </c>
      <c r="BF43" s="58" t="s">
        <v>613</v>
      </c>
      <c r="BG43" s="58" t="s">
        <v>614</v>
      </c>
      <c r="BH43" s="58" t="s">
        <v>615</v>
      </c>
      <c r="BI43" s="58" t="s">
        <v>616</v>
      </c>
      <c r="BJ43" s="58" t="s">
        <v>617</v>
      </c>
      <c r="BK43" s="58" t="s">
        <v>618</v>
      </c>
      <c r="BL43" s="58" t="s">
        <v>619</v>
      </c>
      <c r="BM43" s="58" t="s">
        <v>620</v>
      </c>
      <c r="BN43" s="58" t="s">
        <v>621</v>
      </c>
    </row>
    <row r="44" customFormat="false" ht="15" hidden="false" customHeight="false" outlineLevel="0" collapsed="false">
      <c r="A44" s="4" t="s">
        <v>781</v>
      </c>
      <c r="B44" s="69" t="n">
        <f aca="false">SUM(C44:N44)</f>
        <v>19715222.2662407</v>
      </c>
      <c r="C44" s="72" t="n">
        <f aca="false">C21*'Assumption Setting'!$C$109*'Assumption Setting'!$C$106*'Timeline and FX'!C10</f>
        <v>0</v>
      </c>
      <c r="D44" s="72" t="n">
        <f aca="false">D21*'Assumption Setting'!$C$109*'Assumption Setting'!$C$106*'Timeline and FX'!D10</f>
        <v>169516.482517068</v>
      </c>
      <c r="E44" s="72" t="n">
        <f aca="false">E21*'Assumption Setting'!$C$109*'Assumption Setting'!$C$106*'Timeline and FX'!E10</f>
        <v>506940.358827669</v>
      </c>
      <c r="F44" s="72" t="n">
        <f aca="false">F21*'Assumption Setting'!$C$109*'Assumption Setting'!$C$106*'Timeline and FX'!F10</f>
        <v>840889.324324848</v>
      </c>
      <c r="G44" s="72" t="n">
        <f aca="false">G21*'Assumption Setting'!$C$109*'Assumption Setting'!$C$106*'Timeline and FX'!G10</f>
        <v>1170880.47479144</v>
      </c>
      <c r="H44" s="72" t="n">
        <f aca="false">H21*'Assumption Setting'!$C$109*'Assumption Setting'!$C$106*'Timeline and FX'!H10</f>
        <v>1496489.51168374</v>
      </c>
      <c r="I44" s="72" t="n">
        <f aca="false">I21*'Assumption Setting'!$C$109*'Assumption Setting'!$C$106*'Timeline and FX'!I10</f>
        <v>1817345.88763374</v>
      </c>
      <c r="J44" s="72" t="n">
        <f aca="false">J21*'Assumption Setting'!$C$109*'Assumption Setting'!$C$106*'Timeline and FX'!J10</f>
        <v>2133128.30762681</v>
      </c>
      <c r="K44" s="72" t="n">
        <f aca="false">K21*'Assumption Setting'!$C$109*'Assumption Setting'!$C$106*'Timeline and FX'!K10</f>
        <v>2443560.56119453</v>
      </c>
      <c r="L44" s="72" t="n">
        <f aca="false">L21*'Assumption Setting'!$C$109*'Assumption Setting'!$C$106*'Timeline and FX'!L10</f>
        <v>2748407.66262496</v>
      </c>
      <c r="M44" s="72" t="n">
        <f aca="false">M21*'Assumption Setting'!$C$109*'Assumption Setting'!$C$106*'Timeline and FX'!M10</f>
        <v>3047472.2777442</v>
      </c>
      <c r="N44" s="72" t="n">
        <f aca="false">N21*'Assumption Setting'!$C$109*'Assumption Setting'!$C$106*'Timeline and FX'!N10</f>
        <v>3340591.41727166</v>
      </c>
      <c r="O44" s="69" t="n">
        <f aca="false">SUM(P44:AA44)</f>
        <v>119791475.253442</v>
      </c>
      <c r="P44" s="72" t="n">
        <f aca="false">P21*'Assumption Setting'!$D$109*'Assumption Setting'!$C$106*'Timeline and FX'!P10</f>
        <v>4526319.57332005</v>
      </c>
      <c r="Q44" s="72" t="n">
        <f aca="false">Q21*'Assumption Setting'!$D$109*'Assumption Setting'!$C$106*'Timeline and FX'!Q10</f>
        <v>5297039.49799749</v>
      </c>
      <c r="R44" s="72" t="n">
        <f aca="false">R21*'Assumption Setting'!$D$109*'Assumption Setting'!$C$106*'Timeline and FX'!R10</f>
        <v>6369685.79072663</v>
      </c>
      <c r="S44" s="72" t="n">
        <f aca="false">S21*'Assumption Setting'!$D$109*'Assumption Setting'!$C$106*'Timeline and FX'!S10</f>
        <v>7432163.44008878</v>
      </c>
      <c r="T44" s="72" t="n">
        <f aca="false">T21*'Assumption Setting'!$D$109*'Assumption Setting'!$C$106*'Timeline and FX'!T10</f>
        <v>8483345.30544563</v>
      </c>
      <c r="U44" s="72" t="n">
        <f aca="false">U21*'Assumption Setting'!$D$109*'Assumption Setting'!$C$106*'Timeline and FX'!U10</f>
        <v>9522225.04991326</v>
      </c>
      <c r="V44" s="72" t="n">
        <f aca="false">V21*'Assumption Setting'!$D$109*'Assumption Setting'!$C$106*'Timeline and FX'!V10</f>
        <v>10547908.4141001</v>
      </c>
      <c r="W44" s="72" t="n">
        <f aca="false">W21*'Assumption Setting'!$D$109*'Assumption Setting'!$C$106*'Timeline and FX'!W10</f>
        <v>11559605.0451979</v>
      </c>
      <c r="X44" s="72" t="n">
        <f aca="false">X21*'Assumption Setting'!$D$109*'Assumption Setting'!$C$106*'Timeline and FX'!X10</f>
        <v>12556620.8480592</v>
      </c>
      <c r="Y44" s="72" t="n">
        <f aca="false">Y21*'Assumption Setting'!$D$109*'Assumption Setting'!$C$106*'Timeline and FX'!Y10</f>
        <v>13538350.8268398</v>
      </c>
      <c r="Z44" s="72" t="n">
        <f aca="false">Z21*'Assumption Setting'!$D$109*'Assumption Setting'!$C$106*'Timeline and FX'!Z10</f>
        <v>14504272.3876183</v>
      </c>
      <c r="AA44" s="72" t="n">
        <f aca="false">AA21*'Assumption Setting'!$D$109*'Assumption Setting'!$C$106*'Timeline and FX'!AA10</f>
        <v>15453939.0741353</v>
      </c>
      <c r="AB44" s="69" t="n">
        <f aca="false">SUM(AC44:AN44)</f>
        <v>395882519.660169</v>
      </c>
      <c r="AC44" s="72" t="n">
        <f aca="false">AC21*'Assumption Setting'!$E$109*'Assumption Setting'!$C$106*'Timeline and FX'!AC10</f>
        <v>20181038.5255007</v>
      </c>
      <c r="AD44" s="72" t="n">
        <f aca="false">AD21*'Assumption Setting'!$E$109*'Assumption Setting'!$C$106*'Timeline and FX'!AD10</f>
        <v>22157235.3294755</v>
      </c>
      <c r="AE44" s="72" t="n">
        <f aca="false">AE21*'Assumption Setting'!$E$109*'Assumption Setting'!$C$106*'Timeline and FX'!AE10</f>
        <v>24648366.7115713</v>
      </c>
      <c r="AF44" s="72" t="n">
        <f aca="false">AF21*'Assumption Setting'!$E$109*'Assumption Setting'!$C$106*'Timeline and FX'!AF10</f>
        <v>27112034.3410595</v>
      </c>
      <c r="AG44" s="72" t="n">
        <f aca="false">AG21*'Assumption Setting'!$E$109*'Assumption Setting'!$C$106*'Timeline and FX'!AG10</f>
        <v>29546440.7605712</v>
      </c>
      <c r="AH44" s="72" t="n">
        <f aca="false">AH21*'Assumption Setting'!$E$109*'Assumption Setting'!$C$106*'Timeline and FX'!AH10</f>
        <v>31949983.9086117</v>
      </c>
      <c r="AI44" s="72" t="n">
        <f aca="false">AI21*'Assumption Setting'!$E$109*'Assumption Setting'!$C$106*'Timeline and FX'!AI10</f>
        <v>34321243.7380474</v>
      </c>
      <c r="AJ44" s="72" t="n">
        <f aca="false">AJ21*'Assumption Setting'!$E$109*'Assumption Setting'!$C$106*'Timeline and FX'!AJ10</f>
        <v>36658969.6322127</v>
      </c>
      <c r="AK44" s="72" t="n">
        <f aca="false">AK21*'Assumption Setting'!$E$109*'Assumption Setting'!$C$106*'Timeline and FX'!AK10</f>
        <v>38962068.5739447</v>
      </c>
      <c r="AL44" s="72" t="n">
        <f aca="false">AL21*'Assumption Setting'!$E$109*'Assumption Setting'!$C$106*'Timeline and FX'!AL10</f>
        <v>41229594.0252773</v>
      </c>
      <c r="AM44" s="72" t="n">
        <f aca="false">AM21*'Assumption Setting'!$E$109*'Assumption Setting'!$C$106*'Timeline and FX'!AM10</f>
        <v>43460735.477827</v>
      </c>
      <c r="AN44" s="72" t="n">
        <f aca="false">AN21*'Assumption Setting'!$E$109*'Assumption Setting'!$C$106*'Timeline and FX'!AN10</f>
        <v>45654808.6360703</v>
      </c>
      <c r="AO44" s="69" t="n">
        <f aca="false">SUM(AP44:BA44)</f>
        <v>957601304.563435</v>
      </c>
      <c r="AP44" s="72" t="n">
        <f aca="false">AP21*'Assumption Setting'!$F$109*'Assumption Setting'!$C$106*'Timeline and FX'!AP10</f>
        <v>56937918.1896695</v>
      </c>
      <c r="AQ44" s="72" t="n">
        <f aca="false">AQ21*'Assumption Setting'!$F$109*'Assumption Setting'!$C$106*'Timeline and FX'!AQ10</f>
        <v>60749452.9252984</v>
      </c>
      <c r="AR44" s="72" t="n">
        <f aca="false">AR21*'Assumption Setting'!$F$109*'Assumption Setting'!$C$106*'Timeline and FX'!AR10</f>
        <v>65155117.334776</v>
      </c>
      <c r="AS44" s="72" t="n">
        <f aca="false">AS21*'Assumption Setting'!$F$109*'Assumption Setting'!$C$106*'Timeline and FX'!AS10</f>
        <v>69504124.7456172</v>
      </c>
      <c r="AT44" s="72" t="n">
        <f aca="false">AT21*'Assumption Setting'!$F$109*'Assumption Setting'!$C$106*'Timeline and FX'!AT10</f>
        <v>73794519.2839874</v>
      </c>
      <c r="AU44" s="72" t="n">
        <f aca="false">AU21*'Assumption Setting'!$F$109*'Assumption Setting'!$C$106*'Timeline and FX'!AU10</f>
        <v>78024580.1553709</v>
      </c>
      <c r="AV44" s="72" t="n">
        <f aca="false">AV21*'Assumption Setting'!$F$109*'Assumption Setting'!$C$106*'Timeline and FX'!AV10</f>
        <v>82192806.0966034</v>
      </c>
      <c r="AW44" s="72" t="n">
        <f aca="false">AW21*'Assumption Setting'!$F$109*'Assumption Setting'!$C$106*'Timeline and FX'!AW10</f>
        <v>86297900.7029835</v>
      </c>
      <c r="AX44" s="72" t="n">
        <f aca="false">AX21*'Assumption Setting'!$F$109*'Assumption Setting'!$C$106*'Timeline and FX'!AX10</f>
        <v>90338758.5845723</v>
      </c>
      <c r="AY44" s="72" t="n">
        <f aca="false">AY21*'Assumption Setting'!$F$109*'Assumption Setting'!$C$106*'Timeline and FX'!AY10</f>
        <v>94314452.3081069</v>
      </c>
      <c r="AZ44" s="72" t="n">
        <f aca="false">AZ21*'Assumption Setting'!$F$109*'Assumption Setting'!$C$106*'Timeline and FX'!AZ10</f>
        <v>98224220.0831622</v>
      </c>
      <c r="BA44" s="72" t="n">
        <f aca="false">BA21*'Assumption Setting'!$F$109*'Assumption Setting'!$C$106*'Timeline and FX'!BA10</f>
        <v>102067454.153288</v>
      </c>
      <c r="BB44" s="69" t="n">
        <f aca="false">SUM(BC44:BN44)</f>
        <v>1827714742.84471</v>
      </c>
      <c r="BC44" s="72" t="n">
        <f aca="false">BC21*'Assumption Setting'!$G$109*'Assumption Setting'!$C$106*'Timeline and FX'!BC10</f>
        <v>122152644.619909</v>
      </c>
      <c r="BD44" s="72" t="n">
        <f aca="false">BD21*'Assumption Setting'!$G$109*'Assumption Setting'!$C$106*'Timeline and FX'!BD10</f>
        <v>127464074.898561</v>
      </c>
      <c r="BE44" s="72" t="n">
        <f aca="false">BE21*'Assumption Setting'!$G$109*'Assumption Setting'!$C$106*'Timeline and FX'!BE10</f>
        <v>133207777.197873</v>
      </c>
      <c r="BF44" s="72" t="n">
        <f aca="false">BF21*'Assumption Setting'!$G$109*'Assumption Setting'!$C$106*'Timeline and FX'!BF10</f>
        <v>138879824.98913</v>
      </c>
      <c r="BG44" s="72" t="n">
        <f aca="false">BG21*'Assumption Setting'!$G$109*'Assumption Setting'!$C$106*'Timeline and FX'!BG10</f>
        <v>144477987.812007</v>
      </c>
      <c r="BH44" s="72" t="n">
        <f aca="false">BH21*'Assumption Setting'!$G$109*'Assumption Setting'!$C$106*'Timeline and FX'!BH10</f>
        <v>150000294.860362</v>
      </c>
      <c r="BI44" s="72" t="n">
        <f aca="false">BI21*'Assumption Setting'!$G$109*'Assumption Setting'!$C$106*'Timeline and FX'!BI10</f>
        <v>155445018.646714</v>
      </c>
      <c r="BJ44" s="72" t="n">
        <f aca="false">BJ21*'Assumption Setting'!$G$109*'Assumption Setting'!$C$106*'Timeline and FX'!BJ10</f>
        <v>160810659.537642</v>
      </c>
      <c r="BK44" s="72" t="n">
        <f aca="false">BK21*'Assumption Setting'!$G$109*'Assumption Setting'!$C$106*'Timeline and FX'!BK10</f>
        <v>166095931.116932</v>
      </c>
      <c r="BL44" s="72" t="n">
        <f aca="false">BL21*'Assumption Setting'!$G$109*'Assumption Setting'!$C$106*'Timeline and FX'!BL10</f>
        <v>171299746.335377</v>
      </c>
      <c r="BM44" s="72" t="n">
        <f aca="false">BM21*'Assumption Setting'!$G$109*'Assumption Setting'!$C$106*'Timeline and FX'!BM10</f>
        <v>176421204.408095</v>
      </c>
      <c r="BN44" s="72" t="n">
        <f aca="false">BN21*'Assumption Setting'!$G$109*'Assumption Setting'!$C$106*'Timeline and FX'!BN10</f>
        <v>181459578.422104</v>
      </c>
    </row>
    <row r="45" customFormat="false" ht="15" hidden="false" customHeight="false" outlineLevel="0" collapsed="false">
      <c r="A45" s="4" t="s">
        <v>782</v>
      </c>
      <c r="B45" s="69" t="n">
        <f aca="false">SUM(C45:N45)</f>
        <v>39420957.3253781</v>
      </c>
      <c r="C45" s="72" t="n">
        <f aca="false">C27*'Assumption Setting'!$C$110*'Assumption Setting'!$C$107*'Timeline and FX'!C10</f>
        <v>0</v>
      </c>
      <c r="D45" s="72" t="n">
        <f aca="false">D27*'Assumption Setting'!$C$110*'Assumption Setting'!$C$107*'Timeline and FX'!D10</f>
        <v>303188.022683196</v>
      </c>
      <c r="E45" s="72" t="n">
        <f aca="false">E27*'Assumption Setting'!$C$110*'Assumption Setting'!$C$107*'Timeline and FX'!E10</f>
        <v>917234.531740584</v>
      </c>
      <c r="F45" s="72" t="n">
        <f aca="false">F27*'Assumption Setting'!$C$110*'Assumption Setting'!$C$107*'Timeline and FX'!F10</f>
        <v>1549552.69548452</v>
      </c>
      <c r="G45" s="72" t="n">
        <f aca="false">G27*'Assumption Setting'!$C$110*'Assumption Setting'!$C$107*'Timeline and FX'!G10</f>
        <v>2198828.15304412</v>
      </c>
      <c r="H45" s="72" t="n">
        <f aca="false">H27*'Assumption Setting'!$C$110*'Assumption Setting'!$C$107*'Timeline and FX'!H10</f>
        <v>2860239.93810578</v>
      </c>
      <c r="I45" s="72" t="n">
        <f aca="false">I27*'Assumption Setting'!$C$110*'Assumption Setting'!$C$107*'Timeline and FX'!I10</f>
        <v>3532652.5804663</v>
      </c>
      <c r="J45" s="72" t="n">
        <f aca="false">J27*'Assumption Setting'!$C$110*'Assumption Setting'!$C$107*'Timeline and FX'!J10</f>
        <v>4214963.78472238</v>
      </c>
      <c r="K45" s="72" t="n">
        <f aca="false">K27*'Assumption Setting'!$C$110*'Assumption Setting'!$C$107*'Timeline and FX'!K10</f>
        <v>4906105.50628683</v>
      </c>
      <c r="L45" s="72" t="n">
        <f aca="false">L27*'Assumption Setting'!$C$110*'Assumption Setting'!$C$107*'Timeline and FX'!L10</f>
        <v>5605044.78150358</v>
      </c>
      <c r="M45" s="72" t="n">
        <f aca="false">M27*'Assumption Setting'!$C$110*'Assumption Setting'!$C$107*'Timeline and FX'!M10</f>
        <v>6310784.33620879</v>
      </c>
      <c r="N45" s="72" t="n">
        <f aca="false">N27*'Assumption Setting'!$C$110*'Assumption Setting'!$C$107*'Timeline and FX'!N10</f>
        <v>7022362.99513202</v>
      </c>
      <c r="O45" s="69" t="n">
        <f aca="false">SUM(P45:AA45)</f>
        <v>265311614.570769</v>
      </c>
      <c r="P45" s="72" t="n">
        <f aca="false">P27*'Assumption Setting'!$D$110*'Assumption Setting'!$C$107*'Timeline and FX'!P10</f>
        <v>9313379.10711385</v>
      </c>
      <c r="Q45" s="72" t="n">
        <f aca="false">Q27*'Assumption Setting'!$D$110*'Assumption Setting'!$C$107*'Timeline and FX'!Q10</f>
        <v>10981169.4748571</v>
      </c>
      <c r="R45" s="72" t="n">
        <f aca="false">R27*'Assumption Setting'!$D$110*'Assumption Setting'!$C$107*'Timeline and FX'!R10</f>
        <v>13310611.7781615</v>
      </c>
      <c r="S45" s="72" t="n">
        <f aca="false">S27*'Assumption Setting'!$D$110*'Assumption Setting'!$C$107*'Timeline and FX'!S10</f>
        <v>15692124.7718571</v>
      </c>
      <c r="T45" s="72" t="n">
        <f aca="false">T27*'Assumption Setting'!$D$110*'Assumption Setting'!$C$107*'Timeline and FX'!T10</f>
        <v>18122396.9971741</v>
      </c>
      <c r="U45" s="72" t="n">
        <f aca="false">U27*'Assumption Setting'!$D$110*'Assumption Setting'!$C$107*'Timeline and FX'!U10</f>
        <v>20592701.334508</v>
      </c>
      <c r="V45" s="72" t="n">
        <f aca="false">V27*'Assumption Setting'!$D$110*'Assumption Setting'!$C$107*'Timeline and FX'!V10</f>
        <v>23099992.6118267</v>
      </c>
      <c r="W45" s="72" t="n">
        <f aca="false">W27*'Assumption Setting'!$D$110*'Assumption Setting'!$C$107*'Timeline and FX'!W10</f>
        <v>25641291.2850519</v>
      </c>
      <c r="X45" s="72" t="n">
        <f aca="false">X27*'Assumption Setting'!$D$110*'Assumption Setting'!$C$107*'Timeline and FX'!X10</f>
        <v>28213686.7010696</v>
      </c>
      <c r="Y45" s="72" t="n">
        <f aca="false">Y27*'Assumption Setting'!$D$110*'Assumption Setting'!$C$107*'Timeline and FX'!Y10</f>
        <v>30814339.8561387</v>
      </c>
      <c r="Z45" s="72" t="n">
        <f aca="false">Z27*'Assumption Setting'!$D$110*'Assumption Setting'!$C$107*'Timeline and FX'!Z10</f>
        <v>33440485.6910941</v>
      </c>
      <c r="AA45" s="72" t="n">
        <f aca="false">AA27*'Assumption Setting'!$D$110*'Assumption Setting'!$C$107*'Timeline and FX'!AA10</f>
        <v>36089434.9619158</v>
      </c>
      <c r="AB45" s="69" t="n">
        <f aca="false">SUM(AC45:AN45)</f>
        <v>967406383.659123</v>
      </c>
      <c r="AC45" s="72" t="n">
        <f aca="false">AC27*'Assumption Setting'!$E$110*'Assumption Setting'!$C$107*'Timeline and FX'!AC10</f>
        <v>46328420.2353888</v>
      </c>
      <c r="AD45" s="72" t="n">
        <f aca="false">AD27*'Assumption Setting'!$E$110*'Assumption Setting'!$C$107*'Timeline and FX'!AD10</f>
        <v>51274058.3723724</v>
      </c>
      <c r="AE45" s="72" t="n">
        <f aca="false">AE27*'Assumption Setting'!$E$110*'Assumption Setting'!$C$107*'Timeline and FX'!AE10</f>
        <v>57464320.4805967</v>
      </c>
      <c r="AF45" s="72" t="n">
        <f aca="false">AF27*'Assumption Setting'!$E$110*'Assumption Setting'!$C$107*'Timeline and FX'!AF10</f>
        <v>63773160.1051341</v>
      </c>
      <c r="AG45" s="72" t="n">
        <f aca="false">AG27*'Assumption Setting'!$E$110*'Assumption Setting'!$C$107*'Timeline and FX'!AG10</f>
        <v>70193540.0245766</v>
      </c>
      <c r="AH45" s="72" t="n">
        <f aca="false">AH27*'Assumption Setting'!$E$110*'Assumption Setting'!$C$107*'Timeline and FX'!AH10</f>
        <v>76709895.5927799</v>
      </c>
      <c r="AI45" s="72" t="n">
        <f aca="false">AI27*'Assumption Setting'!$E$110*'Assumption Setting'!$C$107*'Timeline and FX'!AI10</f>
        <v>83315628.5796475</v>
      </c>
      <c r="AJ45" s="72" t="n">
        <f aca="false">AJ27*'Assumption Setting'!$E$110*'Assumption Setting'!$C$107*'Timeline and FX'!AJ10</f>
        <v>90004271.2032798</v>
      </c>
      <c r="AK45" s="72" t="n">
        <f aca="false">AK27*'Assumption Setting'!$E$110*'Assumption Setting'!$C$107*'Timeline and FX'!AK10</f>
        <v>96769491.8627626</v>
      </c>
      <c r="AL45" s="72" t="n">
        <f aca="false">AL27*'Assumption Setting'!$E$110*'Assumption Setting'!$C$107*'Timeline and FX'!AL10</f>
        <v>103605100.049829</v>
      </c>
      <c r="AM45" s="72" t="n">
        <f aca="false">AM27*'Assumption Setting'!$E$110*'Assumption Setting'!$C$107*'Timeline and FX'!AM10</f>
        <v>110505050.501428</v>
      </c>
      <c r="AN45" s="72" t="n">
        <f aca="false">AN27*'Assumption Setting'!$E$110*'Assumption Setting'!$C$107*'Timeline and FX'!AN10</f>
        <v>117463446.651327</v>
      </c>
      <c r="AO45" s="69" t="n">
        <f aca="false">SUM(AP45:BA45)</f>
        <v>2540990577.71403</v>
      </c>
      <c r="AP45" s="72" t="n">
        <f aca="false">AP27*'Assumption Setting'!$F$110*'Assumption Setting'!$C$107*'Timeline and FX'!AP10</f>
        <v>144500945.542707</v>
      </c>
      <c r="AQ45" s="72" t="n">
        <f aca="false">AQ27*'Assumption Setting'!$F$110*'Assumption Setting'!$C$107*'Timeline and FX'!AQ10</f>
        <v>155003732.98546</v>
      </c>
      <c r="AR45" s="72" t="n">
        <f aca="false">AR27*'Assumption Setting'!$F$110*'Assumption Setting'!$C$107*'Timeline and FX'!AR10</f>
        <v>167125377.235692</v>
      </c>
      <c r="AS45" s="72" t="n">
        <f aca="false">AS27*'Assumption Setting'!$F$110*'Assumption Setting'!$C$107*'Timeline and FX'!AS10</f>
        <v>179422640.117087</v>
      </c>
      <c r="AT45" s="72" t="n">
        <f aca="false">AT27*'Assumption Setting'!$F$110*'Assumption Setting'!$C$107*'Timeline and FX'!AT10</f>
        <v>191884519.008653</v>
      </c>
      <c r="AU45" s="72" t="n">
        <f aca="false">AU27*'Assumption Setting'!$F$110*'Assumption Setting'!$C$107*'Timeline and FX'!AU10</f>
        <v>204491771.785991</v>
      </c>
      <c r="AV45" s="72" t="n">
        <f aca="false">AV27*'Assumption Setting'!$F$110*'Assumption Setting'!$C$107*'Timeline and FX'!AV10</f>
        <v>217233996.170531</v>
      </c>
      <c r="AW45" s="72" t="n">
        <f aca="false">AW27*'Assumption Setting'!$F$110*'Assumption Setting'!$C$107*'Timeline and FX'!AW10</f>
        <v>230101011.993922</v>
      </c>
      <c r="AX45" s="72" t="n">
        <f aca="false">AX27*'Assumption Setting'!$F$110*'Assumption Setting'!$C$107*'Timeline and FX'!AX10</f>
        <v>243082866.520439</v>
      </c>
      <c r="AY45" s="72" t="n">
        <f aca="false">AY27*'Assumption Setting'!$F$110*'Assumption Setting'!$C$107*'Timeline and FX'!AY10</f>
        <v>256169838.878954</v>
      </c>
      <c r="AZ45" s="72" t="n">
        <f aca="false">AZ27*'Assumption Setting'!$F$110*'Assumption Setting'!$C$107*'Timeline and FX'!AZ10</f>
        <v>269352443.669446</v>
      </c>
      <c r="BA45" s="72" t="n">
        <f aca="false">BA27*'Assumption Setting'!$F$110*'Assumption Setting'!$C$107*'Timeline and FX'!BA10</f>
        <v>282621433.805151</v>
      </c>
      <c r="BB45" s="69" t="n">
        <f aca="false">SUM(BC45:BN45)</f>
        <v>5242533448.58406</v>
      </c>
      <c r="BC45" s="72" t="n">
        <f aca="false">BC27*'Assumption Setting'!$G$110*'Assumption Setting'!$C$107*'Timeline and FX'!BC10</f>
        <v>334963012.96355</v>
      </c>
      <c r="BD45" s="72" t="n">
        <f aca="false">BD27*'Assumption Setting'!$G$110*'Assumption Setting'!$C$107*'Timeline and FX'!BD10</f>
        <v>352115868.63084</v>
      </c>
      <c r="BE45" s="72" t="n">
        <f aca="false">BE27*'Assumption Setting'!$G$110*'Assumption Setting'!$C$107*'Timeline and FX'!BE10</f>
        <v>370433581.831164</v>
      </c>
      <c r="BF45" s="72" t="n">
        <f aca="false">BF27*'Assumption Setting'!$G$110*'Assumption Setting'!$C$107*'Timeline and FX'!BF10</f>
        <v>388942414.213447</v>
      </c>
      <c r="BG45" s="72" t="n">
        <f aca="false">BG27*'Assumption Setting'!$G$110*'Assumption Setting'!$C$107*'Timeline and FX'!BG10</f>
        <v>407630001.174925</v>
      </c>
      <c r="BH45" s="72" t="n">
        <f aca="false">BH27*'Assumption Setting'!$G$110*'Assumption Setting'!$C$107*'Timeline and FX'!BH10</f>
        <v>426475209.440804</v>
      </c>
      <c r="BI45" s="72" t="n">
        <f aca="false">BI27*'Assumption Setting'!$G$110*'Assumption Setting'!$C$107*'Timeline and FX'!BI10</f>
        <v>445466269.096309</v>
      </c>
      <c r="BJ45" s="72" t="n">
        <f aca="false">BJ27*'Assumption Setting'!$G$110*'Assumption Setting'!$C$107*'Timeline and FX'!BJ10</f>
        <v>464591635.780595</v>
      </c>
      <c r="BK45" s="72" t="n">
        <f aca="false">BK27*'Assumption Setting'!$G$110*'Assumption Setting'!$C$107*'Timeline and FX'!BK10</f>
        <v>483839997.348178</v>
      </c>
      <c r="BL45" s="72" t="n">
        <f aca="false">BL27*'Assumption Setting'!$G$110*'Assumption Setting'!$C$107*'Timeline and FX'!BL10</f>
        <v>503200279.596941</v>
      </c>
      <c r="BM45" s="72" t="n">
        <f aca="false">BM27*'Assumption Setting'!$G$110*'Assumption Setting'!$C$107*'Timeline and FX'!BM10</f>
        <v>522661651.125788</v>
      </c>
      <c r="BN45" s="72" t="n">
        <f aca="false">BN27*'Assumption Setting'!$G$110*'Assumption Setting'!$C$107*'Timeline and FX'!BN10</f>
        <v>542213527.381516</v>
      </c>
    </row>
    <row r="46" customFormat="false" ht="15" hidden="false" customHeight="false" outlineLevel="0" collapsed="false">
      <c r="A46" s="4" t="s">
        <v>783</v>
      </c>
      <c r="B46" s="59" t="n">
        <f aca="false">SUM(C46:N46)</f>
        <v>1105450.24944591</v>
      </c>
      <c r="C46" s="60" t="n">
        <f aca="false">(C44+C45)/C6*C14</f>
        <v>0</v>
      </c>
      <c r="D46" s="60" t="n">
        <f aca="false">(D44+D45)/D6*D14</f>
        <v>9134.26675102786</v>
      </c>
      <c r="E46" s="60" t="n">
        <f aca="false">(E44+E45)/E6*E14</f>
        <v>27386.6209729191</v>
      </c>
      <c r="F46" s="60" t="n">
        <f aca="false">(F44+F45)/F6*F14</f>
        <v>45745.0934351723</v>
      </c>
      <c r="G46" s="60" t="n">
        <f aca="false">(G44+G45)/G6*G14</f>
        <v>64172.6291127966</v>
      </c>
      <c r="H46" s="60" t="n">
        <f aca="false">(H44+H45)/H6*H14</f>
        <v>82567.5221812698</v>
      </c>
      <c r="I46" s="60" t="n">
        <f aca="false">(I44+I45)/I6*I14</f>
        <v>100900.541275701</v>
      </c>
      <c r="J46" s="60" t="n">
        <f aca="false">(J44+J45)/J6*J14</f>
        <v>119144.564646622</v>
      </c>
      <c r="K46" s="60" t="n">
        <f aca="false">(K44+K45)/K6*K14</f>
        <v>137274.478163134</v>
      </c>
      <c r="L46" s="60" t="n">
        <f aca="false">(L44+L45)/L6*L14</f>
        <v>155267.076758946</v>
      </c>
      <c r="M46" s="60" t="n">
        <f aca="false">(M44+M45)/M6*M14</f>
        <v>173100.969300689</v>
      </c>
      <c r="N46" s="60" t="n">
        <f aca="false">(N44+N45)/N6*N14</f>
        <v>190756.486847635</v>
      </c>
      <c r="O46" s="59" t="n">
        <f aca="false">SUM(P46:AA46)</f>
        <v>6826394.17333881</v>
      </c>
      <c r="P46" s="60" t="n">
        <f aca="false">(P44+P45)/P6*P14</f>
        <v>253520.767181423</v>
      </c>
      <c r="Q46" s="60" t="n">
        <f aca="false">(Q44+Q45)/Q6*Q14</f>
        <v>296745.883490303</v>
      </c>
      <c r="R46" s="60" t="n">
        <f aca="false">(R44+R45)/R6*R14</f>
        <v>357026.88618315</v>
      </c>
      <c r="S46" s="60" t="n">
        <f aca="false">(S44+S45)/S6*S14</f>
        <v>417473.403912545</v>
      </c>
      <c r="T46" s="60" t="n">
        <f aca="false">(T44+T45)/T6*T14</f>
        <v>477999.010469547</v>
      </c>
      <c r="U46" s="60" t="n">
        <f aca="false">(U44+U45)/U6*U14</f>
        <v>538424.236702382</v>
      </c>
      <c r="V46" s="60" t="n">
        <f aca="false">(V44+V45)/V6*V14</f>
        <v>598676.141499892</v>
      </c>
      <c r="W46" s="60" t="n">
        <f aca="false">(W44+W45)/W6*W14</f>
        <v>658686.185245698</v>
      </c>
      <c r="X46" s="60" t="n">
        <f aca="false">(X44+X45)/X6*X14</f>
        <v>718390.062994278</v>
      </c>
      <c r="Y46" s="60" t="n">
        <f aca="false">(Y44+Y45)/Y6*Y14</f>
        <v>777727.540865988</v>
      </c>
      <c r="Z46" s="60" t="n">
        <f aca="false">(Z44+Z45)/Z6*Z14</f>
        <v>836642.295823994</v>
      </c>
      <c r="AA46" s="60" t="n">
        <f aca="false">(AA44+AA45)/AA6*AA14</f>
        <v>895081.758969607</v>
      </c>
      <c r="AB46" s="59" t="n">
        <f aca="false">SUM(AC46:AN46)</f>
        <v>22838228.0202932</v>
      </c>
      <c r="AC46" s="60" t="n">
        <f aca="false">(AC44+AC45)/AC6*AC14</f>
        <v>1149382.1655236</v>
      </c>
      <c r="AD46" s="60" t="n">
        <f aca="false">(AD44+AD45)/AD6*AD14</f>
        <v>1262854.7378966</v>
      </c>
      <c r="AE46" s="60" t="n">
        <f aca="false">(AE44+AE45)/AE6*AE14</f>
        <v>1405314.93306434</v>
      </c>
      <c r="AF46" s="60" t="n">
        <f aca="false">(AF44+AF45)/AF6*AF14</f>
        <v>1547917.16010141</v>
      </c>
      <c r="AG46" s="60" t="n">
        <f aca="false">(AG44+AG45)/AG6*AG14</f>
        <v>1690499.44384325</v>
      </c>
      <c r="AH46" s="60" t="n">
        <f aca="false">(AH44+AH45)/AH6*AH14</f>
        <v>1832762.32604452</v>
      </c>
      <c r="AI46" s="60" t="n">
        <f aca="false">(AI44+AI45)/AI6*AI14</f>
        <v>1974565.64672678</v>
      </c>
      <c r="AJ46" s="60" t="n">
        <f aca="false">(AJ44+AJ45)/AJ6*AJ14</f>
        <v>2115776.95008654</v>
      </c>
      <c r="AK46" s="60" t="n">
        <f aca="false">(AK44+AK45)/AK6*AK14</f>
        <v>2256271.22938462</v>
      </c>
      <c r="AL46" s="60" t="n">
        <f aca="false">(AL44+AL45)/AL6*AL14</f>
        <v>2395930.67502993</v>
      </c>
      <c r="AM46" s="60" t="n">
        <f aca="false">(AM44+AM45)/AM6*AM14</f>
        <v>2534644.42621045</v>
      </c>
      <c r="AN46" s="60" t="n">
        <f aca="false">(AN44+AN45)/AN6*AN14</f>
        <v>2672308.32638116</v>
      </c>
      <c r="AO46" s="59" t="n">
        <f aca="false">SUM(AP46:BA46)</f>
        <v>55358175.4523991</v>
      </c>
      <c r="AP46" s="60" t="n">
        <f aca="false">(AP44+AP45)/AP6*AP14</f>
        <v>3284115.61828776</v>
      </c>
      <c r="AQ46" s="60" t="n">
        <f aca="false">(AQ44+AQ45)/AQ6*AQ14</f>
        <v>3500447.51638887</v>
      </c>
      <c r="AR46" s="60" t="n">
        <f aca="false">(AR44+AR45)/AR6*AR14</f>
        <v>3750336.81383685</v>
      </c>
      <c r="AS46" s="60" t="n">
        <f aca="false">(AS44+AS45)/AS6*AS14</f>
        <v>3999634.48067781</v>
      </c>
      <c r="AT46" s="60" t="n">
        <f aca="false">(AT44+AT45)/AT6*AT14</f>
        <v>4248123.924082</v>
      </c>
      <c r="AU46" s="60" t="n">
        <f aca="false">(AU44+AU45)/AU6*AU14</f>
        <v>4495465.34741239</v>
      </c>
      <c r="AV46" s="60" t="n">
        <f aca="false">(AV44+AV45)/AV6*AV14</f>
        <v>4741468.99289104</v>
      </c>
      <c r="AW46" s="60" t="n">
        <f aca="false">(AW44+AW45)/AW6*AW14</f>
        <v>4985955.5542779</v>
      </c>
      <c r="AX46" s="60" t="n">
        <f aca="false">(AX44+AX45)/AX6*AX14</f>
        <v>5228755.83523901</v>
      </c>
      <c r="AY46" s="60" t="n">
        <f aca="false">(AY44+AY45)/AY6*AY14</f>
        <v>5469710.41276645</v>
      </c>
      <c r="AZ46" s="60" t="n">
        <f aca="false">(AZ44+AZ45)/AZ6*AZ14</f>
        <v>5708669.30597551</v>
      </c>
      <c r="BA46" s="60" t="n">
        <f aca="false">(BA44+BA45)/BA6*BA14</f>
        <v>5945491.65056349</v>
      </c>
      <c r="BB46" s="59" t="n">
        <f aca="false">SUM(BC46:BN46)</f>
        <v>105639800.653294</v>
      </c>
      <c r="BC46" s="60" t="n">
        <f aca="false">(BC44+BC45)/BC6*BC14</f>
        <v>7030648.8492959</v>
      </c>
      <c r="BD46" s="60" t="n">
        <f aca="false">(BD44+BD45)/BD6*BD14</f>
        <v>7340429.97496794</v>
      </c>
      <c r="BE46" s="60" t="n">
        <f aca="false">(BE44+BE45)/BE6*BE14</f>
        <v>7671372.17306553</v>
      </c>
      <c r="BF46" s="60" t="n">
        <f aca="false">(BF44+BF45)/BF6*BF14</f>
        <v>8000746.83459751</v>
      </c>
      <c r="BG46" s="60" t="n">
        <f aca="false">(BG44+BG45)/BG6*BG14</f>
        <v>8328332.44801489</v>
      </c>
      <c r="BH46" s="60" t="n">
        <f aca="false">(BH44+BH45)/BH6*BH14</f>
        <v>8653784.12648902</v>
      </c>
      <c r="BI46" s="60" t="n">
        <f aca="false">(BI44+BI45)/BI6*BI14</f>
        <v>8976907.2760518</v>
      </c>
      <c r="BJ46" s="60" t="n">
        <f aca="false">(BJ44+BJ45)/BJ6*BJ14</f>
        <v>9297517.9608251</v>
      </c>
      <c r="BK46" s="60" t="n">
        <f aca="false">(BK44+BK45)/BK6*BK14</f>
        <v>9615442.57405325</v>
      </c>
      <c r="BL46" s="60" t="n">
        <f aca="false">(BL44+BL45)/BL6*BL14</f>
        <v>9930517.51323922</v>
      </c>
      <c r="BM46" s="60" t="n">
        <f aca="false">(BM44+BM45)/BM6*BM14</f>
        <v>10242588.8597194</v>
      </c>
      <c r="BN46" s="60" t="n">
        <f aca="false">(BN44+BN45)/BN6*BN14</f>
        <v>10551512.0629743</v>
      </c>
    </row>
    <row r="47" customFormat="false" ht="15" hidden="false" customHeight="false" outlineLevel="0" collapsed="false">
      <c r="A47" s="4" t="s">
        <v>784</v>
      </c>
      <c r="B47" s="59" t="n">
        <f aca="false">SUM(C47:N47)</f>
        <v>7373.45043706035</v>
      </c>
      <c r="C47" s="60" t="n">
        <f aca="false">C44*'Assumption Setting'!$C$103/C6*C14</f>
        <v>0</v>
      </c>
      <c r="D47" s="60" t="n">
        <f aca="false">D44*'Assumption Setting'!$C$103/D6*D14</f>
        <v>65.5127570383894</v>
      </c>
      <c r="E47" s="60" t="n">
        <f aca="false">E44*'Assumption Setting'!$C$103/E6*E14</f>
        <v>194.967395578073</v>
      </c>
      <c r="F47" s="60" t="n">
        <f aca="false">F44*'Assumption Setting'!$C$103/F6*F14</f>
        <v>321.836383322502</v>
      </c>
      <c r="G47" s="60" t="n">
        <f aca="false">G44*'Assumption Setting'!$C$103/G6*G14</f>
        <v>445.964246424888</v>
      </c>
      <c r="H47" s="60" t="n">
        <f aca="false">H44*'Assumption Setting'!$C$103/H6*H14</f>
        <v>567.221042178573</v>
      </c>
      <c r="I47" s="60" t="n">
        <f aca="false">I44*'Assumption Setting'!$C$103/I6*I14</f>
        <v>685.499948610395</v>
      </c>
      <c r="J47" s="60" t="n">
        <f aca="false">J44*'Assumption Setting'!$C$103/J6*J14</f>
        <v>800.715049026743</v>
      </c>
      <c r="K47" s="60" t="n">
        <f aca="false">K44*'Assumption Setting'!$C$103/K6*K14</f>
        <v>912.799296779325</v>
      </c>
      <c r="L47" s="60" t="n">
        <f aca="false">L44*'Assumption Setting'!$C$103/L6*L14</f>
        <v>1021.70264659281</v>
      </c>
      <c r="M47" s="60" t="n">
        <f aca="false">M44*'Assumption Setting'!$C$103/M6*M14</f>
        <v>1127.39033979465</v>
      </c>
      <c r="N47" s="60" t="n">
        <f aca="false">N44*'Assumption Setting'!$C$103/N6*N14</f>
        <v>1229.84133171401</v>
      </c>
      <c r="O47" s="59" t="n">
        <f aca="false">SUM(P47:AA47)</f>
        <v>42486.6923218323</v>
      </c>
      <c r="P47" s="60" t="n">
        <f aca="false">P44*'Assumption Setting'!$C$103/P6*P14</f>
        <v>1658.2962349588</v>
      </c>
      <c r="Q47" s="60" t="n">
        <f aca="false">Q44*'Assumption Setting'!$C$103/Q6*Q14</f>
        <v>1931.26242369482</v>
      </c>
      <c r="R47" s="60" t="n">
        <f aca="false">R44*'Assumption Setting'!$C$103/R6*R14</f>
        <v>2311.09217314204</v>
      </c>
      <c r="S47" s="60" t="n">
        <f aca="false">S44*'Assumption Setting'!$C$103/S6*S14</f>
        <v>2683.52525390631</v>
      </c>
      <c r="T47" s="60" t="n">
        <f aca="false">T44*'Assumption Setting'!$C$103/T6*T14</f>
        <v>3048.23719282225</v>
      </c>
      <c r="U47" s="60" t="n">
        <f aca="false">U44*'Assumption Setting'!$C$103/U6*U14</f>
        <v>3404.953868232</v>
      </c>
      <c r="V47" s="60" t="n">
        <f aca="false">V44*'Assumption Setting'!$C$103/V6*V14</f>
        <v>3753.44726875055</v>
      </c>
      <c r="W47" s="60" t="n">
        <f aca="false">W44*'Assumption Setting'!$C$103/W6*W14</f>
        <v>4093.53155503238</v>
      </c>
      <c r="X47" s="60" t="n">
        <f aca="false">X44*'Assumption Setting'!$C$103/X6*X14</f>
        <v>4425.05940440239</v>
      </c>
      <c r="Y47" s="60" t="n">
        <f aca="false">Y44*'Assumption Setting'!$C$103/Y6*Y14</f>
        <v>4747.91861950327</v>
      </c>
      <c r="Z47" s="60" t="n">
        <f aca="false">Z44*'Assumption Setting'!$C$103/Z6*Z14</f>
        <v>5062.02898331923</v>
      </c>
      <c r="AA47" s="60" t="n">
        <f aca="false">AA44*'Assumption Setting'!$C$103/AA6*AA14</f>
        <v>5367.33934406825</v>
      </c>
      <c r="AB47" s="59" t="n">
        <f aca="false">SUM(AC47:AN47)</f>
        <v>132693.307995303</v>
      </c>
      <c r="AC47" s="60" t="n">
        <f aca="false">AC44*'Assumption Setting'!$C$103/AC6*AC14</f>
        <v>6975.16599747024</v>
      </c>
      <c r="AD47" s="60" t="n">
        <f aca="false">AD44*'Assumption Setting'!$C$103/AD6*AD14</f>
        <v>7621.10217699024</v>
      </c>
      <c r="AE47" s="60" t="n">
        <f aca="false">AE44*'Assumption Setting'!$C$103/AE6*AE14</f>
        <v>8436.87352098272</v>
      </c>
      <c r="AF47" s="60" t="n">
        <f aca="false">AF44*'Assumption Setting'!$C$103/AF6*AF14</f>
        <v>9235.20788121997</v>
      </c>
      <c r="AG47" s="60" t="n">
        <f aca="false">AG44*'Assumption Setting'!$C$103/AG6*AG14</f>
        <v>10015.6910559042</v>
      </c>
      <c r="AH47" s="60" t="n">
        <f aca="false">AH44*'Assumption Setting'!$C$103/AH6*AH14</f>
        <v>10777.9848632507</v>
      </c>
      <c r="AI47" s="60" t="n">
        <f aca="false">AI44*'Assumption Setting'!$C$103/AI6*AI14</f>
        <v>11521.8209227909</v>
      </c>
      <c r="AJ47" s="60" t="n">
        <f aca="false">AJ44*'Assumption Setting'!$C$103/AJ6*AJ14</f>
        <v>12246.9948581995</v>
      </c>
      <c r="AK47" s="60" t="n">
        <f aca="false">AK44*'Assumption Setting'!$C$103/AK6*AK14</f>
        <v>12953.3608952642</v>
      </c>
      <c r="AL47" s="60" t="n">
        <f aca="false">AL44*'Assumption Setting'!$C$103/AL6*AL14</f>
        <v>13640.8268302023</v>
      </c>
      <c r="AM47" s="60" t="n">
        <f aca="false">AM44*'Assumption Setting'!$C$103/AM6*AM14</f>
        <v>14309.3493450192</v>
      </c>
      <c r="AN47" s="60" t="n">
        <f aca="false">AN44*'Assumption Setting'!$C$103/AN6*AN14</f>
        <v>14958.9296480092</v>
      </c>
      <c r="AO47" s="59" t="n">
        <f aca="false">SUM(AP47:BA47)</f>
        <v>303142.632497989</v>
      </c>
      <c r="AP47" s="60" t="n">
        <f aca="false">AP44*'Assumption Setting'!$C$103/AP6*AP14</f>
        <v>18565.5044845678</v>
      </c>
      <c r="AQ47" s="60" t="n">
        <f aca="false">AQ44*'Assumption Setting'!$C$103/AQ6*AQ14</f>
        <v>19712.3644516936</v>
      </c>
      <c r="AR47" s="60" t="n">
        <f aca="false">AR44*'Assumption Setting'!$C$103/AR6*AR14</f>
        <v>21039.5311584235</v>
      </c>
      <c r="AS47" s="60" t="n">
        <f aca="false">AS44*'Assumption Setting'!$C$103/AS6*AS14</f>
        <v>22335.1710721206</v>
      </c>
      <c r="AT47" s="60" t="n">
        <f aca="false">AT44*'Assumption Setting'!$C$103/AT6*AT14</f>
        <v>23599.0211987395</v>
      </c>
      <c r="AU47" s="60" t="n">
        <f aca="false">AU44*'Assumption Setting'!$C$103/AU6*AU14</f>
        <v>24830.9022769536</v>
      </c>
      <c r="AV47" s="60" t="n">
        <f aca="false">AV44*'Assumption Setting'!$C$103/AV6*AV14</f>
        <v>26030.711919908</v>
      </c>
      <c r="AW47" s="60" t="n">
        <f aca="false">AW44*'Assumption Setting'!$C$103/AW6*AW14</f>
        <v>27198.4182034625</v>
      </c>
      <c r="AX47" s="60" t="n">
        <f aca="false">AX44*'Assumption Setting'!$C$103/AX6*AX14</f>
        <v>28334.0536744466</v>
      </c>
      <c r="AY47" s="60" t="n">
        <f aca="false">AY44*'Assumption Setting'!$C$103/AY6*AY14</f>
        <v>29437.7097539407</v>
      </c>
      <c r="AZ47" s="60" t="n">
        <f aca="false">AZ44*'Assumption Setting'!$C$103/AZ6*AZ14</f>
        <v>30509.531512018</v>
      </c>
      <c r="BA47" s="60" t="n">
        <f aca="false">BA44*'Assumption Setting'!$C$103/BA6*BA14</f>
        <v>31549.7127917147</v>
      </c>
      <c r="BB47" s="59" t="n">
        <f aca="false">SUM(BC47:BN47)</f>
        <v>546355.011748796</v>
      </c>
      <c r="BC47" s="60" t="n">
        <f aca="false">BC44*'Assumption Setting'!$C$103/BC6*BC14</f>
        <v>37575.2760198818</v>
      </c>
      <c r="BD47" s="60" t="n">
        <f aca="false">BD44*'Assumption Setting'!$C$103/BD6*BD14</f>
        <v>39019.1928891454</v>
      </c>
      <c r="BE47" s="60" t="n">
        <f aca="false">BE44*'Assumption Setting'!$C$103/BE6*BE14</f>
        <v>40579.9252548186</v>
      </c>
      <c r="BF47" s="60" t="n">
        <f aca="false">BF44*'Assumption Setting'!$C$103/BF6*BF14</f>
        <v>42102.8989551455</v>
      </c>
      <c r="BG47" s="60" t="n">
        <f aca="false">BG44*'Assumption Setting'!$C$103/BG6*BG14</f>
        <v>43587.8754852474</v>
      </c>
      <c r="BH47" s="60" t="n">
        <f aca="false">BH44*'Assumption Setting'!$C$103/BH6*BH14</f>
        <v>45034.7035024449</v>
      </c>
      <c r="BI47" s="60" t="n">
        <f aca="false">BI44*'Assumption Setting'!$C$103/BI6*BI14</f>
        <v>46443.3119290126</v>
      </c>
      <c r="BJ47" s="60" t="n">
        <f aca="false">BJ44*'Assumption Setting'!$C$103/BJ6*BJ14</f>
        <v>47813.7034844924</v>
      </c>
      <c r="BK47" s="60" t="n">
        <f aca="false">BK44*'Assumption Setting'!$C$103/BK6*BK14</f>
        <v>49145.948623288</v>
      </c>
      <c r="BL47" s="60" t="n">
        <f aca="false">BL44*'Assumption Setting'!$C$103/BL6*BL14</f>
        <v>50440.1798545695</v>
      </c>
      <c r="BM47" s="60" t="n">
        <f aca="false">BM44*'Assumption Setting'!$C$103/BM6*BM14</f>
        <v>51696.5864227535</v>
      </c>
      <c r="BN47" s="60" t="n">
        <f aca="false">BN44*'Assumption Setting'!$C$103/BN6*BN14</f>
        <v>52915.4093279967</v>
      </c>
    </row>
    <row r="48" customFormat="false" ht="15" hidden="false" customHeight="false" outlineLevel="0" collapsed="false">
      <c r="A48" s="4" t="s">
        <v>785</v>
      </c>
      <c r="B48" s="59" t="n">
        <f aca="false">SUM(C48:N48)</f>
        <v>7367.77727592896</v>
      </c>
      <c r="C48" s="60" t="n">
        <f aca="false">C45*'Assumption Setting'!$C$104/C6*C14</f>
        <v>0</v>
      </c>
      <c r="D48" s="60" t="n">
        <f aca="false">D45*'Assumption Setting'!$C$104/D6*D14</f>
        <v>58.5862889910839</v>
      </c>
      <c r="E48" s="60" t="n">
        <f aca="false">E45*'Assumption Setting'!$C$104/E6*E14</f>
        <v>176.382511940154</v>
      </c>
      <c r="F48" s="60" t="n">
        <f aca="false">F45*'Assumption Setting'!$C$104/F6*F14</f>
        <v>296.532742690472</v>
      </c>
      <c r="G48" s="60" t="n">
        <f aca="false">G45*'Assumption Setting'!$C$104/G6*G14</f>
        <v>418.744167915522</v>
      </c>
      <c r="H48" s="60" t="n">
        <f aca="false">H45*'Assumption Setting'!$C$104/H6*H14</f>
        <v>542.064700723412</v>
      </c>
      <c r="I48" s="60" t="n">
        <f aca="false">I45*'Assumption Setting'!$C$104/I6*I14</f>
        <v>666.255438451811</v>
      </c>
      <c r="J48" s="60" t="n">
        <f aca="false">J45*'Assumption Setting'!$C$104/J6*J14</f>
        <v>791.088121952853</v>
      </c>
      <c r="K48" s="60" t="n">
        <f aca="false">K45*'Assumption Setting'!$C$104/K6*K14</f>
        <v>916.345133241674</v>
      </c>
      <c r="L48" s="60" t="n">
        <f aca="false">L45*'Assumption Setting'!$C$104/L6*L14</f>
        <v>1041.81944429306</v>
      </c>
      <c r="M48" s="60" t="n">
        <f aca="false">M45*'Assumption Setting'!$C$104/M6*M14</f>
        <v>1167.31452310957</v>
      </c>
      <c r="N48" s="60" t="n">
        <f aca="false">N45*'Assumption Setting'!$C$104/N6*N14</f>
        <v>1292.64420261935</v>
      </c>
      <c r="O48" s="59" t="n">
        <f aca="false">SUM(P48:AA48)</f>
        <v>47020.5955724719</v>
      </c>
      <c r="P48" s="60" t="n">
        <f aca="false">P45*'Assumption Setting'!$C$104/P6*P14</f>
        <v>1706.05955433483</v>
      </c>
      <c r="Q48" s="60" t="n">
        <f aca="false">Q45*'Assumption Setting'!$C$104/Q6*Q14</f>
        <v>2001.82762305562</v>
      </c>
      <c r="R48" s="60" t="n">
        <f aca="false">R45*'Assumption Setting'!$C$104/R6*R14</f>
        <v>2414.72277526048</v>
      </c>
      <c r="S48" s="60" t="n">
        <f aca="false">S45*'Assumption Setting'!$C$104/S6*S14</f>
        <v>2832.9714121723</v>
      </c>
      <c r="T48" s="60" t="n">
        <f aca="false">T45*'Assumption Setting'!$C$104/T6*T14</f>
        <v>3255.87150828434</v>
      </c>
      <c r="U48" s="60" t="n">
        <f aca="false">U45*'Assumption Setting'!$C$104/U6*U14</f>
        <v>3681.76543290783</v>
      </c>
      <c r="V48" s="60" t="n">
        <f aca="false">V45*'Assumption Setting'!$C$104/V6*V14</f>
        <v>4110.03778062365</v>
      </c>
      <c r="W48" s="60" t="n">
        <f aca="false">W45*'Assumption Setting'!$C$104/W6*W14</f>
        <v>4540.09607494079</v>
      </c>
      <c r="X48" s="60" t="n">
        <f aca="false">X45*'Assumption Setting'!$C$104/X6*X14</f>
        <v>4971.37092774158</v>
      </c>
      <c r="Y48" s="60" t="n">
        <f aca="false">Y45*'Assumption Setting'!$C$104/Y6*Y14</f>
        <v>5403.31609890824</v>
      </c>
      <c r="Z48" s="60" t="n">
        <f aca="false">Z45*'Assumption Setting'!$C$104/Z6*Z14</f>
        <v>5835.40846658033</v>
      </c>
      <c r="AA48" s="60" t="n">
        <f aca="false">AA45*'Assumption Setting'!$C$104/AA6*AA14</f>
        <v>6267.14791766194</v>
      </c>
      <c r="AB48" s="59" t="n">
        <f aca="false">SUM(AC48:AN48)</f>
        <v>162035.62620528</v>
      </c>
      <c r="AC48" s="60" t="n">
        <f aca="false">AC45*'Assumption Setting'!$C$104/AC6*AC14</f>
        <v>8006.23865650092</v>
      </c>
      <c r="AD48" s="60" t="n">
        <f aca="false">AD45*'Assumption Setting'!$C$104/AD6*AD14</f>
        <v>8817.99629047089</v>
      </c>
      <c r="AE48" s="60" t="n">
        <f aca="false">AE45*'Assumption Setting'!$C$104/AE6*AE14</f>
        <v>9834.71257015199</v>
      </c>
      <c r="AF48" s="60" t="n">
        <f aca="false">AF45*'Assumption Setting'!$C$104/AF6*AF14</f>
        <v>10861.5676604041</v>
      </c>
      <c r="AG48" s="60" t="n">
        <f aca="false">AG45*'Assumption Setting'!$C$104/AG6*AG14</f>
        <v>11897.1489104804</v>
      </c>
      <c r="AH48" s="60" t="n">
        <f aca="false">AH45*'Assumption Setting'!$C$104/AH6*AH14</f>
        <v>12938.6308288198</v>
      </c>
      <c r="AI48" s="60" t="n">
        <f aca="false">AI45*'Assumption Setting'!$C$104/AI6*AI14</f>
        <v>13984.7460058723</v>
      </c>
      <c r="AJ48" s="60" t="n">
        <f aca="false">AJ45*'Assumption Setting'!$C$104/AJ6*AJ14</f>
        <v>15034.2720717657</v>
      </c>
      <c r="AK48" s="60" t="n">
        <f aca="false">AK45*'Assumption Setting'!$C$104/AK6*AK14</f>
        <v>16086.0318462141</v>
      </c>
      <c r="AL48" s="60" t="n">
        <f aca="false">AL45*'Assumption Setting'!$C$104/AL6*AL14</f>
        <v>17138.8933351982</v>
      </c>
      <c r="AM48" s="60" t="n">
        <f aca="false">AM45*'Assumption Setting'!$C$104/AM6*AM14</f>
        <v>18191.7695895949</v>
      </c>
      <c r="AN48" s="60" t="n">
        <f aca="false">AN45*'Assumption Setting'!$C$104/AN6*AN14</f>
        <v>19243.618439807</v>
      </c>
      <c r="AO48" s="59" t="n">
        <f aca="false">SUM(AP48:BA48)</f>
        <v>402010.438274996</v>
      </c>
      <c r="AP48" s="60" t="n">
        <f aca="false">AP45*'Assumption Setting'!$C$104/AP6*AP14</f>
        <v>23558.4039405937</v>
      </c>
      <c r="AQ48" s="60" t="n">
        <f aca="false">AQ45*'Assumption Setting'!$C$104/AQ6*AQ14</f>
        <v>25148.2929380419</v>
      </c>
      <c r="AR48" s="60" t="n">
        <f aca="false">AR45*'Assumption Setting'!$C$104/AR6*AR14</f>
        <v>26983.6025591567</v>
      </c>
      <c r="AS48" s="60" t="n">
        <f aca="false">AS45*'Assumption Setting'!$C$104/AS6*AS14</f>
        <v>28828.7592707178</v>
      </c>
      <c r="AT48" s="60" t="n">
        <f aca="false">AT45*'Assumption Setting'!$C$104/AT6*AT14</f>
        <v>30681.7286414502</v>
      </c>
      <c r="AU48" s="60" t="n">
        <f aca="false">AU45*'Assumption Setting'!$C$104/AU6*AU14</f>
        <v>32539.2023356471</v>
      </c>
      <c r="AV48" s="60" t="n">
        <f aca="false">AV45*'Assumption Setting'!$C$104/AV6*AV14</f>
        <v>34399.3339689565</v>
      </c>
      <c r="AW48" s="60" t="n">
        <f aca="false">AW45*'Assumption Setting'!$C$104/AW6*AW14</f>
        <v>36260.3464410478</v>
      </c>
      <c r="AX48" s="60" t="n">
        <f aca="false">AX45*'Assumption Setting'!$C$104/AX6*AX14</f>
        <v>38120.5315151668</v>
      </c>
      <c r="AY48" s="60" t="n">
        <f aca="false">AY45*'Assumption Setting'!$C$104/AY6*AY14</f>
        <v>39978.2492506941</v>
      </c>
      <c r="AZ48" s="60" t="n">
        <f aca="false">AZ45*'Assumption Setting'!$C$104/AZ6*AZ14</f>
        <v>41831.9273037461</v>
      </c>
      <c r="BA48" s="60" t="n">
        <f aca="false">BA45*'Assumption Setting'!$C$104/BA6*BA14</f>
        <v>43680.0601097775</v>
      </c>
      <c r="BB48" s="59" t="n">
        <f aca="false">SUM(BC48:BN48)</f>
        <v>783220.50065854</v>
      </c>
      <c r="BC48" s="60" t="n">
        <f aca="false">BC45*'Assumption Setting'!$C$104/BC6*BC14</f>
        <v>51518.8504830181</v>
      </c>
      <c r="BD48" s="60" t="n">
        <f aca="false">BD45*'Assumption Setting'!$C$104/BD6*BD14</f>
        <v>53894.7033051067</v>
      </c>
      <c r="BE48" s="60" t="n">
        <f aca="false">BE45*'Assumption Setting'!$C$104/BE6*BE14</f>
        <v>56423.759103246</v>
      </c>
      <c r="BF48" s="60" t="n">
        <f aca="false">BF45*'Assumption Setting'!$C$104/BF6*BF14</f>
        <v>58956.0188684024</v>
      </c>
      <c r="BG48" s="60" t="n">
        <f aca="false">BG45*'Assumption Setting'!$C$104/BG6*BG14</f>
        <v>61489.3867375252</v>
      </c>
      <c r="BH48" s="60" t="n">
        <f aca="false">BH45*'Assumption Setting'!$C$104/BH6*BH14</f>
        <v>64020.4895136677</v>
      </c>
      <c r="BI48" s="60" t="n">
        <f aca="false">BI45*'Assumption Setting'!$C$104/BI6*BI14</f>
        <v>66547.4167960118</v>
      </c>
      <c r="BJ48" s="60" t="n">
        <f aca="false">BJ45*'Assumption Setting'!$C$104/BJ6*BJ14</f>
        <v>69068.3278660048</v>
      </c>
      <c r="BK48" s="60" t="n">
        <f aca="false">BK45*'Assumption Setting'!$C$104/BK6*BK14</f>
        <v>71581.4514288884</v>
      </c>
      <c r="BL48" s="60" t="n">
        <f aca="false">BL45*'Assumption Setting'!$C$104/BL6*BL14</f>
        <v>74085.0852051074</v>
      </c>
      <c r="BM48" s="60" t="n">
        <f aca="false">BM45*'Assumption Setting'!$C$104/BM6*BM14</f>
        <v>76577.595385817</v>
      </c>
      <c r="BN48" s="60" t="n">
        <f aca="false">BN45*'Assumption Setting'!$C$104/BN6*BN14</f>
        <v>79057.4159657446</v>
      </c>
    </row>
    <row r="49" customFormat="false" ht="15" hidden="false" customHeight="false" outlineLevel="0" collapsed="false">
      <c r="A49" s="13" t="s">
        <v>786</v>
      </c>
      <c r="B49" s="59" t="n">
        <f aca="false">SUM(C49:N49)</f>
        <v>14741.2277129893</v>
      </c>
      <c r="C49" s="61" t="n">
        <f aca="false">C47+C48</f>
        <v>0</v>
      </c>
      <c r="D49" s="61" t="n">
        <f aca="false">D47+D48</f>
        <v>124.099046029473</v>
      </c>
      <c r="E49" s="61" t="n">
        <f aca="false">E47+E48</f>
        <v>371.349907518227</v>
      </c>
      <c r="F49" s="61" t="n">
        <f aca="false">F47+F48</f>
        <v>618.369126012974</v>
      </c>
      <c r="G49" s="61" t="n">
        <f aca="false">G47+G48</f>
        <v>864.70841434041</v>
      </c>
      <c r="H49" s="61" t="n">
        <f aca="false">H47+H48</f>
        <v>1109.28574290198</v>
      </c>
      <c r="I49" s="61" t="n">
        <f aca="false">I47+I48</f>
        <v>1351.75538706221</v>
      </c>
      <c r="J49" s="61" t="n">
        <f aca="false">J47+J48</f>
        <v>1591.8031709796</v>
      </c>
      <c r="K49" s="61" t="n">
        <f aca="false">K47+K48</f>
        <v>1829.144430021</v>
      </c>
      <c r="L49" s="61" t="n">
        <f aca="false">L47+L48</f>
        <v>2063.52209088587</v>
      </c>
      <c r="M49" s="61" t="n">
        <f aca="false">M47+M48</f>
        <v>2294.70486290422</v>
      </c>
      <c r="N49" s="61" t="n">
        <f aca="false">N47+N48</f>
        <v>2522.48553433335</v>
      </c>
      <c r="O49" s="59" t="n">
        <f aca="false">SUM(P49:AA49)</f>
        <v>89507.2878943042</v>
      </c>
      <c r="P49" s="61" t="n">
        <f aca="false">P47+P48</f>
        <v>3364.35578929363</v>
      </c>
      <c r="Q49" s="61" t="n">
        <f aca="false">Q47+Q48</f>
        <v>3933.09004675045</v>
      </c>
      <c r="R49" s="61" t="n">
        <f aca="false">R47+R48</f>
        <v>4725.81494840252</v>
      </c>
      <c r="S49" s="61" t="n">
        <f aca="false">S47+S48</f>
        <v>5516.49666607861</v>
      </c>
      <c r="T49" s="61" t="n">
        <f aca="false">T47+T48</f>
        <v>6304.10870110659</v>
      </c>
      <c r="U49" s="61" t="n">
        <f aca="false">U47+U48</f>
        <v>7086.71930113982</v>
      </c>
      <c r="V49" s="61" t="n">
        <f aca="false">V47+V48</f>
        <v>7863.4850493742</v>
      </c>
      <c r="W49" s="61" t="n">
        <f aca="false">W47+W48</f>
        <v>8633.62762997317</v>
      </c>
      <c r="X49" s="61" t="n">
        <f aca="false">X47+X48</f>
        <v>9396.43033214397</v>
      </c>
      <c r="Y49" s="61" t="n">
        <f aca="false">Y47+Y48</f>
        <v>10151.2347184115</v>
      </c>
      <c r="Z49" s="61" t="n">
        <f aca="false">Z47+Z48</f>
        <v>10897.4374498996</v>
      </c>
      <c r="AA49" s="61" t="n">
        <f aca="false">AA47+AA48</f>
        <v>11634.4872617302</v>
      </c>
      <c r="AB49" s="59" t="n">
        <f aca="false">SUM(AC49:AN49)</f>
        <v>294728.934200584</v>
      </c>
      <c r="AC49" s="61" t="n">
        <f aca="false">AC47+AC48</f>
        <v>14981.4046539712</v>
      </c>
      <c r="AD49" s="61" t="n">
        <f aca="false">AD47+AD48</f>
        <v>16439.0984674611</v>
      </c>
      <c r="AE49" s="61" t="n">
        <f aca="false">AE47+AE48</f>
        <v>18271.5860911347</v>
      </c>
      <c r="AF49" s="61" t="n">
        <f aca="false">AF47+AF48</f>
        <v>20096.7755416241</v>
      </c>
      <c r="AG49" s="61" t="n">
        <f aca="false">AG47+AG48</f>
        <v>21912.8399663846</v>
      </c>
      <c r="AH49" s="61" t="n">
        <f aca="false">AH47+AH48</f>
        <v>23716.6156920705</v>
      </c>
      <c r="AI49" s="61" t="n">
        <f aca="false">AI47+AI48</f>
        <v>25506.5669286632</v>
      </c>
      <c r="AJ49" s="61" t="n">
        <f aca="false">AJ47+AJ48</f>
        <v>27281.2669299652</v>
      </c>
      <c r="AK49" s="61" t="n">
        <f aca="false">AK47+AK48</f>
        <v>29039.3927414783</v>
      </c>
      <c r="AL49" s="61" t="n">
        <f aca="false">AL47+AL48</f>
        <v>30779.7201654004</v>
      </c>
      <c r="AM49" s="61" t="n">
        <f aca="false">AM47+AM48</f>
        <v>32501.118934614</v>
      </c>
      <c r="AN49" s="61" t="n">
        <f aca="false">AN47+AN48</f>
        <v>34202.5480878162</v>
      </c>
      <c r="AO49" s="59" t="n">
        <f aca="false">SUM(AP49:BA49)</f>
        <v>705153.070772985</v>
      </c>
      <c r="AP49" s="61" t="n">
        <f aca="false">AP47+AP48</f>
        <v>42123.9084251616</v>
      </c>
      <c r="AQ49" s="61" t="n">
        <f aca="false">AQ47+AQ48</f>
        <v>44860.6573897355</v>
      </c>
      <c r="AR49" s="61" t="n">
        <f aca="false">AR47+AR48</f>
        <v>48023.1337175803</v>
      </c>
      <c r="AS49" s="61" t="n">
        <f aca="false">AS47+AS48</f>
        <v>51163.9303428384</v>
      </c>
      <c r="AT49" s="61" t="n">
        <f aca="false">AT47+AT48</f>
        <v>54280.7498401897</v>
      </c>
      <c r="AU49" s="61" t="n">
        <f aca="false">AU47+AU48</f>
        <v>57370.1046126007</v>
      </c>
      <c r="AV49" s="61" t="n">
        <f aca="false">AV47+AV48</f>
        <v>60430.0458888644</v>
      </c>
      <c r="AW49" s="61" t="n">
        <f aca="false">AW47+AW48</f>
        <v>63458.7646445103</v>
      </c>
      <c r="AX49" s="61" t="n">
        <f aca="false">AX47+AX48</f>
        <v>66454.5851896134</v>
      </c>
      <c r="AY49" s="61" t="n">
        <f aca="false">AY47+AY48</f>
        <v>69415.9590046348</v>
      </c>
      <c r="AZ49" s="61" t="n">
        <f aca="false">AZ47+AZ48</f>
        <v>72341.4588157641</v>
      </c>
      <c r="BA49" s="61" t="n">
        <f aca="false">BA47+BA48</f>
        <v>75229.7729014922</v>
      </c>
      <c r="BB49" s="59" t="n">
        <f aca="false">SUM(BC49:BN49)</f>
        <v>1329575.51240734</v>
      </c>
      <c r="BC49" s="61" t="n">
        <f aca="false">BC47+BC48</f>
        <v>89094.1265028999</v>
      </c>
      <c r="BD49" s="61" t="n">
        <f aca="false">BD47+BD48</f>
        <v>92913.8961942521</v>
      </c>
      <c r="BE49" s="61" t="n">
        <f aca="false">BE47+BE48</f>
        <v>97003.6843580646</v>
      </c>
      <c r="BF49" s="61" t="n">
        <f aca="false">BF47+BF48</f>
        <v>101058.917823548</v>
      </c>
      <c r="BG49" s="61" t="n">
        <f aca="false">BG47+BG48</f>
        <v>105077.262222773</v>
      </c>
      <c r="BH49" s="61" t="n">
        <f aca="false">BH47+BH48</f>
        <v>109055.193016113</v>
      </c>
      <c r="BI49" s="61" t="n">
        <f aca="false">BI47+BI48</f>
        <v>112990.728725024</v>
      </c>
      <c r="BJ49" s="61" t="n">
        <f aca="false">BJ47+BJ48</f>
        <v>116882.031350497</v>
      </c>
      <c r="BK49" s="61" t="n">
        <f aca="false">BK47+BK48</f>
        <v>120727.400052176</v>
      </c>
      <c r="BL49" s="61" t="n">
        <f aca="false">BL47+BL48</f>
        <v>124525.265059677</v>
      </c>
      <c r="BM49" s="61" t="n">
        <f aca="false">BM47+BM48</f>
        <v>128274.18180857</v>
      </c>
      <c r="BN49" s="61" t="n">
        <f aca="false">BN47+BN48</f>
        <v>131972.825293741</v>
      </c>
    </row>
    <row r="51" customFormat="false" ht="15" hidden="false" customHeight="false" outlineLevel="0" collapsed="false">
      <c r="A51" s="9" t="s">
        <v>787</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row>
    <row r="52" customFormat="false" ht="15" hidden="false" customHeight="false" outlineLevel="0" collapsed="false">
      <c r="A52" s="56" t="s">
        <v>632</v>
      </c>
      <c r="B52" s="57" t="s">
        <v>87</v>
      </c>
      <c r="C52" s="58" t="s">
        <v>562</v>
      </c>
      <c r="D52" s="58" t="s">
        <v>563</v>
      </c>
      <c r="E52" s="58" t="s">
        <v>564</v>
      </c>
      <c r="F52" s="58" t="s">
        <v>565</v>
      </c>
      <c r="G52" s="58" t="s">
        <v>566</v>
      </c>
      <c r="H52" s="58" t="s">
        <v>567</v>
      </c>
      <c r="I52" s="58" t="s">
        <v>568</v>
      </c>
      <c r="J52" s="58" t="s">
        <v>569</v>
      </c>
      <c r="K52" s="58" t="s">
        <v>570</v>
      </c>
      <c r="L52" s="58" t="s">
        <v>571</v>
      </c>
      <c r="M52" s="58" t="s">
        <v>572</v>
      </c>
      <c r="N52" s="58" t="s">
        <v>573</v>
      </c>
      <c r="O52" s="57" t="s">
        <v>88</v>
      </c>
      <c r="P52" s="58" t="s">
        <v>574</v>
      </c>
      <c r="Q52" s="58" t="s">
        <v>575</v>
      </c>
      <c r="R52" s="58" t="s">
        <v>576</v>
      </c>
      <c r="S52" s="58" t="s">
        <v>577</v>
      </c>
      <c r="T52" s="58" t="s">
        <v>578</v>
      </c>
      <c r="U52" s="58" t="s">
        <v>579</v>
      </c>
      <c r="V52" s="58" t="s">
        <v>580</v>
      </c>
      <c r="W52" s="58" t="s">
        <v>581</v>
      </c>
      <c r="X52" s="58" t="s">
        <v>582</v>
      </c>
      <c r="Y52" s="58" t="s">
        <v>583</v>
      </c>
      <c r="Z52" s="58" t="s">
        <v>584</v>
      </c>
      <c r="AA52" s="58" t="s">
        <v>585</v>
      </c>
      <c r="AB52" s="57" t="s">
        <v>89</v>
      </c>
      <c r="AC52" s="58" t="s">
        <v>586</v>
      </c>
      <c r="AD52" s="58" t="s">
        <v>587</v>
      </c>
      <c r="AE52" s="58" t="s">
        <v>588</v>
      </c>
      <c r="AF52" s="58" t="s">
        <v>589</v>
      </c>
      <c r="AG52" s="58" t="s">
        <v>590</v>
      </c>
      <c r="AH52" s="58" t="s">
        <v>591</v>
      </c>
      <c r="AI52" s="58" t="s">
        <v>592</v>
      </c>
      <c r="AJ52" s="58" t="s">
        <v>593</v>
      </c>
      <c r="AK52" s="58" t="s">
        <v>594</v>
      </c>
      <c r="AL52" s="58" t="s">
        <v>595</v>
      </c>
      <c r="AM52" s="58" t="s">
        <v>596</v>
      </c>
      <c r="AN52" s="58" t="s">
        <v>597</v>
      </c>
      <c r="AO52" s="57" t="s">
        <v>90</v>
      </c>
      <c r="AP52" s="58" t="s">
        <v>598</v>
      </c>
      <c r="AQ52" s="58" t="s">
        <v>599</v>
      </c>
      <c r="AR52" s="58" t="s">
        <v>600</v>
      </c>
      <c r="AS52" s="58" t="s">
        <v>601</v>
      </c>
      <c r="AT52" s="58" t="s">
        <v>602</v>
      </c>
      <c r="AU52" s="58" t="s">
        <v>603</v>
      </c>
      <c r="AV52" s="58" t="s">
        <v>604</v>
      </c>
      <c r="AW52" s="58" t="s">
        <v>605</v>
      </c>
      <c r="AX52" s="58" t="s">
        <v>606</v>
      </c>
      <c r="AY52" s="58" t="s">
        <v>607</v>
      </c>
      <c r="AZ52" s="58" t="s">
        <v>608</v>
      </c>
      <c r="BA52" s="58" t="s">
        <v>609</v>
      </c>
      <c r="BB52" s="57" t="s">
        <v>91</v>
      </c>
      <c r="BC52" s="58" t="s">
        <v>610</v>
      </c>
      <c r="BD52" s="58" t="s">
        <v>611</v>
      </c>
      <c r="BE52" s="58" t="s">
        <v>612</v>
      </c>
      <c r="BF52" s="58" t="s">
        <v>613</v>
      </c>
      <c r="BG52" s="58" t="s">
        <v>614</v>
      </c>
      <c r="BH52" s="58" t="s">
        <v>615</v>
      </c>
      <c r="BI52" s="58" t="s">
        <v>616</v>
      </c>
      <c r="BJ52" s="58" t="s">
        <v>617</v>
      </c>
      <c r="BK52" s="58" t="s">
        <v>618</v>
      </c>
      <c r="BL52" s="58" t="s">
        <v>619</v>
      </c>
      <c r="BM52" s="58" t="s">
        <v>620</v>
      </c>
      <c r="BN52" s="58" t="s">
        <v>621</v>
      </c>
    </row>
    <row r="53" customFormat="false" ht="15" hidden="false" customHeight="false" outlineLevel="0" collapsed="false">
      <c r="A53" s="4" t="s">
        <v>788</v>
      </c>
      <c r="B53" s="65" t="n">
        <f aca="false">SUM(C53:N53)</f>
        <v>33.5455506246476</v>
      </c>
      <c r="C53" s="68" t="n">
        <f aca="false">Acquisitions!C128*'Assumption Setting'!$C$115*C15</f>
        <v>0</v>
      </c>
      <c r="D53" s="68" t="n">
        <f aca="false">Acquisitions!D128*'Assumption Setting'!$C$115*D15</f>
        <v>0</v>
      </c>
      <c r="E53" s="68" t="n">
        <f aca="false">Acquisitions!E128*'Assumption Setting'!$C$115*E15</f>
        <v>0</v>
      </c>
      <c r="F53" s="68" t="n">
        <f aca="false">Acquisitions!F128*'Assumption Setting'!$C$115*F15</f>
        <v>3.24588276446102</v>
      </c>
      <c r="G53" s="68" t="n">
        <f aca="false">Acquisitions!G128*'Assumption Setting'!$C$115*G15</f>
        <v>3.37736014823047</v>
      </c>
      <c r="H53" s="68" t="n">
        <f aca="false">Acquisitions!H128*'Assumption Setting'!$C$115*H15</f>
        <v>3.50378880046318</v>
      </c>
      <c r="I53" s="68" t="n">
        <f aca="false">Acquisitions!I128*'Assumption Setting'!$C$115*I15</f>
        <v>3.62536259245016</v>
      </c>
      <c r="J53" s="68" t="n">
        <f aca="false">Acquisitions!J128*'Assumption Setting'!$C$115*J15</f>
        <v>3.74226795082483</v>
      </c>
      <c r="K53" s="68" t="n">
        <f aca="false">Acquisitions!K128*'Assumption Setting'!$C$115*K15</f>
        <v>3.85468414343792</v>
      </c>
      <c r="L53" s="68" t="n">
        <f aca="false">Acquisitions!L128*'Assumption Setting'!$C$115*L15</f>
        <v>3.96278355425466</v>
      </c>
      <c r="M53" s="68" t="n">
        <f aca="false">Acquisitions!M128*'Assumption Setting'!$C$115*M15</f>
        <v>4.06673194769604</v>
      </c>
      <c r="N53" s="68" t="n">
        <f aca="false">Acquisitions!N128*'Assumption Setting'!$C$115*N15</f>
        <v>4.16668872282927</v>
      </c>
      <c r="O53" s="65" t="n">
        <f aca="false">SUM(P53:AA53)</f>
        <v>124.529883125393</v>
      </c>
      <c r="P53" s="68" t="n">
        <f aca="false">Acquisitions!P128*'Assumption Setting'!$C$115*P15</f>
        <v>4.76885823585231</v>
      </c>
      <c r="Q53" s="68" t="n">
        <f aca="false">Acquisitions!Q128*'Assumption Setting'!$C$115*Q15</f>
        <v>9.4587732685637</v>
      </c>
      <c r="R53" s="68" t="n">
        <f aca="false">Acquisitions!R128*'Assumption Setting'!$C$115*R15</f>
        <v>9.77270345857718</v>
      </c>
      <c r="S53" s="68" t="n">
        <f aca="false">Acquisitions!S128*'Assumption Setting'!$C$115*S15</f>
        <v>10.0865444730282</v>
      </c>
      <c r="T53" s="68" t="n">
        <f aca="false">Acquisitions!T128*'Assumption Setting'!$C$115*T15</f>
        <v>10.3794903134205</v>
      </c>
      <c r="U53" s="68" t="n">
        <f aca="false">Acquisitions!U128*'Assumption Setting'!$C$115*U15</f>
        <v>10.6624759952393</v>
      </c>
      <c r="V53" s="68" t="n">
        <f aca="false">Acquisitions!V128*'Assumption Setting'!$C$115*V15</f>
        <v>10.9358401638764</v>
      </c>
      <c r="W53" s="68" t="n">
        <f aca="false">Acquisitions!W128*'Assumption Setting'!$C$115*W15</f>
        <v>11.1999099507798</v>
      </c>
      <c r="X53" s="68" t="n">
        <f aca="false">Acquisitions!X128*'Assumption Setting'!$C$115*X15</f>
        <v>11.4550013649284</v>
      </c>
      <c r="Y53" s="68" t="n">
        <f aca="false">Acquisitions!Y128*'Assumption Setting'!$C$115*Y15</f>
        <v>11.701419670996</v>
      </c>
      <c r="Z53" s="68" t="n">
        <f aca="false">Acquisitions!Z128*'Assumption Setting'!$C$115*Z15</f>
        <v>11.9394597546574</v>
      </c>
      <c r="AA53" s="68" t="n">
        <f aca="false">Acquisitions!AA128*'Assumption Setting'!$C$115*AA15</f>
        <v>12.1694064754742</v>
      </c>
      <c r="AB53" s="65" t="n">
        <f aca="false">SUM(AC53:AN53)</f>
        <v>267.422631348417</v>
      </c>
      <c r="AC53" s="68" t="n">
        <f aca="false">Acquisitions!AC128*'Assumption Setting'!$C$115*AC15</f>
        <v>13.7121316892757</v>
      </c>
      <c r="AD53" s="68" t="n">
        <f aca="false">Acquisitions!AD128*'Assumption Setting'!$C$115*AD15</f>
        <v>20.6471502766093</v>
      </c>
      <c r="AE53" s="68" t="n">
        <f aca="false">Acquisitions!AE128*'Assumption Setting'!$C$115*AE15</f>
        <v>21.1753834297258</v>
      </c>
      <c r="AF53" s="68" t="n">
        <f aca="false">Acquisitions!AF128*'Assumption Setting'!$C$115*AF15</f>
        <v>21.700994156653</v>
      </c>
      <c r="AG53" s="68" t="n">
        <f aca="false">Acquisitions!AG128*'Assumption Setting'!$C$115*AG15</f>
        <v>22.1963704469899</v>
      </c>
      <c r="AH53" s="68" t="n">
        <f aca="false">Acquisitions!AH128*'Assumption Setting'!$C$115*AH15</f>
        <v>22.6760928465521</v>
      </c>
      <c r="AI53" s="68" t="n">
        <f aca="false">Acquisitions!AI128*'Assumption Setting'!$C$115*AI15</f>
        <v>23.1406560182882</v>
      </c>
      <c r="AJ53" s="68" t="n">
        <f aca="false">Acquisitions!AJ128*'Assumption Setting'!$C$115*AJ15</f>
        <v>23.5905389937974</v>
      </c>
      <c r="AK53" s="68" t="n">
        <f aca="false">Acquisitions!AK128*'Assumption Setting'!$C$115*AK15</f>
        <v>24.0262056672805</v>
      </c>
      <c r="AL53" s="68" t="n">
        <f aca="false">Acquisitions!AL128*'Assumption Setting'!$C$115*AL15</f>
        <v>24.4481052738816</v>
      </c>
      <c r="AM53" s="68" t="n">
        <f aca="false">Acquisitions!AM128*'Assumption Setting'!$C$115*AM15</f>
        <v>24.856672852914</v>
      </c>
      <c r="AN53" s="68" t="n">
        <f aca="false">Acquisitions!AN128*'Assumption Setting'!$C$115*AN15</f>
        <v>25.2523296964491</v>
      </c>
      <c r="AO53" s="65" t="n">
        <f aca="false">SUM(AP53:BA53)</f>
        <v>447.133467298253</v>
      </c>
      <c r="AP53" s="68" t="n">
        <f aca="false">Acquisitions!AP128*'Assumption Setting'!$C$115*AP15</f>
        <v>27.6550867204338</v>
      </c>
      <c r="AQ53" s="68" t="n">
        <f aca="false">Acquisitions!AQ128*'Assumption Setting'!$C$115*AQ15</f>
        <v>35.0174379144464</v>
      </c>
      <c r="AR53" s="68" t="n">
        <f aca="false">Acquisitions!AR128*'Assumption Setting'!$C$115*AR15</f>
        <v>35.6968780169192</v>
      </c>
      <c r="AS53" s="68" t="n">
        <f aca="false">Acquisitions!AS128*'Assumption Setting'!$C$115*AS15</f>
        <v>36.367677369033</v>
      </c>
      <c r="AT53" s="68" t="n">
        <f aca="false">Acquisitions!AT128*'Assumption Setting'!$C$115*AT15</f>
        <v>37.0066989658676</v>
      </c>
      <c r="AU53" s="68" t="n">
        <f aca="false">Acquisitions!AU128*'Assumption Setting'!$C$115*AU15</f>
        <v>37.6264221104777</v>
      </c>
      <c r="AV53" s="68" t="n">
        <f aca="false">Acquisitions!AV128*'Assumption Setting'!$C$115*AV15</f>
        <v>38.2274296161206</v>
      </c>
      <c r="AW53" s="68" t="n">
        <f aca="false">Acquisitions!AW128*'Assumption Setting'!$C$115*AW15</f>
        <v>38.8102866950931</v>
      </c>
      <c r="AX53" s="68" t="n">
        <f aca="false">Acquisitions!AX128*'Assumption Setting'!$C$115*AX15</f>
        <v>39.3755414902806</v>
      </c>
      <c r="AY53" s="68" t="n">
        <f aca="false">Acquisitions!AY128*'Assumption Setting'!$C$115*AY15</f>
        <v>39.9237255906535</v>
      </c>
      <c r="AZ53" s="68" t="n">
        <f aca="false">Acquisitions!AZ128*'Assumption Setting'!$C$115*AZ15</f>
        <v>40.455354531195</v>
      </c>
      <c r="BA53" s="68" t="n">
        <f aca="false">Acquisitions!BA128*'Assumption Setting'!$C$115*BA15</f>
        <v>40.9709282777323</v>
      </c>
      <c r="BB53" s="65" t="n">
        <f aca="false">SUM(BC53:BN53)</f>
        <v>598.484091741613</v>
      </c>
      <c r="BC53" s="68" t="n">
        <f aca="false">Acquisitions!BC128*'Assumption Setting'!$C$115*BC15</f>
        <v>42.22783294387</v>
      </c>
      <c r="BD53" s="68" t="n">
        <f aca="false">Acquisitions!BD128*'Assumption Setting'!$C$115*BD15</f>
        <v>47.2958174820619</v>
      </c>
      <c r="BE53" s="68" t="n">
        <f aca="false">Acquisitions!BE128*'Assumption Setting'!$C$115*BE15</f>
        <v>48.0074167572117</v>
      </c>
      <c r="BF53" s="68" t="n">
        <f aca="false">Acquisitions!BF128*'Assumption Setting'!$C$115*BF15</f>
        <v>48.7094061305034</v>
      </c>
      <c r="BG53" s="68" t="n">
        <f aca="false">Acquisitions!BG128*'Assumption Setting'!$C$115*BG15</f>
        <v>49.3800547459905</v>
      </c>
      <c r="BH53" s="68" t="n">
        <f aca="false">Acquisitions!BH128*'Assumption Setting'!$C$115*BH15</f>
        <v>50.0311204219053</v>
      </c>
      <c r="BI53" s="68" t="n">
        <f aca="false">Acquisitions!BI128*'Assumption Setting'!$C$115*BI15</f>
        <v>50.6631749800834</v>
      </c>
      <c r="BJ53" s="68" t="n">
        <f aca="false">Acquisitions!BJ128*'Assumption Setting'!$C$115*BJ15</f>
        <v>51.2767735451627</v>
      </c>
      <c r="BK53" s="68" t="n">
        <f aca="false">Acquisitions!BK128*'Assumption Setting'!$C$115*BK15</f>
        <v>51.8724550321417</v>
      </c>
      <c r="BL53" s="68" t="n">
        <f aca="false">Acquisitions!BL128*'Assumption Setting'!$C$115*BL15</f>
        <v>52.450742619701</v>
      </c>
      <c r="BM53" s="68" t="n">
        <f aca="false">Acquisitions!BM128*'Assumption Setting'!$C$115*BM15</f>
        <v>53.0121442097034</v>
      </c>
      <c r="BN53" s="68" t="n">
        <f aca="false">Acquisitions!BN128*'Assumption Setting'!$C$115*BN15</f>
        <v>53.5571528732779</v>
      </c>
    </row>
    <row r="54" customFormat="false" ht="15" hidden="false" customHeight="false" outlineLevel="0" collapsed="false">
      <c r="A54" s="13" t="s">
        <v>789</v>
      </c>
      <c r="B54" s="59" t="n">
        <f aca="false">SUM(C54:N54)</f>
        <v>2201.57826800565</v>
      </c>
      <c r="C54" s="61" t="n">
        <f aca="false">C53*'Assumption Setting'!$C$114*C7/C6</f>
        <v>0</v>
      </c>
      <c r="D54" s="61" t="n">
        <f aca="false">D53*'Assumption Setting'!$C$114*D7/D6</f>
        <v>0</v>
      </c>
      <c r="E54" s="61" t="n">
        <f aca="false">E53*'Assumption Setting'!$C$114*E7/E6</f>
        <v>0</v>
      </c>
      <c r="F54" s="61" t="n">
        <f aca="false">F53*'Assumption Setting'!$C$114*F7/F6</f>
        <v>217.403824013703</v>
      </c>
      <c r="G54" s="61" t="n">
        <f aca="false">G53*'Assumption Setting'!$C$114*G7/G6</f>
        <v>225.114205524593</v>
      </c>
      <c r="H54" s="61" t="n">
        <f aca="false">H53*'Assumption Setting'!$C$114*H7/H6</f>
        <v>232.409900573805</v>
      </c>
      <c r="I54" s="61" t="n">
        <f aca="false">I53*'Assumption Setting'!$C$114*I7/I6</f>
        <v>239.309165279224</v>
      </c>
      <c r="J54" s="61" t="n">
        <f aca="false">J53*'Assumption Setting'!$C$114*J7/J6</f>
        <v>245.829467747153</v>
      </c>
      <c r="K54" s="61" t="n">
        <f aca="false">K53*'Assumption Setting'!$C$114*K7/K6</f>
        <v>251.987522011891</v>
      </c>
      <c r="L54" s="61" t="n">
        <f aca="false">L53*'Assumption Setting'!$C$114*L7/L6</f>
        <v>257.799320513889</v>
      </c>
      <c r="M54" s="61" t="n">
        <f aca="false">M53*'Assumption Setting'!$C$114*M7/M6</f>
        <v>263.280165179418</v>
      </c>
      <c r="N54" s="61" t="n">
        <f aca="false">N53*'Assumption Setting'!$C$114*N7/N6</f>
        <v>268.444697161969</v>
      </c>
      <c r="O54" s="59" t="n">
        <f aca="false">SUM(P54:AA54)</f>
        <v>8375.99103705939</v>
      </c>
      <c r="P54" s="61" t="n">
        <f aca="false">P53*'Assumption Setting'!$C$114*P7/P6</f>
        <v>330.212202445901</v>
      </c>
      <c r="Q54" s="61" t="n">
        <f aca="false">Q53*'Assumption Setting'!$C$114*Q7/Q6</f>
        <v>651.785506150057</v>
      </c>
      <c r="R54" s="61" t="n">
        <f aca="false">R53*'Assumption Setting'!$C$114*R7/R6</f>
        <v>670.155802302942</v>
      </c>
      <c r="S54" s="61" t="n">
        <f aca="false">S53*'Assumption Setting'!$C$114*S7/S6</f>
        <v>688.326748980205</v>
      </c>
      <c r="T54" s="61" t="n">
        <f aca="false">T53*'Assumption Setting'!$C$114*T7/T6</f>
        <v>704.886909031957</v>
      </c>
      <c r="U54" s="61" t="n">
        <f aca="false">U53*'Assumption Setting'!$C$114*U7/U6</f>
        <v>720.597351279003</v>
      </c>
      <c r="V54" s="61" t="n">
        <f aca="false">V53*'Assumption Setting'!$C$114*V7/V6</f>
        <v>735.491955467479</v>
      </c>
      <c r="W54" s="61" t="n">
        <f aca="false">W53*'Assumption Setting'!$C$114*W7/W6</f>
        <v>749.603285991152</v>
      </c>
      <c r="X54" s="61" t="n">
        <f aca="false">X53*'Assumption Setting'!$C$114*X7/X6</f>
        <v>762.962642792069</v>
      </c>
      <c r="Y54" s="61" t="n">
        <f aca="false">Y53*'Assumption Setting'!$C$114*Y7/Y6</f>
        <v>775.600110292298</v>
      </c>
      <c r="Z54" s="61" t="n">
        <f aca="false">Z53*'Assumption Setting'!$C$114*Z7/Z6</f>
        <v>787.544604432911</v>
      </c>
      <c r="AA54" s="61" t="n">
        <f aca="false">AA53*'Assumption Setting'!$C$114*AA7/AA6</f>
        <v>798.823917893412</v>
      </c>
      <c r="AB54" s="59" t="n">
        <f aca="false">SUM(AC54:AN54)</f>
        <v>18337.9043787047</v>
      </c>
      <c r="AC54" s="61" t="n">
        <f aca="false">AC53*'Assumption Setting'!$C$114*AC7/AC6</f>
        <v>967.38994992343</v>
      </c>
      <c r="AD54" s="61" t="n">
        <f aca="false">AD53*'Assumption Setting'!$C$114*AD7/AD6</f>
        <v>1449.59903884453</v>
      </c>
      <c r="AE54" s="61" t="n">
        <f aca="false">AE53*'Assumption Setting'!$C$114*AE7/AE6</f>
        <v>1479.48386960231</v>
      </c>
      <c r="AF54" s="61" t="n">
        <f aca="false">AF53*'Assumption Setting'!$C$114*AF7/AF6</f>
        <v>1508.86282787523</v>
      </c>
      <c r="AG54" s="61" t="n">
        <f aca="false">AG53*'Assumption Setting'!$C$114*AG7/AG6</f>
        <v>1535.83044245923</v>
      </c>
      <c r="AH54" s="61" t="n">
        <f aca="false">AH53*'Assumption Setting'!$C$114*AH7/AH6</f>
        <v>1561.42350138088</v>
      </c>
      <c r="AI54" s="61" t="n">
        <f aca="false">AI53*'Assumption Setting'!$C$114*AI7/AI6</f>
        <v>1585.69380612126</v>
      </c>
      <c r="AJ54" s="61" t="n">
        <f aca="false">AJ53*'Assumption Setting'!$C$114*AJ7/AJ6</f>
        <v>1608.69126895007</v>
      </c>
      <c r="AK54" s="61" t="n">
        <f aca="false">AK53*'Assumption Setting'!$C$114*AK7/AK6</f>
        <v>1630.46398153179</v>
      </c>
      <c r="AL54" s="61" t="n">
        <f aca="false">AL53*'Assumption Setting'!$C$114*AL7/AL6</f>
        <v>1651.05828104188</v>
      </c>
      <c r="AM54" s="61" t="n">
        <f aca="false">AM53*'Assumption Setting'!$C$114*AM7/AM6</f>
        <v>1670.51881388336</v>
      </c>
      <c r="AN54" s="61" t="n">
        <f aca="false">AN53*'Assumption Setting'!$C$114*AN7/AN6</f>
        <v>1688.88859709073</v>
      </c>
      <c r="AO54" s="59" t="n">
        <f aca="false">SUM(AP54:BA54)</f>
        <v>30966.4936955782</v>
      </c>
      <c r="AP54" s="61" t="n">
        <f aca="false">AP53*'Assumption Setting'!$C$114*AP7/AP6</f>
        <v>1969.47073937272</v>
      </c>
      <c r="AQ54" s="61" t="n">
        <f aca="false">AQ53*'Assumption Setting'!$C$114*AQ7/AQ6</f>
        <v>2481.70441541499</v>
      </c>
      <c r="AR54" s="61" t="n">
        <f aca="false">AR53*'Assumption Setting'!$C$114*AR7/AR6</f>
        <v>2517.60214046328</v>
      </c>
      <c r="AS54" s="61" t="n">
        <f aca="false">AS53*'Assumption Setting'!$C$114*AS7/AS6</f>
        <v>2552.48740317798</v>
      </c>
      <c r="AT54" s="61" t="n">
        <f aca="false">AT53*'Assumption Setting'!$C$114*AT7/AT6</f>
        <v>2584.75608897548</v>
      </c>
      <c r="AU54" s="61" t="n">
        <f aca="false">AU53*'Assumption Setting'!$C$114*AU7/AU6</f>
        <v>2615.31088255372</v>
      </c>
      <c r="AV54" s="61" t="n">
        <f aca="false">AV53*'Assumption Setting'!$C$114*AV7/AV6</f>
        <v>2644.21444201988</v>
      </c>
      <c r="AW54" s="61" t="n">
        <f aca="false">AW53*'Assumption Setting'!$C$114*AW7/AW6</f>
        <v>2671.52722506636</v>
      </c>
      <c r="AX54" s="61" t="n">
        <f aca="false">AX53*'Assumption Setting'!$C$114*AX7/AX6</f>
        <v>2697.30756582693</v>
      </c>
      <c r="AY54" s="61" t="n">
        <f aca="false">AY53*'Assumption Setting'!$C$114*AY7/AY6</f>
        <v>2721.61174905057</v>
      </c>
      <c r="AZ54" s="61" t="n">
        <f aca="false">AZ53*'Assumption Setting'!$C$114*AZ7/AZ6</f>
        <v>2744.49408168635</v>
      </c>
      <c r="BA54" s="61" t="n">
        <f aca="false">BA53*'Assumption Setting'!$C$114*BA7/BA6</f>
        <v>2766.00696196992</v>
      </c>
      <c r="BB54" s="59" t="n">
        <f aca="false">SUM(BC54:BN54)</f>
        <v>41465.2846288978</v>
      </c>
      <c r="BC54" s="61" t="n">
        <f aca="false">BC53*'Assumption Setting'!$C$114*BC7/BC6</f>
        <v>3007.27610116735</v>
      </c>
      <c r="BD54" s="61" t="n">
        <f aca="false">BD53*'Assumption Setting'!$C$114*BD7/BD6</f>
        <v>3351.87969384453</v>
      </c>
      <c r="BE54" s="61" t="n">
        <f aca="false">BE53*'Assumption Setting'!$C$114*BE7/BE6</f>
        <v>3385.8304115218</v>
      </c>
      <c r="BF54" s="61" t="n">
        <f aca="false">BF53*'Assumption Setting'!$C$114*BF7/BF6</f>
        <v>3418.69909103013</v>
      </c>
      <c r="BG54" s="61" t="n">
        <f aca="false">BG53*'Assumption Setting'!$C$114*BG7/BG6</f>
        <v>3448.9808803634</v>
      </c>
      <c r="BH54" s="61" t="n">
        <f aca="false">BH53*'Assumption Setting'!$C$114*BH7/BH6</f>
        <v>3477.52792762424</v>
      </c>
      <c r="BI54" s="61" t="n">
        <f aca="false">BI53*'Assumption Setting'!$C$114*BI7/BI6</f>
        <v>3504.40247503389</v>
      </c>
      <c r="BJ54" s="61" t="n">
        <f aca="false">BJ53*'Assumption Setting'!$C$114*BJ7/BJ6</f>
        <v>3529.6646380297</v>
      </c>
      <c r="BK54" s="61" t="n">
        <f aca="false">BK53*'Assumption Setting'!$C$114*BK7/BK6</f>
        <v>3553.37247744897</v>
      </c>
      <c r="BL54" s="61" t="n">
        <f aca="false">BL53*'Assumption Setting'!$C$114*BL7/BL6</f>
        <v>3575.58206926523</v>
      </c>
      <c r="BM54" s="61" t="n">
        <f aca="false">BM53*'Assumption Setting'!$C$114*BM7/BM6</f>
        <v>3596.34757195975</v>
      </c>
      <c r="BN54" s="61" t="n">
        <f aca="false">BN53*'Assumption Setting'!$C$114*BN7/BN6</f>
        <v>3615.7212916088</v>
      </c>
    </row>
    <row r="56" customFormat="false" ht="15" hidden="false" customHeight="false" outlineLevel="0" collapsed="false">
      <c r="A56" s="9" t="s">
        <v>790</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row>
    <row r="57" customFormat="false" ht="15" hidden="false" customHeight="false" outlineLevel="0" collapsed="false">
      <c r="A57" s="56" t="s">
        <v>632</v>
      </c>
      <c r="B57" s="57" t="s">
        <v>87</v>
      </c>
      <c r="C57" s="58" t="s">
        <v>562</v>
      </c>
      <c r="D57" s="58" t="s">
        <v>563</v>
      </c>
      <c r="E57" s="58" t="s">
        <v>564</v>
      </c>
      <c r="F57" s="58" t="s">
        <v>565</v>
      </c>
      <c r="G57" s="58" t="s">
        <v>566</v>
      </c>
      <c r="H57" s="58" t="s">
        <v>567</v>
      </c>
      <c r="I57" s="58" t="s">
        <v>568</v>
      </c>
      <c r="J57" s="58" t="s">
        <v>569</v>
      </c>
      <c r="K57" s="58" t="s">
        <v>570</v>
      </c>
      <c r="L57" s="58" t="s">
        <v>571</v>
      </c>
      <c r="M57" s="58" t="s">
        <v>572</v>
      </c>
      <c r="N57" s="58" t="s">
        <v>573</v>
      </c>
      <c r="O57" s="57" t="s">
        <v>88</v>
      </c>
      <c r="P57" s="58" t="s">
        <v>574</v>
      </c>
      <c r="Q57" s="58" t="s">
        <v>575</v>
      </c>
      <c r="R57" s="58" t="s">
        <v>576</v>
      </c>
      <c r="S57" s="58" t="s">
        <v>577</v>
      </c>
      <c r="T57" s="58" t="s">
        <v>578</v>
      </c>
      <c r="U57" s="58" t="s">
        <v>579</v>
      </c>
      <c r="V57" s="58" t="s">
        <v>580</v>
      </c>
      <c r="W57" s="58" t="s">
        <v>581</v>
      </c>
      <c r="X57" s="58" t="s">
        <v>582</v>
      </c>
      <c r="Y57" s="58" t="s">
        <v>583</v>
      </c>
      <c r="Z57" s="58" t="s">
        <v>584</v>
      </c>
      <c r="AA57" s="58" t="s">
        <v>585</v>
      </c>
      <c r="AB57" s="57" t="s">
        <v>89</v>
      </c>
      <c r="AC57" s="58" t="s">
        <v>586</v>
      </c>
      <c r="AD57" s="58" t="s">
        <v>587</v>
      </c>
      <c r="AE57" s="58" t="s">
        <v>588</v>
      </c>
      <c r="AF57" s="58" t="s">
        <v>589</v>
      </c>
      <c r="AG57" s="58" t="s">
        <v>590</v>
      </c>
      <c r="AH57" s="58" t="s">
        <v>591</v>
      </c>
      <c r="AI57" s="58" t="s">
        <v>592</v>
      </c>
      <c r="AJ57" s="58" t="s">
        <v>593</v>
      </c>
      <c r="AK57" s="58" t="s">
        <v>594</v>
      </c>
      <c r="AL57" s="58" t="s">
        <v>595</v>
      </c>
      <c r="AM57" s="58" t="s">
        <v>596</v>
      </c>
      <c r="AN57" s="58" t="s">
        <v>597</v>
      </c>
      <c r="AO57" s="57" t="s">
        <v>90</v>
      </c>
      <c r="AP57" s="58" t="s">
        <v>598</v>
      </c>
      <c r="AQ57" s="58" t="s">
        <v>599</v>
      </c>
      <c r="AR57" s="58" t="s">
        <v>600</v>
      </c>
      <c r="AS57" s="58" t="s">
        <v>601</v>
      </c>
      <c r="AT57" s="58" t="s">
        <v>602</v>
      </c>
      <c r="AU57" s="58" t="s">
        <v>603</v>
      </c>
      <c r="AV57" s="58" t="s">
        <v>604</v>
      </c>
      <c r="AW57" s="58" t="s">
        <v>605</v>
      </c>
      <c r="AX57" s="58" t="s">
        <v>606</v>
      </c>
      <c r="AY57" s="58" t="s">
        <v>607</v>
      </c>
      <c r="AZ57" s="58" t="s">
        <v>608</v>
      </c>
      <c r="BA57" s="58" t="s">
        <v>609</v>
      </c>
      <c r="BB57" s="57" t="s">
        <v>91</v>
      </c>
      <c r="BC57" s="58" t="s">
        <v>610</v>
      </c>
      <c r="BD57" s="58" t="s">
        <v>611</v>
      </c>
      <c r="BE57" s="58" t="s">
        <v>612</v>
      </c>
      <c r="BF57" s="58" t="s">
        <v>613</v>
      </c>
      <c r="BG57" s="58" t="s">
        <v>614</v>
      </c>
      <c r="BH57" s="58" t="s">
        <v>615</v>
      </c>
      <c r="BI57" s="58" t="s">
        <v>616</v>
      </c>
      <c r="BJ57" s="58" t="s">
        <v>617</v>
      </c>
      <c r="BK57" s="58" t="s">
        <v>618</v>
      </c>
      <c r="BL57" s="58" t="s">
        <v>619</v>
      </c>
      <c r="BM57" s="58" t="s">
        <v>620</v>
      </c>
      <c r="BN57" s="58" t="s">
        <v>621</v>
      </c>
    </row>
    <row r="58" customFormat="false" ht="15" hidden="false" customHeight="false" outlineLevel="0" collapsed="false">
      <c r="A58" s="4" t="s">
        <v>459</v>
      </c>
      <c r="B58" s="65" t="n">
        <f aca="false">IFERROR(AVERAGE(C58:N58),0)</f>
        <v>0</v>
      </c>
      <c r="C58" s="68" t="n">
        <f aca="false">Acquisitions!C125*'Assumption Setting'!$C$119*C16</f>
        <v>0</v>
      </c>
      <c r="D58" s="68" t="n">
        <f aca="false">Acquisitions!D125*'Assumption Setting'!$C$119*D16</f>
        <v>0</v>
      </c>
      <c r="E58" s="68" t="n">
        <f aca="false">Acquisitions!E125*'Assumption Setting'!$C$119*E16</f>
        <v>0</v>
      </c>
      <c r="F58" s="68" t="n">
        <f aca="false">Acquisitions!F125*'Assumption Setting'!$C$119*F16</f>
        <v>0</v>
      </c>
      <c r="G58" s="68" t="n">
        <f aca="false">Acquisitions!G125*'Assumption Setting'!$C$119*G16</f>
        <v>0</v>
      </c>
      <c r="H58" s="68" t="n">
        <f aca="false">Acquisitions!H125*'Assumption Setting'!$C$119*H16</f>
        <v>0</v>
      </c>
      <c r="I58" s="68" t="n">
        <f aca="false">Acquisitions!I125*'Assumption Setting'!$C$119*I16</f>
        <v>0</v>
      </c>
      <c r="J58" s="68" t="n">
        <f aca="false">Acquisitions!J125*'Assumption Setting'!$C$119*J16</f>
        <v>0</v>
      </c>
      <c r="K58" s="68" t="n">
        <f aca="false">Acquisitions!K125*'Assumption Setting'!$C$119*K16</f>
        <v>0</v>
      </c>
      <c r="L58" s="68" t="n">
        <f aca="false">Acquisitions!L125*'Assumption Setting'!$C$119*L16</f>
        <v>0</v>
      </c>
      <c r="M58" s="68" t="n">
        <f aca="false">Acquisitions!M125*'Assumption Setting'!$C$119*M16</f>
        <v>0</v>
      </c>
      <c r="N58" s="68" t="n">
        <f aca="false">Acquisitions!N125*'Assumption Setting'!$C$119*N16</f>
        <v>0</v>
      </c>
      <c r="O58" s="65" t="n">
        <f aca="false">IFERROR(AVERAGE(P58:AA58),0)</f>
        <v>139.880694542386</v>
      </c>
      <c r="P58" s="68" t="n">
        <f aca="false">Acquisitions!P125*'Assumption Setting'!$D$119*P16</f>
        <v>0</v>
      </c>
      <c r="Q58" s="68" t="n">
        <f aca="false">Acquisitions!Q125*'Assumption Setting'!$D$119*Q16</f>
        <v>0</v>
      </c>
      <c r="R58" s="68" t="n">
        <f aca="false">Acquisitions!R125*'Assumption Setting'!$D$119*R16</f>
        <v>0</v>
      </c>
      <c r="S58" s="68" t="n">
        <f aca="false">Acquisitions!S125*'Assumption Setting'!$D$119*S16</f>
        <v>0</v>
      </c>
      <c r="T58" s="68" t="n">
        <f aca="false">Acquisitions!T125*'Assumption Setting'!$D$119*T16</f>
        <v>0</v>
      </c>
      <c r="U58" s="68" t="n">
        <f aca="false">Acquisitions!U125*'Assumption Setting'!$D$119*U16</f>
        <v>0</v>
      </c>
      <c r="V58" s="68" t="n">
        <f aca="false">Acquisitions!V125*'Assumption Setting'!$D$119*V16</f>
        <v>224.132945710925</v>
      </c>
      <c r="W58" s="68" t="n">
        <f aca="false">Acquisitions!W125*'Assumption Setting'!$D$119*W16</f>
        <v>246.573712325599</v>
      </c>
      <c r="X58" s="68" t="n">
        <f aca="false">Acquisitions!X125*'Assumption Setting'!$D$119*X16</f>
        <v>268.884602296362</v>
      </c>
      <c r="Y58" s="68" t="n">
        <f aca="false">Acquisitions!Y125*'Assumption Setting'!$D$119*Y16</f>
        <v>291.04882654514</v>
      </c>
      <c r="Z58" s="68" t="n">
        <f aca="false">Acquisitions!Z125*'Assumption Setting'!$D$119*Z16</f>
        <v>313.0510325819</v>
      </c>
      <c r="AA58" s="68" t="n">
        <f aca="false">Acquisitions!AA125*'Assumption Setting'!$D$119*AA16</f>
        <v>334.877215048711</v>
      </c>
      <c r="AB58" s="65" t="n">
        <f aca="false">IFERROR(AVERAGE(AC58:AN58),0)</f>
        <v>727.279860092182</v>
      </c>
      <c r="AC58" s="68" t="n">
        <f aca="false">Acquisitions!AC125*'Assumption Setting'!$E$119*AC16</f>
        <v>436.142865555761</v>
      </c>
      <c r="AD58" s="68" t="n">
        <f aca="false">Acquisitions!AD125*'Assumption Setting'!$E$119*AD16</f>
        <v>480.023864806017</v>
      </c>
      <c r="AE58" s="68" t="n">
        <f aca="false">Acquisitions!AE125*'Assumption Setting'!$E$119*AE16</f>
        <v>535.138161389806</v>
      </c>
      <c r="AF58" s="68" t="n">
        <f aca="false">Acquisitions!AF125*'Assumption Setting'!$E$119*AF16</f>
        <v>590.253544334674</v>
      </c>
      <c r="AG58" s="68" t="n">
        <f aca="false">Acquisitions!AG125*'Assumption Setting'!$E$119*AG16</f>
        <v>645.323533126127</v>
      </c>
      <c r="AH58" s="68" t="n">
        <f aca="false">Acquisitions!AH125*'Assumption Setting'!$E$119*AH16</f>
        <v>700.225155360907</v>
      </c>
      <c r="AI58" s="68" t="n">
        <f aca="false">Acquisitions!AI125*'Assumption Setting'!$E$119*AI16</f>
        <v>754.919092992271</v>
      </c>
      <c r="AJ58" s="68" t="n">
        <f aca="false">Acquisitions!AJ125*'Assumption Setting'!$E$119*AJ16</f>
        <v>809.368901366657</v>
      </c>
      <c r="AK58" s="68" t="n">
        <f aca="false">Acquisitions!AK125*'Assumption Setting'!$E$119*AK16</f>
        <v>863.540847919824</v>
      </c>
      <c r="AL58" s="68" t="n">
        <f aca="false">Acquisitions!AL125*'Assumption Setting'!$E$119*AL16</f>
        <v>917.4037593279</v>
      </c>
      <c r="AM58" s="68" t="n">
        <f aca="false">Acquisitions!AM125*'Assumption Setting'!$E$119*AM16</f>
        <v>970.928876678317</v>
      </c>
      <c r="AN58" s="68" t="n">
        <f aca="false">Acquisitions!AN125*'Assumption Setting'!$E$119*AN16</f>
        <v>1024.08971824792</v>
      </c>
      <c r="AO58" s="65" t="n">
        <f aca="false">IFERROR(AVERAGE(AP58:BA58),0)</f>
        <v>1721.39048956307</v>
      </c>
      <c r="AP58" s="68" t="n">
        <f aca="false">Acquisitions!AP125*'Assumption Setting'!$F$119*AP16</f>
        <v>1209.35256858811</v>
      </c>
      <c r="AQ58" s="68" t="n">
        <f aca="false">Acquisitions!AQ125*'Assumption Setting'!$F$119*AQ16</f>
        <v>1292.67722589852</v>
      </c>
      <c r="AR58" s="68" t="n">
        <f aca="false">Acquisitions!AR125*'Assumption Setting'!$F$119*AR16</f>
        <v>1388.83148377612</v>
      </c>
      <c r="AS58" s="68" t="n">
        <f aca="false">Acquisitions!AS125*'Assumption Setting'!$F$119*AS16</f>
        <v>1484.75980457244</v>
      </c>
      <c r="AT58" s="68" t="n">
        <f aca="false">Acquisitions!AT125*'Assumption Setting'!$F$119*AT16</f>
        <v>1580.40528118817</v>
      </c>
      <c r="AU58" s="68" t="n">
        <f aca="false">Acquisitions!AU125*'Assumption Setting'!$F$119*AU16</f>
        <v>1675.639624301</v>
      </c>
      <c r="AV58" s="68" t="n">
        <f aca="false">Acquisitions!AV125*'Assumption Setting'!$F$119*AV16</f>
        <v>1770.41414338884</v>
      </c>
      <c r="AW58" s="68" t="n">
        <f aca="false">Acquisitions!AW125*'Assumption Setting'!$F$119*AW16</f>
        <v>1864.68359483717</v>
      </c>
      <c r="AX58" s="68" t="n">
        <f aca="false">Acquisitions!AX125*'Assumption Setting'!$F$119*AX16</f>
        <v>1958.40600090935</v>
      </c>
      <c r="AY58" s="68" t="n">
        <f aca="false">Acquisitions!AY125*'Assumption Setting'!$F$119*AY16</f>
        <v>2051.54247752516</v>
      </c>
      <c r="AZ58" s="68" t="n">
        <f aca="false">Acquisitions!AZ125*'Assumption Setting'!$F$119*AZ16</f>
        <v>2144.05707042836</v>
      </c>
      <c r="BA58" s="68" t="n">
        <f aca="false">Acquisitions!BA125*'Assumption Setting'!$F$119*BA16</f>
        <v>2235.91659934362</v>
      </c>
      <c r="BB58" s="65" t="n">
        <f aca="false">IFERROR(AVERAGE(BC58:BN58),0)</f>
        <v>3112.90175624662</v>
      </c>
      <c r="BC58" s="68" t="n">
        <f aca="false">Acquisitions!BC125*'Assumption Setting'!$G$119*BC16</f>
        <v>2454.25489201772</v>
      </c>
      <c r="BD58" s="68" t="n">
        <f aca="false">Acquisitions!BD125*'Assumption Setting'!$G$119*BD16</f>
        <v>2568.01506500882</v>
      </c>
      <c r="BE58" s="68" t="n">
        <f aca="false">Acquisitions!BE125*'Assumption Setting'!$G$119*BE16</f>
        <v>2690.37589571218</v>
      </c>
      <c r="BF58" s="68" t="n">
        <f aca="false">Acquisitions!BF125*'Assumption Setting'!$G$119*BF16</f>
        <v>2812.41345780775</v>
      </c>
      <c r="BG58" s="68" t="n">
        <f aca="false">Acquisitions!BG125*'Assumption Setting'!$G$119*BG16</f>
        <v>2934.06830571559</v>
      </c>
      <c r="BH58" s="68" t="n">
        <f aca="false">Acquisitions!BH125*'Assumption Setting'!$G$119*BH16</f>
        <v>3055.21037370336</v>
      </c>
      <c r="BI58" s="68" t="n">
        <f aca="false">Acquisitions!BI125*'Assumption Setting'!$G$119*BI16</f>
        <v>3175.78832189233</v>
      </c>
      <c r="BJ58" s="68" t="n">
        <f aca="false">Acquisitions!BJ125*'Assumption Setting'!$G$119*BJ16</f>
        <v>3295.75427148857</v>
      </c>
      <c r="BK58" s="68" t="n">
        <f aca="false">Acquisitions!BK125*'Assumption Setting'!$G$119*BK16</f>
        <v>3415.06363259806</v>
      </c>
      <c r="BL58" s="68" t="n">
        <f aca="false">Acquisitions!BL125*'Assumption Setting'!$G$119*BL16</f>
        <v>3533.67493996709</v>
      </c>
      <c r="BM58" s="68" t="n">
        <f aca="false">Acquisitions!BM125*'Assumption Setting'!$G$119*BM16</f>
        <v>3651.54969629179</v>
      </c>
      <c r="BN58" s="68" t="n">
        <f aca="false">Acquisitions!BN125*'Assumption Setting'!$G$119*BN16</f>
        <v>3768.65222275616</v>
      </c>
    </row>
    <row r="59" customFormat="false" ht="15" hidden="false" customHeight="false" outlineLevel="0" collapsed="false">
      <c r="A59" s="13" t="s">
        <v>791</v>
      </c>
      <c r="B59" s="59" t="n">
        <f aca="false">SUM(C59:N59)</f>
        <v>0</v>
      </c>
      <c r="C59" s="61" t="n">
        <f aca="false">C58*'Assumption Setting'!$C$116*'Assumption Setting'!$C$117*C7/C6</f>
        <v>0</v>
      </c>
      <c r="D59" s="61" t="n">
        <f aca="false">D58*'Assumption Setting'!$C$116*'Assumption Setting'!$C$117*D7/D6</f>
        <v>0</v>
      </c>
      <c r="E59" s="61" t="n">
        <f aca="false">E58*'Assumption Setting'!$C$116*'Assumption Setting'!$C$117*E7/E6</f>
        <v>0</v>
      </c>
      <c r="F59" s="61" t="n">
        <f aca="false">F58*'Assumption Setting'!$C$116*'Assumption Setting'!$C$117*F7/F6</f>
        <v>0</v>
      </c>
      <c r="G59" s="61" t="n">
        <f aca="false">G58*'Assumption Setting'!$C$116*'Assumption Setting'!$C$117*G7/G6</f>
        <v>0</v>
      </c>
      <c r="H59" s="61" t="n">
        <f aca="false">H58*'Assumption Setting'!$C$116*'Assumption Setting'!$C$117*H7/H6</f>
        <v>0</v>
      </c>
      <c r="I59" s="61" t="n">
        <f aca="false">I58*'Assumption Setting'!$C$116*'Assumption Setting'!$C$117*I7/I6</f>
        <v>0</v>
      </c>
      <c r="J59" s="61" t="n">
        <f aca="false">J58*'Assumption Setting'!$C$116*'Assumption Setting'!$C$117*J7/J6</f>
        <v>0</v>
      </c>
      <c r="K59" s="61" t="n">
        <f aca="false">K58*'Assumption Setting'!$C$116*'Assumption Setting'!$C$117*K7/K6</f>
        <v>0</v>
      </c>
      <c r="L59" s="61" t="n">
        <f aca="false">L58*'Assumption Setting'!$C$116*'Assumption Setting'!$C$117*L7/L6</f>
        <v>0</v>
      </c>
      <c r="M59" s="61" t="n">
        <f aca="false">M58*'Assumption Setting'!$C$116*'Assumption Setting'!$C$117*M7/M6</f>
        <v>0</v>
      </c>
      <c r="N59" s="61" t="n">
        <f aca="false">N58*'Assumption Setting'!$C$116*'Assumption Setting'!$C$117*N7/N6</f>
        <v>0</v>
      </c>
      <c r="O59" s="59" t="n">
        <f aca="false">SUM(P59:AA59)</f>
        <v>12254.9928665468</v>
      </c>
      <c r="P59" s="61" t="n">
        <f aca="false">P58*'Assumption Setting'!$C$116*'Assumption Setting'!$C$117*P7/P6</f>
        <v>0</v>
      </c>
      <c r="Q59" s="61" t="n">
        <f aca="false">Q58*'Assumption Setting'!$C$116*'Assumption Setting'!$C$117*Q7/Q6</f>
        <v>0</v>
      </c>
      <c r="R59" s="61" t="n">
        <f aca="false">R58*'Assumption Setting'!$C$116*'Assumption Setting'!$C$117*R7/R6</f>
        <v>0</v>
      </c>
      <c r="S59" s="61" t="n">
        <f aca="false">S58*'Assumption Setting'!$C$116*'Assumption Setting'!$C$117*S7/S6</f>
        <v>0</v>
      </c>
      <c r="T59" s="61" t="n">
        <f aca="false">T58*'Assumption Setting'!$C$116*'Assumption Setting'!$C$117*T7/T6</f>
        <v>0</v>
      </c>
      <c r="U59" s="61" t="n">
        <f aca="false">U58*'Assumption Setting'!$C$116*'Assumption Setting'!$C$117*U7/U6</f>
        <v>0</v>
      </c>
      <c r="V59" s="61" t="n">
        <f aca="false">V58*'Assumption Setting'!$C$116*'Assumption Setting'!$C$117*V7/V6</f>
        <v>1658.1513048916</v>
      </c>
      <c r="W59" s="61" t="n">
        <f aca="false">W58*'Assumption Setting'!$C$116*'Assumption Setting'!$C$117*W7/W6</f>
        <v>1815.33344814063</v>
      </c>
      <c r="X59" s="61" t="n">
        <f aca="false">X58*'Assumption Setting'!$C$116*'Assumption Setting'!$C$117*X7/X6</f>
        <v>1970.00236195912</v>
      </c>
      <c r="Y59" s="61" t="n">
        <f aca="false">Y58*'Assumption Setting'!$C$116*'Assumption Setting'!$C$117*Y7/Y6</f>
        <v>2122.06090497909</v>
      </c>
      <c r="Z59" s="61" t="n">
        <f aca="false">Z58*'Assumption Setting'!$C$116*'Assumption Setting'!$C$117*Z7/Z6</f>
        <v>2271.42452302702</v>
      </c>
      <c r="AA59" s="61" t="n">
        <f aca="false">AA58*'Assumption Setting'!$C$116*'Assumption Setting'!$C$117*AA7/AA6</f>
        <v>2418.0203235493</v>
      </c>
      <c r="AB59" s="59" t="n">
        <f aca="false">SUM(AC59:AN59)</f>
        <v>65669.103740165</v>
      </c>
      <c r="AC59" s="61" t="n">
        <f aca="false">AC58*'Assumption Setting'!$C$116*'Assumption Setting'!$C$117*AC7/AC6</f>
        <v>3384.68341665196</v>
      </c>
      <c r="AD59" s="61" t="n">
        <f aca="false">AD58*'Assumption Setting'!$C$116*'Assumption Setting'!$C$117*AD7/AD6</f>
        <v>3707.17671008041</v>
      </c>
      <c r="AE59" s="61" t="n">
        <f aca="false">AE58*'Assumption Setting'!$C$116*'Assumption Setting'!$C$117*AE7/AE6</f>
        <v>4112.79969712746</v>
      </c>
      <c r="AF59" s="61" t="n">
        <f aca="false">AF58*'Assumption Setting'!$C$116*'Assumption Setting'!$C$117*AF7/AF6</f>
        <v>4514.41435449014</v>
      </c>
      <c r="AG59" s="61" t="n">
        <f aca="false">AG58*'Assumption Setting'!$C$116*'Assumption Setting'!$C$117*AG7/AG6</f>
        <v>4911.69618364044</v>
      </c>
      <c r="AH59" s="61" t="n">
        <f aca="false">AH58*'Assumption Setting'!$C$116*'Assumption Setting'!$C$117*AH7/AH6</f>
        <v>5303.7479752837</v>
      </c>
      <c r="AI59" s="61" t="n">
        <f aca="false">AI58*'Assumption Setting'!$C$116*'Assumption Setting'!$C$117*AI7/AI6</f>
        <v>5690.32088730726</v>
      </c>
      <c r="AJ59" s="61" t="n">
        <f aca="false">AJ58*'Assumption Setting'!$C$116*'Assumption Setting'!$C$117*AJ7/AJ6</f>
        <v>6071.19300607606</v>
      </c>
      <c r="AK59" s="61" t="n">
        <f aca="false">AK58*'Assumption Setting'!$C$116*'Assumption Setting'!$C$117*AK7/AK6</f>
        <v>6446.16755335326</v>
      </c>
      <c r="AL59" s="61" t="n">
        <f aca="false">AL58*'Assumption Setting'!$C$116*'Assumption Setting'!$C$117*AL7/AL6</f>
        <v>6815.07119926796</v>
      </c>
      <c r="AM59" s="61" t="n">
        <f aca="false">AM58*'Assumption Setting'!$C$116*'Assumption Setting'!$C$117*AM7/AM6</f>
        <v>7177.75247529951</v>
      </c>
      <c r="AN59" s="61" t="n">
        <f aca="false">AN58*'Assumption Setting'!$C$116*'Assumption Setting'!$C$117*AN7/AN6</f>
        <v>7534.0802815868</v>
      </c>
      <c r="AO59" s="59" t="n">
        <f aca="false">SUM(AP59:BA59)</f>
        <v>157077.735999973</v>
      </c>
      <c r="AP59" s="61" t="n">
        <f aca="false">AP58*'Assumption Setting'!$C$116*'Assumption Setting'!$C$117*AP7/AP6</f>
        <v>9473.71083535831</v>
      </c>
      <c r="AQ59" s="61" t="n">
        <f aca="false">AQ58*'Assumption Setting'!$C$116*'Assumption Setting'!$C$117*AQ7/AQ6</f>
        <v>10077.3993396153</v>
      </c>
      <c r="AR59" s="61" t="n">
        <f aca="false">AR58*'Assumption Setting'!$C$116*'Assumption Setting'!$C$117*AR7/AR6</f>
        <v>10774.5490406873</v>
      </c>
      <c r="AS59" s="61" t="n">
        <f aca="false">AS58*'Assumption Setting'!$C$116*'Assumption Setting'!$C$117*AS7/AS6</f>
        <v>11462.9640089622</v>
      </c>
      <c r="AT59" s="61" t="n">
        <f aca="false">AT58*'Assumption Setting'!$C$116*'Assumption Setting'!$C$117*AT7/AT6</f>
        <v>12142.2837392349</v>
      </c>
      <c r="AU59" s="61" t="n">
        <f aca="false">AU58*'Assumption Setting'!$C$116*'Assumption Setting'!$C$117*AU7/AU6</f>
        <v>12811.6098442364</v>
      </c>
      <c r="AV59" s="61" t="n">
        <f aca="false">AV58*'Assumption Setting'!$C$116*'Assumption Setting'!$C$117*AV7/AV6</f>
        <v>13470.667953997</v>
      </c>
      <c r="AW59" s="61" t="n">
        <f aca="false">AW58*'Assumption Setting'!$C$116*'Assumption Setting'!$C$117*AW7/AW6</f>
        <v>14119.2162061743</v>
      </c>
      <c r="AX59" s="61" t="n">
        <f aca="false">AX58*'Assumption Setting'!$C$116*'Assumption Setting'!$C$117*AX7/AX6</f>
        <v>14757.0431684585</v>
      </c>
      <c r="AY59" s="61" t="n">
        <f aca="false">AY58*'Assumption Setting'!$C$116*'Assumption Setting'!$C$117*AY7/AY6</f>
        <v>15383.9658766654</v>
      </c>
      <c r="AZ59" s="61" t="n">
        <f aca="false">AZ58*'Assumption Setting'!$C$116*'Assumption Setting'!$C$117*AZ7/AZ6</f>
        <v>15999.8279823653</v>
      </c>
      <c r="BA59" s="61" t="n">
        <f aca="false">BA58*'Assumption Setting'!$C$116*'Assumption Setting'!$C$117*BA7/BA6</f>
        <v>16604.4980042175</v>
      </c>
      <c r="BB59" s="59" t="n">
        <f aca="false">SUM(BC59:BN59)</f>
        <v>284319.204711014</v>
      </c>
      <c r="BC59" s="61" t="n">
        <f aca="false">BC58*'Assumption Setting'!$C$116*'Assumption Setting'!$C$117*BC7/BC6</f>
        <v>19225.9079503873</v>
      </c>
      <c r="BD59" s="61" t="n">
        <f aca="false">BD58*'Assumption Setting'!$C$116*'Assumption Setting'!$C$117*BD7/BD6</f>
        <v>20019.6250090614</v>
      </c>
      <c r="BE59" s="61" t="n">
        <f aca="false">BE58*'Assumption Setting'!$C$116*'Assumption Setting'!$C$117*BE7/BE6</f>
        <v>20871.9253306522</v>
      </c>
      <c r="BF59" s="61" t="n">
        <f aca="false">BF58*'Assumption Setting'!$C$116*'Assumption Setting'!$C$117*BF7/BF6</f>
        <v>21713.0031038623</v>
      </c>
      <c r="BG59" s="61" t="n">
        <f aca="false">BG58*'Assumption Setting'!$C$116*'Assumption Setting'!$C$117*BG7/BG6</f>
        <v>22542.5024216007</v>
      </c>
      <c r="BH59" s="61" t="n">
        <f aca="false">BH58*'Assumption Setting'!$C$116*'Assumption Setting'!$C$117*BH7/BH6</f>
        <v>23359.5355064962</v>
      </c>
      <c r="BI59" s="61" t="n">
        <f aca="false">BI58*'Assumption Setting'!$C$116*'Assumption Setting'!$C$117*BI7/BI6</f>
        <v>24163.8320254862</v>
      </c>
      <c r="BJ59" s="61" t="n">
        <f aca="false">BJ58*'Assumption Setting'!$C$116*'Assumption Setting'!$C$117*BJ7/BJ6</f>
        <v>24955.1544564499</v>
      </c>
      <c r="BK59" s="61" t="n">
        <f aca="false">BK58*'Assumption Setting'!$C$116*'Assumption Setting'!$C$117*BK7/BK6</f>
        <v>25733.2960713365</v>
      </c>
      <c r="BL59" s="61" t="n">
        <f aca="false">BL58*'Assumption Setting'!$C$116*'Assumption Setting'!$C$117*BL7/BL6</f>
        <v>26498.0790264991</v>
      </c>
      <c r="BM59" s="61" t="n">
        <f aca="false">BM58*'Assumption Setting'!$C$116*'Assumption Setting'!$C$117*BM7/BM6</f>
        <v>27249.3525548061</v>
      </c>
      <c r="BN59" s="61" t="n">
        <f aca="false">BN58*'Assumption Setting'!$C$116*'Assumption Setting'!$C$117*BN7/BN6</f>
        <v>27986.9912543761</v>
      </c>
    </row>
    <row r="61" customFormat="false" ht="15" hidden="false" customHeight="false" outlineLevel="0" collapsed="false">
      <c r="A61" s="9" t="s">
        <v>792</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row>
    <row r="62" customFormat="false" ht="15" hidden="false" customHeight="false" outlineLevel="0" collapsed="false">
      <c r="A62" s="56" t="s">
        <v>632</v>
      </c>
      <c r="B62" s="57" t="s">
        <v>87</v>
      </c>
      <c r="C62" s="58" t="s">
        <v>562</v>
      </c>
      <c r="D62" s="58" t="s">
        <v>563</v>
      </c>
      <c r="E62" s="58" t="s">
        <v>564</v>
      </c>
      <c r="F62" s="58" t="s">
        <v>565</v>
      </c>
      <c r="G62" s="58" t="s">
        <v>566</v>
      </c>
      <c r="H62" s="58" t="s">
        <v>567</v>
      </c>
      <c r="I62" s="58" t="s">
        <v>568</v>
      </c>
      <c r="J62" s="58" t="s">
        <v>569</v>
      </c>
      <c r="K62" s="58" t="s">
        <v>570</v>
      </c>
      <c r="L62" s="58" t="s">
        <v>571</v>
      </c>
      <c r="M62" s="58" t="s">
        <v>572</v>
      </c>
      <c r="N62" s="58" t="s">
        <v>573</v>
      </c>
      <c r="O62" s="57" t="s">
        <v>88</v>
      </c>
      <c r="P62" s="58" t="s">
        <v>574</v>
      </c>
      <c r="Q62" s="58" t="s">
        <v>575</v>
      </c>
      <c r="R62" s="58" t="s">
        <v>576</v>
      </c>
      <c r="S62" s="58" t="s">
        <v>577</v>
      </c>
      <c r="T62" s="58" t="s">
        <v>578</v>
      </c>
      <c r="U62" s="58" t="s">
        <v>579</v>
      </c>
      <c r="V62" s="58" t="s">
        <v>580</v>
      </c>
      <c r="W62" s="58" t="s">
        <v>581</v>
      </c>
      <c r="X62" s="58" t="s">
        <v>582</v>
      </c>
      <c r="Y62" s="58" t="s">
        <v>583</v>
      </c>
      <c r="Z62" s="58" t="s">
        <v>584</v>
      </c>
      <c r="AA62" s="58" t="s">
        <v>585</v>
      </c>
      <c r="AB62" s="57" t="s">
        <v>89</v>
      </c>
      <c r="AC62" s="58" t="s">
        <v>586</v>
      </c>
      <c r="AD62" s="58" t="s">
        <v>587</v>
      </c>
      <c r="AE62" s="58" t="s">
        <v>588</v>
      </c>
      <c r="AF62" s="58" t="s">
        <v>589</v>
      </c>
      <c r="AG62" s="58" t="s">
        <v>590</v>
      </c>
      <c r="AH62" s="58" t="s">
        <v>591</v>
      </c>
      <c r="AI62" s="58" t="s">
        <v>592</v>
      </c>
      <c r="AJ62" s="58" t="s">
        <v>593</v>
      </c>
      <c r="AK62" s="58" t="s">
        <v>594</v>
      </c>
      <c r="AL62" s="58" t="s">
        <v>595</v>
      </c>
      <c r="AM62" s="58" t="s">
        <v>596</v>
      </c>
      <c r="AN62" s="58" t="s">
        <v>597</v>
      </c>
      <c r="AO62" s="57" t="s">
        <v>90</v>
      </c>
      <c r="AP62" s="58" t="s">
        <v>598</v>
      </c>
      <c r="AQ62" s="58" t="s">
        <v>599</v>
      </c>
      <c r="AR62" s="58" t="s">
        <v>600</v>
      </c>
      <c r="AS62" s="58" t="s">
        <v>601</v>
      </c>
      <c r="AT62" s="58" t="s">
        <v>602</v>
      </c>
      <c r="AU62" s="58" t="s">
        <v>603</v>
      </c>
      <c r="AV62" s="58" t="s">
        <v>604</v>
      </c>
      <c r="AW62" s="58" t="s">
        <v>605</v>
      </c>
      <c r="AX62" s="58" t="s">
        <v>606</v>
      </c>
      <c r="AY62" s="58" t="s">
        <v>607</v>
      </c>
      <c r="AZ62" s="58" t="s">
        <v>608</v>
      </c>
      <c r="BA62" s="58" t="s">
        <v>609</v>
      </c>
      <c r="BB62" s="57" t="s">
        <v>91</v>
      </c>
      <c r="BC62" s="58" t="s">
        <v>610</v>
      </c>
      <c r="BD62" s="58" t="s">
        <v>611</v>
      </c>
      <c r="BE62" s="58" t="s">
        <v>612</v>
      </c>
      <c r="BF62" s="58" t="s">
        <v>613</v>
      </c>
      <c r="BG62" s="58" t="s">
        <v>614</v>
      </c>
      <c r="BH62" s="58" t="s">
        <v>615</v>
      </c>
      <c r="BI62" s="58" t="s">
        <v>616</v>
      </c>
      <c r="BJ62" s="58" t="s">
        <v>617</v>
      </c>
      <c r="BK62" s="58" t="s">
        <v>618</v>
      </c>
      <c r="BL62" s="58" t="s">
        <v>619</v>
      </c>
      <c r="BM62" s="58" t="s">
        <v>620</v>
      </c>
      <c r="BN62" s="58" t="s">
        <v>621</v>
      </c>
    </row>
    <row r="63" customFormat="false" ht="15" hidden="false" customHeight="false" outlineLevel="0" collapsed="false">
      <c r="A63" s="4" t="s">
        <v>462</v>
      </c>
      <c r="B63" s="65" t="n">
        <f aca="false">IFERROR(AVERAGE(C63:N63),0)</f>
        <v>0</v>
      </c>
      <c r="C63" s="68" t="n">
        <f aca="false">Acquisitions!C125*'Assumption Setting'!$C$121*C17</f>
        <v>0</v>
      </c>
      <c r="D63" s="68" t="n">
        <f aca="false">Acquisitions!D125*'Assumption Setting'!$C$121*D17</f>
        <v>0</v>
      </c>
      <c r="E63" s="68" t="n">
        <f aca="false">Acquisitions!E125*'Assumption Setting'!$C$121*E17</f>
        <v>0</v>
      </c>
      <c r="F63" s="68" t="n">
        <f aca="false">Acquisitions!F125*'Assumption Setting'!$C$121*F17</f>
        <v>0</v>
      </c>
      <c r="G63" s="68" t="n">
        <f aca="false">Acquisitions!G125*'Assumption Setting'!$C$121*G17</f>
        <v>0</v>
      </c>
      <c r="H63" s="68" t="n">
        <f aca="false">Acquisitions!H125*'Assumption Setting'!$C$121*H17</f>
        <v>0</v>
      </c>
      <c r="I63" s="68" t="n">
        <f aca="false">Acquisitions!I125*'Assumption Setting'!$C$121*I17</f>
        <v>0</v>
      </c>
      <c r="J63" s="68" t="n">
        <f aca="false">Acquisitions!J125*'Assumption Setting'!$C$121*J17</f>
        <v>0</v>
      </c>
      <c r="K63" s="68" t="n">
        <f aca="false">Acquisitions!K125*'Assumption Setting'!$C$121*K17</f>
        <v>0</v>
      </c>
      <c r="L63" s="68" t="n">
        <f aca="false">Acquisitions!L125*'Assumption Setting'!$C$121*L17</f>
        <v>0</v>
      </c>
      <c r="M63" s="68" t="n">
        <f aca="false">Acquisitions!M125*'Assumption Setting'!$C$121*M17</f>
        <v>0</v>
      </c>
      <c r="N63" s="68" t="n">
        <f aca="false">Acquisitions!N125*'Assumption Setting'!$C$121*N17</f>
        <v>0</v>
      </c>
      <c r="O63" s="65" t="n">
        <f aca="false">IFERROR(AVERAGE(P63:AA63),0)</f>
        <v>0</v>
      </c>
      <c r="P63" s="68" t="n">
        <f aca="false">Acquisitions!P125*'Assumption Setting'!$D$121*P17</f>
        <v>0</v>
      </c>
      <c r="Q63" s="68" t="n">
        <f aca="false">Acquisitions!Q125*'Assumption Setting'!$D$121*Q17</f>
        <v>0</v>
      </c>
      <c r="R63" s="68" t="n">
        <f aca="false">Acquisitions!R125*'Assumption Setting'!$D$121*R17</f>
        <v>0</v>
      </c>
      <c r="S63" s="68" t="n">
        <f aca="false">Acquisitions!S125*'Assumption Setting'!$D$121*S17</f>
        <v>0</v>
      </c>
      <c r="T63" s="68" t="n">
        <f aca="false">Acquisitions!T125*'Assumption Setting'!$D$121*T17</f>
        <v>0</v>
      </c>
      <c r="U63" s="68" t="n">
        <f aca="false">Acquisitions!U125*'Assumption Setting'!$D$121*U17</f>
        <v>0</v>
      </c>
      <c r="V63" s="68" t="n">
        <f aca="false">Acquisitions!V125*'Assumption Setting'!$D$121*V17</f>
        <v>0</v>
      </c>
      <c r="W63" s="68" t="n">
        <f aca="false">Acquisitions!W125*'Assumption Setting'!$D$121*W17</f>
        <v>0</v>
      </c>
      <c r="X63" s="68" t="n">
        <f aca="false">Acquisitions!X125*'Assumption Setting'!$D$121*X17</f>
        <v>0</v>
      </c>
      <c r="Y63" s="68" t="n">
        <f aca="false">Acquisitions!Y125*'Assumption Setting'!$D$121*Y17</f>
        <v>0</v>
      </c>
      <c r="Z63" s="68" t="n">
        <f aca="false">Acquisitions!Z125*'Assumption Setting'!$D$121*Z17</f>
        <v>0</v>
      </c>
      <c r="AA63" s="68" t="n">
        <f aca="false">Acquisitions!AA125*'Assumption Setting'!$D$121*AA17</f>
        <v>0</v>
      </c>
      <c r="AB63" s="65" t="n">
        <f aca="false">IFERROR(AVERAGE(AC63:AN63),0)</f>
        <v>385.030514166449</v>
      </c>
      <c r="AC63" s="68" t="n">
        <f aca="false">Acquisitions!AC125*'Assumption Setting'!$E$121*AC17</f>
        <v>230.899164117756</v>
      </c>
      <c r="AD63" s="68" t="n">
        <f aca="false">Acquisitions!AD125*'Assumption Setting'!$E$121*AD17</f>
        <v>254.130281367892</v>
      </c>
      <c r="AE63" s="68" t="n">
        <f aca="false">Acquisitions!AE125*'Assumption Setting'!$E$121*AE17</f>
        <v>283.308438382838</v>
      </c>
      <c r="AF63" s="68" t="n">
        <f aca="false">Acquisitions!AF125*'Assumption Setting'!$E$121*AF17</f>
        <v>312.487170530122</v>
      </c>
      <c r="AG63" s="68" t="n">
        <f aca="false">Acquisitions!AG125*'Assumption Setting'!$E$121*AG17</f>
        <v>341.641870478538</v>
      </c>
      <c r="AH63" s="68" t="n">
        <f aca="false">Acquisitions!AH125*'Assumption Setting'!$E$121*AH17</f>
        <v>370.707435191068</v>
      </c>
      <c r="AI63" s="68" t="n">
        <f aca="false">Acquisitions!AI125*'Assumption Setting'!$E$121*AI17</f>
        <v>399.663049231202</v>
      </c>
      <c r="AJ63" s="68" t="n">
        <f aca="false">Acquisitions!AJ125*'Assumption Setting'!$E$121*AJ17</f>
        <v>428.489418370583</v>
      </c>
      <c r="AK63" s="68" t="n">
        <f aca="false">Acquisitions!AK125*'Assumption Setting'!$E$121*AK17</f>
        <v>457.168684192848</v>
      </c>
      <c r="AL63" s="68" t="n">
        <f aca="false">Acquisitions!AL125*'Assumption Setting'!$E$121*AL17</f>
        <v>485.684343173594</v>
      </c>
      <c r="AM63" s="68" t="n">
        <f aca="false">Acquisitions!AM125*'Assumption Setting'!$E$121*AM17</f>
        <v>514.021170006168</v>
      </c>
      <c r="AN63" s="68" t="n">
        <f aca="false">Acquisitions!AN125*'Assumption Setting'!$E$121*AN17</f>
        <v>542.165144954783</v>
      </c>
      <c r="AO63" s="65" t="n">
        <f aca="false">IFERROR(AVERAGE(AP63:BA63),0)</f>
        <v>905.994994506879</v>
      </c>
      <c r="AP63" s="68" t="n">
        <f aca="false">Acquisitions!AP125*'Assumption Setting'!$F$121*AP17</f>
        <v>636.50135188848</v>
      </c>
      <c r="AQ63" s="68" t="n">
        <f aca="false">Acquisitions!AQ125*'Assumption Setting'!$F$121*AQ17</f>
        <v>680.356434683431</v>
      </c>
      <c r="AR63" s="68" t="n">
        <f aca="false">Acquisitions!AR125*'Assumption Setting'!$F$121*AR17</f>
        <v>730.963938829536</v>
      </c>
      <c r="AS63" s="68" t="n">
        <f aca="false">Acquisitions!AS125*'Assumption Setting'!$F$121*AS17</f>
        <v>781.452528722335</v>
      </c>
      <c r="AT63" s="68" t="n">
        <f aca="false">Acquisitions!AT125*'Assumption Setting'!$F$121*AT17</f>
        <v>831.792253256931</v>
      </c>
      <c r="AU63" s="68" t="n">
        <f aca="false">Acquisitions!AU125*'Assumption Setting'!$F$121*AU17</f>
        <v>881.91559173737</v>
      </c>
      <c r="AV63" s="68" t="n">
        <f aca="false">Acquisitions!AV125*'Assumption Setting'!$F$121*AV17</f>
        <v>931.796917573072</v>
      </c>
      <c r="AW63" s="68" t="n">
        <f aca="false">Acquisitions!AW125*'Assumption Setting'!$F$121*AW17</f>
        <v>981.412418335352</v>
      </c>
      <c r="AX63" s="68" t="n">
        <f aca="false">Acquisitions!AX125*'Assumption Setting'!$F$121*AX17</f>
        <v>1030.7400004786</v>
      </c>
      <c r="AY63" s="68" t="n">
        <f aca="false">Acquisitions!AY125*'Assumption Setting'!$F$121*AY17</f>
        <v>1079.75919869745</v>
      </c>
      <c r="AZ63" s="68" t="n">
        <f aca="false">Acquisitions!AZ125*'Assumption Setting'!$F$121*AZ17</f>
        <v>1128.45108969914</v>
      </c>
      <c r="BA63" s="68" t="n">
        <f aca="false">Acquisitions!BA125*'Assumption Setting'!$F$121*BA17</f>
        <v>1176.79821018085</v>
      </c>
      <c r="BB63" s="65" t="n">
        <f aca="false">IFERROR(AVERAGE(BC63:BN63),0)</f>
        <v>1712.09596593564</v>
      </c>
      <c r="BC63" s="68" t="n">
        <f aca="false">Acquisitions!BC125*'Assumption Setting'!$G$121*BC17</f>
        <v>1349.84019060975</v>
      </c>
      <c r="BD63" s="68" t="n">
        <f aca="false">Acquisitions!BD125*'Assumption Setting'!$G$121*BD17</f>
        <v>1412.40828575485</v>
      </c>
      <c r="BE63" s="68" t="n">
        <f aca="false">Acquisitions!BE125*'Assumption Setting'!$G$121*BE17</f>
        <v>1479.7067426417</v>
      </c>
      <c r="BF63" s="68" t="n">
        <f aca="false">Acquisitions!BF125*'Assumption Setting'!$G$121*BF17</f>
        <v>1546.82740179426</v>
      </c>
      <c r="BG63" s="68" t="n">
        <f aca="false">Acquisitions!BG125*'Assumption Setting'!$G$121*BG17</f>
        <v>1613.73756814358</v>
      </c>
      <c r="BH63" s="68" t="n">
        <f aca="false">Acquisitions!BH125*'Assumption Setting'!$G$121*BH17</f>
        <v>1680.36570553685</v>
      </c>
      <c r="BI63" s="68" t="n">
        <f aca="false">Acquisitions!BI125*'Assumption Setting'!$G$121*BI17</f>
        <v>1746.68357704078</v>
      </c>
      <c r="BJ63" s="68" t="n">
        <f aca="false">Acquisitions!BJ125*'Assumption Setting'!$G$121*BJ17</f>
        <v>1812.66484931871</v>
      </c>
      <c r="BK63" s="68" t="n">
        <f aca="false">Acquisitions!BK125*'Assumption Setting'!$G$121*BK17</f>
        <v>1878.28499792893</v>
      </c>
      <c r="BL63" s="68" t="n">
        <f aca="false">Acquisitions!BL125*'Assumption Setting'!$G$121*BL17</f>
        <v>1943.5212169819</v>
      </c>
      <c r="BM63" s="68" t="n">
        <f aca="false">Acquisitions!BM125*'Assumption Setting'!$G$121*BM17</f>
        <v>2008.35233296049</v>
      </c>
      <c r="BN63" s="68" t="n">
        <f aca="false">Acquisitions!BN125*'Assumption Setting'!$G$121*BN17</f>
        <v>2072.75872251589</v>
      </c>
    </row>
    <row r="64" customFormat="false" ht="15" hidden="false" customHeight="false" outlineLevel="0" collapsed="false">
      <c r="A64" s="13" t="s">
        <v>793</v>
      </c>
      <c r="B64" s="59" t="n">
        <f aca="false">SUM(C64:N64)</f>
        <v>0</v>
      </c>
      <c r="C64" s="61" t="n">
        <f aca="false">C63*'Assumption Setting'!$C$120*C7/C6</f>
        <v>0</v>
      </c>
      <c r="D64" s="61" t="n">
        <f aca="false">D63*'Assumption Setting'!$C$120*D7/D6</f>
        <v>0</v>
      </c>
      <c r="E64" s="61" t="n">
        <f aca="false">E63*'Assumption Setting'!$C$120*E7/E6</f>
        <v>0</v>
      </c>
      <c r="F64" s="61" t="n">
        <f aca="false">F63*'Assumption Setting'!$C$120*F7/F6</f>
        <v>0</v>
      </c>
      <c r="G64" s="61" t="n">
        <f aca="false">G63*'Assumption Setting'!$C$120*G7/G6</f>
        <v>0</v>
      </c>
      <c r="H64" s="61" t="n">
        <f aca="false">H63*'Assumption Setting'!$C$120*H7/H6</f>
        <v>0</v>
      </c>
      <c r="I64" s="61" t="n">
        <f aca="false">I63*'Assumption Setting'!$C$120*I7/I6</f>
        <v>0</v>
      </c>
      <c r="J64" s="61" t="n">
        <f aca="false">J63*'Assumption Setting'!$C$120*J7/J6</f>
        <v>0</v>
      </c>
      <c r="K64" s="61" t="n">
        <f aca="false">K63*'Assumption Setting'!$C$120*K7/K6</f>
        <v>0</v>
      </c>
      <c r="L64" s="61" t="n">
        <f aca="false">L63*'Assumption Setting'!$C$120*L7/L6</f>
        <v>0</v>
      </c>
      <c r="M64" s="61" t="n">
        <f aca="false">M63*'Assumption Setting'!$C$120*M7/M6</f>
        <v>0</v>
      </c>
      <c r="N64" s="61" t="n">
        <f aca="false">N63*'Assumption Setting'!$C$120*N7/N6</f>
        <v>0</v>
      </c>
      <c r="O64" s="59" t="n">
        <f aca="false">SUM(P64:AA64)</f>
        <v>0</v>
      </c>
      <c r="P64" s="61" t="n">
        <f aca="false">P63*'Assumption Setting'!$C$120*P7/P6</f>
        <v>0</v>
      </c>
      <c r="Q64" s="61" t="n">
        <f aca="false">Q63*'Assumption Setting'!$C$120*Q7/Q6</f>
        <v>0</v>
      </c>
      <c r="R64" s="61" t="n">
        <f aca="false">R63*'Assumption Setting'!$C$120*R7/R6</f>
        <v>0</v>
      </c>
      <c r="S64" s="61" t="n">
        <f aca="false">S63*'Assumption Setting'!$C$120*S7/S6</f>
        <v>0</v>
      </c>
      <c r="T64" s="61" t="n">
        <f aca="false">T63*'Assumption Setting'!$C$120*T7/T6</f>
        <v>0</v>
      </c>
      <c r="U64" s="61" t="n">
        <f aca="false">U63*'Assumption Setting'!$C$120*U7/U6</f>
        <v>0</v>
      </c>
      <c r="V64" s="61" t="n">
        <f aca="false">V63*'Assumption Setting'!$C$120*V7/V6</f>
        <v>0</v>
      </c>
      <c r="W64" s="61" t="n">
        <f aca="false">W63*'Assumption Setting'!$C$120*W7/W6</f>
        <v>0</v>
      </c>
      <c r="X64" s="61" t="n">
        <f aca="false">X63*'Assumption Setting'!$C$120*X7/X6</f>
        <v>0</v>
      </c>
      <c r="Y64" s="61" t="n">
        <f aca="false">Y63*'Assumption Setting'!$C$120*Y7/Y6</f>
        <v>0</v>
      </c>
      <c r="Z64" s="61" t="n">
        <f aca="false">Z63*'Assumption Setting'!$C$120*Z7/Z6</f>
        <v>0</v>
      </c>
      <c r="AA64" s="61" t="n">
        <f aca="false">AA63*'Assumption Setting'!$C$120*AA7/AA6</f>
        <v>0</v>
      </c>
      <c r="AB64" s="59" t="n">
        <f aca="false">SUM(AC64:AN64)</f>
        <v>1986.62834844197</v>
      </c>
      <c r="AC64" s="61" t="n">
        <f aca="false">AC63*'Assumption Setting'!$C$120*AC7/AC6</f>
        <v>102.393784033168</v>
      </c>
      <c r="AD64" s="61" t="n">
        <f aca="false">AD63*'Assumption Setting'!$C$120*AD7/AD6</f>
        <v>112.149883666298</v>
      </c>
      <c r="AE64" s="61" t="n">
        <f aca="false">AE63*'Assumption Setting'!$C$120*AE7/AE6</f>
        <v>124.420831173604</v>
      </c>
      <c r="AF64" s="61" t="n">
        <f aca="false">AF63*'Assumption Setting'!$C$120*AF7/AF6</f>
        <v>136.570518287097</v>
      </c>
      <c r="AG64" s="61" t="n">
        <f aca="false">AG63*'Assumption Setting'!$C$120*AG7/AG6</f>
        <v>148.589128244585</v>
      </c>
      <c r="AH64" s="61" t="n">
        <f aca="false">AH63*'Assumption Setting'!$C$120*AH7/AH6</f>
        <v>160.449518580011</v>
      </c>
      <c r="AI64" s="61" t="n">
        <f aca="false">AI63*'Assumption Setting'!$C$120*AI7/AI6</f>
        <v>172.14416129669</v>
      </c>
      <c r="AJ64" s="61" t="n">
        <f aca="false">AJ63*'Assumption Setting'!$C$120*AJ7/AJ6</f>
        <v>183.666343040957</v>
      </c>
      <c r="AK64" s="61" t="n">
        <f aca="false">AK63*'Assumption Setting'!$C$120*AK7/AK6</f>
        <v>195.010110857746</v>
      </c>
      <c r="AL64" s="61" t="n">
        <f aca="false">AL63*'Assumption Setting'!$C$120*AL7/AL6</f>
        <v>206.170221154325</v>
      </c>
      <c r="AM64" s="61" t="n">
        <f aca="false">AM63*'Assumption Setting'!$C$120*AM7/AM6</f>
        <v>217.142091689733</v>
      </c>
      <c r="AN64" s="61" t="n">
        <f aca="false">AN63*'Assumption Setting'!$C$120*AN7/AN6</f>
        <v>227.921756417752</v>
      </c>
      <c r="AO64" s="59" t="n">
        <f aca="false">SUM(AP64:BA64)</f>
        <v>4724.1424360894</v>
      </c>
      <c r="AP64" s="61" t="n">
        <f aca="false">AP63*'Assumption Setting'!$C$120*AP7/AP6</f>
        <v>284.923634146115</v>
      </c>
      <c r="AQ64" s="61" t="n">
        <f aca="false">AQ63*'Assumption Setting'!$C$120*AQ7/AQ6</f>
        <v>303.079679386927</v>
      </c>
      <c r="AR64" s="61" t="n">
        <f aca="false">AR63*'Assumption Setting'!$C$120*AR7/AR6</f>
        <v>324.046587689845</v>
      </c>
      <c r="AS64" s="61" t="n">
        <f aca="false">AS63*'Assumption Setting'!$C$120*AS7/AS6</f>
        <v>344.750797262022</v>
      </c>
      <c r="AT64" s="61" t="n">
        <f aca="false">AT63*'Assumption Setting'!$C$120*AT7/AT6</f>
        <v>365.18146584165</v>
      </c>
      <c r="AU64" s="61" t="n">
        <f aca="false">AU63*'Assumption Setting'!$C$120*AU7/AU6</f>
        <v>385.311574262749</v>
      </c>
      <c r="AV64" s="61" t="n">
        <f aca="false">AV63*'Assumption Setting'!$C$120*AV7/AV6</f>
        <v>405.132870796903</v>
      </c>
      <c r="AW64" s="61" t="n">
        <f aca="false">AW63*'Assumption Setting'!$C$120*AW7/AW6</f>
        <v>424.638081388702</v>
      </c>
      <c r="AX64" s="61" t="n">
        <f aca="false">AX63*'Assumption Setting'!$C$120*AX7/AX6</f>
        <v>443.820847171685</v>
      </c>
      <c r="AY64" s="61" t="n">
        <f aca="false">AY63*'Assumption Setting'!$C$120*AY7/AY6</f>
        <v>462.675665463622</v>
      </c>
      <c r="AZ64" s="61" t="n">
        <f aca="false">AZ63*'Assumption Setting'!$C$120*AZ7/AZ6</f>
        <v>481.1978340561</v>
      </c>
      <c r="BA64" s="61" t="n">
        <f aca="false">BA63*'Assumption Setting'!$C$120*BA7/BA6</f>
        <v>499.383398623081</v>
      </c>
      <c r="BB64" s="59" t="n">
        <f aca="false">SUM(BC64:BN64)</f>
        <v>8935.74643377472</v>
      </c>
      <c r="BC64" s="61" t="n">
        <f aca="false">BC63*'Assumption Setting'!$C$120*BC7/BC6</f>
        <v>604.242821297886</v>
      </c>
      <c r="BD64" s="61" t="n">
        <f aca="false">BD63*'Assumption Setting'!$C$120*BD7/BD6</f>
        <v>629.1882145705</v>
      </c>
      <c r="BE64" s="61" t="n">
        <f aca="false">BE63*'Assumption Setting'!$C$120*BE7/BE6</f>
        <v>655.974796106211</v>
      </c>
      <c r="BF64" s="61" t="n">
        <f aca="false">BF63*'Assumption Setting'!$C$120*BF7/BF6</f>
        <v>682.408668978529</v>
      </c>
      <c r="BG64" s="61" t="n">
        <f aca="false">BG63*'Assumption Setting'!$C$120*BG7/BG6</f>
        <v>708.478647536022</v>
      </c>
      <c r="BH64" s="61" t="n">
        <f aca="false">BH63*'Assumption Setting'!$C$120*BH7/BH6</f>
        <v>734.156830204165</v>
      </c>
      <c r="BI64" s="61" t="n">
        <f aca="false">BI63*'Assumption Setting'!$C$120*BI7/BI6</f>
        <v>759.434720800995</v>
      </c>
      <c r="BJ64" s="61" t="n">
        <f aca="false">BJ63*'Assumption Setting'!$C$120*BJ7/BJ6</f>
        <v>784.304854345568</v>
      </c>
      <c r="BK64" s="61" t="n">
        <f aca="false">BK63*'Assumption Setting'!$C$120*BK7/BK6</f>
        <v>808.760733670577</v>
      </c>
      <c r="BL64" s="61" t="n">
        <f aca="false">BL63*'Assumption Setting'!$C$120*BL7/BL6</f>
        <v>832.796769404259</v>
      </c>
      <c r="BM64" s="61" t="n">
        <f aca="false">BM63*'Assumption Setting'!$C$120*BM7/BM6</f>
        <v>856.408223151048</v>
      </c>
      <c r="BN64" s="61" t="n">
        <f aca="false">BN63*'Assumption Setting'!$C$120*BN7/BN6</f>
        <v>879.591153708964</v>
      </c>
    </row>
    <row r="66" customFormat="false" ht="15" hidden="false" customHeight="false" outlineLevel="0" collapsed="false">
      <c r="A66" s="9" t="s">
        <v>794</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row>
    <row r="67" customFormat="false" ht="15" hidden="false" customHeight="false" outlineLevel="0" collapsed="false">
      <c r="A67" s="56" t="s">
        <v>632</v>
      </c>
      <c r="B67" s="57" t="s">
        <v>87</v>
      </c>
      <c r="C67" s="58" t="s">
        <v>562</v>
      </c>
      <c r="D67" s="58" t="s">
        <v>563</v>
      </c>
      <c r="E67" s="58" t="s">
        <v>564</v>
      </c>
      <c r="F67" s="58" t="s">
        <v>565</v>
      </c>
      <c r="G67" s="58" t="s">
        <v>566</v>
      </c>
      <c r="H67" s="58" t="s">
        <v>567</v>
      </c>
      <c r="I67" s="58" t="s">
        <v>568</v>
      </c>
      <c r="J67" s="58" t="s">
        <v>569</v>
      </c>
      <c r="K67" s="58" t="s">
        <v>570</v>
      </c>
      <c r="L67" s="58" t="s">
        <v>571</v>
      </c>
      <c r="M67" s="58" t="s">
        <v>572</v>
      </c>
      <c r="N67" s="58" t="s">
        <v>573</v>
      </c>
      <c r="O67" s="57" t="s">
        <v>88</v>
      </c>
      <c r="P67" s="58" t="s">
        <v>574</v>
      </c>
      <c r="Q67" s="58" t="s">
        <v>575</v>
      </c>
      <c r="R67" s="58" t="s">
        <v>576</v>
      </c>
      <c r="S67" s="58" t="s">
        <v>577</v>
      </c>
      <c r="T67" s="58" t="s">
        <v>578</v>
      </c>
      <c r="U67" s="58" t="s">
        <v>579</v>
      </c>
      <c r="V67" s="58" t="s">
        <v>580</v>
      </c>
      <c r="W67" s="58" t="s">
        <v>581</v>
      </c>
      <c r="X67" s="58" t="s">
        <v>582</v>
      </c>
      <c r="Y67" s="58" t="s">
        <v>583</v>
      </c>
      <c r="Z67" s="58" t="s">
        <v>584</v>
      </c>
      <c r="AA67" s="58" t="s">
        <v>585</v>
      </c>
      <c r="AB67" s="57" t="s">
        <v>89</v>
      </c>
      <c r="AC67" s="58" t="s">
        <v>586</v>
      </c>
      <c r="AD67" s="58" t="s">
        <v>587</v>
      </c>
      <c r="AE67" s="58" t="s">
        <v>588</v>
      </c>
      <c r="AF67" s="58" t="s">
        <v>589</v>
      </c>
      <c r="AG67" s="58" t="s">
        <v>590</v>
      </c>
      <c r="AH67" s="58" t="s">
        <v>591</v>
      </c>
      <c r="AI67" s="58" t="s">
        <v>592</v>
      </c>
      <c r="AJ67" s="58" t="s">
        <v>593</v>
      </c>
      <c r="AK67" s="58" t="s">
        <v>594</v>
      </c>
      <c r="AL67" s="58" t="s">
        <v>595</v>
      </c>
      <c r="AM67" s="58" t="s">
        <v>596</v>
      </c>
      <c r="AN67" s="58" t="s">
        <v>597</v>
      </c>
      <c r="AO67" s="57" t="s">
        <v>90</v>
      </c>
      <c r="AP67" s="58" t="s">
        <v>598</v>
      </c>
      <c r="AQ67" s="58" t="s">
        <v>599</v>
      </c>
      <c r="AR67" s="58" t="s">
        <v>600</v>
      </c>
      <c r="AS67" s="58" t="s">
        <v>601</v>
      </c>
      <c r="AT67" s="58" t="s">
        <v>602</v>
      </c>
      <c r="AU67" s="58" t="s">
        <v>603</v>
      </c>
      <c r="AV67" s="58" t="s">
        <v>604</v>
      </c>
      <c r="AW67" s="58" t="s">
        <v>605</v>
      </c>
      <c r="AX67" s="58" t="s">
        <v>606</v>
      </c>
      <c r="AY67" s="58" t="s">
        <v>607</v>
      </c>
      <c r="AZ67" s="58" t="s">
        <v>608</v>
      </c>
      <c r="BA67" s="58" t="s">
        <v>609</v>
      </c>
      <c r="BB67" s="57" t="s">
        <v>91</v>
      </c>
      <c r="BC67" s="58" t="s">
        <v>610</v>
      </c>
      <c r="BD67" s="58" t="s">
        <v>611</v>
      </c>
      <c r="BE67" s="58" t="s">
        <v>612</v>
      </c>
      <c r="BF67" s="58" t="s">
        <v>613</v>
      </c>
      <c r="BG67" s="58" t="s">
        <v>614</v>
      </c>
      <c r="BH67" s="58" t="s">
        <v>615</v>
      </c>
      <c r="BI67" s="58" t="s">
        <v>616</v>
      </c>
      <c r="BJ67" s="58" t="s">
        <v>617</v>
      </c>
      <c r="BK67" s="58" t="s">
        <v>618</v>
      </c>
      <c r="BL67" s="58" t="s">
        <v>619</v>
      </c>
      <c r="BM67" s="58" t="s">
        <v>620</v>
      </c>
      <c r="BN67" s="58" t="s">
        <v>621</v>
      </c>
    </row>
    <row r="68" customFormat="false" ht="15" hidden="false" customHeight="false" outlineLevel="0" collapsed="false">
      <c r="A68" s="13" t="s">
        <v>795</v>
      </c>
      <c r="B68" s="59" t="n">
        <f aca="false">SUM(C68:N68)</f>
        <v>51659.2481549619</v>
      </c>
      <c r="C68" s="61" t="n">
        <f aca="false">C23+C29+C35+C40</f>
        <v>0</v>
      </c>
      <c r="D68" s="61" t="n">
        <f aca="false">D23+D29+D35+D40</f>
        <v>412.326437013929</v>
      </c>
      <c r="E68" s="61" t="n">
        <f aca="false">E23+E29+E35+E40</f>
        <v>1234.95563668801</v>
      </c>
      <c r="F68" s="61" t="n">
        <f aca="false">F23+F29+F35+F40</f>
        <v>2088.22482417137</v>
      </c>
      <c r="G68" s="61" t="n">
        <f aca="false">G23+G29+G35+G40</f>
        <v>2969.95871852505</v>
      </c>
      <c r="H68" s="61" t="n">
        <f aca="false">H23+H29+H35+H40</f>
        <v>3847.00436778334</v>
      </c>
      <c r="I68" s="61" t="n">
        <f aca="false">I23+I29+I35+I40</f>
        <v>4718.23089190263</v>
      </c>
      <c r="J68" s="61" t="n">
        <f aca="false">J23+J29+J35+J40</f>
        <v>5582.60533241894</v>
      </c>
      <c r="K68" s="61" t="n">
        <f aca="false">K23+K29+K35+K40</f>
        <v>6439.18640088558</v>
      </c>
      <c r="L68" s="61" t="n">
        <f aca="false">L23+L29+L35+L40</f>
        <v>7287.1185922761</v>
      </c>
      <c r="M68" s="61" t="n">
        <f aca="false">M23+M29+M35+M40</f>
        <v>8125.62664254708</v>
      </c>
      <c r="N68" s="61" t="n">
        <f aca="false">N23+N29+N35+N40</f>
        <v>8954.01031074991</v>
      </c>
      <c r="O68" s="59" t="n">
        <f aca="false">SUM(P68:AA68)</f>
        <v>281722.23737494</v>
      </c>
      <c r="P68" s="61" t="n">
        <f aca="false">P23+P29+P35+P40</f>
        <v>10548.5712976808</v>
      </c>
      <c r="Q68" s="61" t="n">
        <f aca="false">Q23+Q29+Q35+Q40</f>
        <v>12311.4161488701</v>
      </c>
      <c r="R68" s="61" t="n">
        <f aca="false">R23+R29+R35+R40</f>
        <v>14735.0360757727</v>
      </c>
      <c r="S68" s="61" t="n">
        <f aca="false">S23+S29+S35+S40</f>
        <v>17200.820024167</v>
      </c>
      <c r="T68" s="61" t="n">
        <f aca="false">T23+T29+T35+T40</f>
        <v>19704.9332205823</v>
      </c>
      <c r="U68" s="61" t="n">
        <f aca="false">U23+U29+U35+U40</f>
        <v>22202.6633169893</v>
      </c>
      <c r="V68" s="61" t="n">
        <f aca="false">V23+V29+V35+V40</f>
        <v>24691.528037531</v>
      </c>
      <c r="W68" s="61" t="n">
        <f aca="false">W23+W29+W35+W40</f>
        <v>27169.2152313788</v>
      </c>
      <c r="X68" s="61" t="n">
        <f aca="false">X23+X29+X35+X40</f>
        <v>29633.5740015248</v>
      </c>
      <c r="Y68" s="61" t="n">
        <f aca="false">Y23+Y29+Y35+Y40</f>
        <v>32082.6062593841</v>
      </c>
      <c r="Z68" s="61" t="n">
        <f aca="false">Z23+Z29+Z35+Z40</f>
        <v>34514.4586852751</v>
      </c>
      <c r="AA68" s="61" t="n">
        <f aca="false">AA23+AA29+AA35+AA40</f>
        <v>36927.4150757836</v>
      </c>
      <c r="AB68" s="59" t="n">
        <f aca="false">SUM(AC68:AN68)</f>
        <v>840890.132432588</v>
      </c>
      <c r="AC68" s="61" t="n">
        <f aca="false">AC23+AC29+AC35+AC40</f>
        <v>42363.1441892854</v>
      </c>
      <c r="AD68" s="61" t="n">
        <f aca="false">AD23+AD29+AD35+AD40</f>
        <v>46514.5897744001</v>
      </c>
      <c r="AE68" s="61" t="n">
        <f aca="false">AE23+AE29+AE35+AE40</f>
        <v>51660.1282268613</v>
      </c>
      <c r="AF68" s="61" t="n">
        <f aca="false">AF23+AF29+AF35+AF40</f>
        <v>56867.5312848923</v>
      </c>
      <c r="AG68" s="61" t="n">
        <f aca="false">AG23+AG29+AG35+AG40</f>
        <v>62130.8897112707</v>
      </c>
      <c r="AH68" s="61" t="n">
        <f aca="false">AH23+AH29+AH35+AH40</f>
        <v>67388.9755858745</v>
      </c>
      <c r="AI68" s="61" t="n">
        <f aca="false">AI23+AI29+AI35+AI40</f>
        <v>72637.6402646532</v>
      </c>
      <c r="AJ68" s="61" t="n">
        <f aca="false">AJ23+AJ29+AJ35+AJ40</f>
        <v>77872.9740336049</v>
      </c>
      <c r="AK68" s="61" t="n">
        <f aca="false">AK23+AK29+AK35+AK40</f>
        <v>83091.2952399334</v>
      </c>
      <c r="AL68" s="61" t="n">
        <f aca="false">AL23+AL29+AL35+AL40</f>
        <v>88289.1398899574</v>
      </c>
      <c r="AM68" s="61" t="n">
        <f aca="false">AM23+AM29+AM35+AM40</f>
        <v>93463.2516938338</v>
      </c>
      <c r="AN68" s="61" t="n">
        <f aca="false">AN23+AN29+AN35+AN40</f>
        <v>98610.5725380212</v>
      </c>
      <c r="AO68" s="59" t="n">
        <f aca="false">SUM(AP68:BA68)</f>
        <v>1865908.74988127</v>
      </c>
      <c r="AP68" s="61" t="n">
        <f aca="false">AP23+AP29+AP35+AP40</f>
        <v>110559.137140533</v>
      </c>
      <c r="AQ68" s="61" t="n">
        <f aca="false">AQ23+AQ29+AQ35+AQ40</f>
        <v>117851.48191486</v>
      </c>
      <c r="AR68" s="61" t="n">
        <f aca="false">AR23+AR29+AR35+AR40</f>
        <v>126184.281796768</v>
      </c>
      <c r="AS68" s="61" t="n">
        <f aca="false">AS23+AS29+AS35+AS40</f>
        <v>134557.022952555</v>
      </c>
      <c r="AT68" s="61" t="n">
        <f aca="false">AT23+AT29+AT35+AT40</f>
        <v>142963.055672511</v>
      </c>
      <c r="AU68" s="61" t="n">
        <f aca="false">AU23+AU29+AU35+AU40</f>
        <v>151348.690151359</v>
      </c>
      <c r="AV68" s="61" t="n">
        <f aca="false">AV23+AV29+AV35+AV40</f>
        <v>159708.872375612</v>
      </c>
      <c r="AW68" s="61" t="n">
        <f aca="false">AW23+AW29+AW35+AW40</f>
        <v>168038.823555448</v>
      </c>
      <c r="AX68" s="61" t="n">
        <f aca="false">AX23+AX29+AX35+AX40</f>
        <v>176334.028554176</v>
      </c>
      <c r="AY68" s="61" t="n">
        <f aca="false">AY23+AY29+AY35+AY40</f>
        <v>184590.224773016</v>
      </c>
      <c r="AZ68" s="61" t="n">
        <f aca="false">AZ23+AZ29+AZ35+AZ40</f>
        <v>192803.391473553</v>
      </c>
      <c r="BA68" s="61" t="n">
        <f aca="false">BA23+BA29+BA35+BA40</f>
        <v>200969.739520877</v>
      </c>
      <c r="BB68" s="59" t="n">
        <f aca="false">SUM(BC68:BN68)</f>
        <v>3334416.36303228</v>
      </c>
      <c r="BC68" s="61" t="n">
        <f aca="false">BC23+BC29+BC35+BC40</f>
        <v>220732.388878095</v>
      </c>
      <c r="BD68" s="61" t="n">
        <f aca="false">BD23+BD29+BD35+BD40</f>
        <v>230618.059182327</v>
      </c>
      <c r="BE68" s="61" t="n">
        <f aca="false">BE23+BE29+BE35+BE40</f>
        <v>241142.226363762</v>
      </c>
      <c r="BF68" s="61" t="n">
        <f aca="false">BF23+BF29+BF35+BF40</f>
        <v>251688.792720752</v>
      </c>
      <c r="BG68" s="61" t="n">
        <f aca="false">BG23+BG29+BG35+BG40</f>
        <v>262251.26965725</v>
      </c>
      <c r="BH68" s="61" t="n">
        <f aca="false">BH23+BH29+BH35+BH40</f>
        <v>272778.958463403</v>
      </c>
      <c r="BI68" s="61" t="n">
        <f aca="false">BI23+BI29+BI35+BI40</f>
        <v>283266.823375346</v>
      </c>
      <c r="BJ68" s="61" t="n">
        <f aca="false">BJ23+BJ29+BJ35+BJ40</f>
        <v>293710.090130974</v>
      </c>
      <c r="BK68" s="61" t="n">
        <f aca="false">BK23+BK29+BK35+BK40</f>
        <v>304104.235621042</v>
      </c>
      <c r="BL68" s="61" t="n">
        <f aca="false">BL23+BL29+BL35+BL40</f>
        <v>314444.977924021</v>
      </c>
      <c r="BM68" s="61" t="n">
        <f aca="false">BM23+BM29+BM35+BM40</f>
        <v>324728.266710646</v>
      </c>
      <c r="BN68" s="61" t="n">
        <f aca="false">BN23+BN29+BN35+BN40</f>
        <v>334950.274004669</v>
      </c>
    </row>
    <row r="69" customFormat="false" ht="15" hidden="false" customHeight="false" outlineLevel="0" collapsed="false">
      <c r="A69" s="13" t="s">
        <v>796</v>
      </c>
      <c r="B69" s="59" t="n">
        <f aca="false">SUM(C69:N69)</f>
        <v>14741.2277129893</v>
      </c>
      <c r="C69" s="61" t="n">
        <f aca="false">C49+C59</f>
        <v>0</v>
      </c>
      <c r="D69" s="61" t="n">
        <f aca="false">D49+D59</f>
        <v>124.099046029473</v>
      </c>
      <c r="E69" s="61" t="n">
        <f aca="false">E49+E59</f>
        <v>371.349907518227</v>
      </c>
      <c r="F69" s="61" t="n">
        <f aca="false">F49+F59</f>
        <v>618.369126012974</v>
      </c>
      <c r="G69" s="61" t="n">
        <f aca="false">G49+G59</f>
        <v>864.70841434041</v>
      </c>
      <c r="H69" s="61" t="n">
        <f aca="false">H49+H59</f>
        <v>1109.28574290198</v>
      </c>
      <c r="I69" s="61" t="n">
        <f aca="false">I49+I59</f>
        <v>1351.75538706221</v>
      </c>
      <c r="J69" s="61" t="n">
        <f aca="false">J49+J59</f>
        <v>1591.8031709796</v>
      </c>
      <c r="K69" s="61" t="n">
        <f aca="false">K49+K59</f>
        <v>1829.144430021</v>
      </c>
      <c r="L69" s="61" t="n">
        <f aca="false">L49+L59</f>
        <v>2063.52209088587</v>
      </c>
      <c r="M69" s="61" t="n">
        <f aca="false">M49+M59</f>
        <v>2294.70486290422</v>
      </c>
      <c r="N69" s="61" t="n">
        <f aca="false">N49+N59</f>
        <v>2522.48553433335</v>
      </c>
      <c r="O69" s="59" t="n">
        <f aca="false">SUM(P69:AA69)</f>
        <v>101762.280760851</v>
      </c>
      <c r="P69" s="61" t="n">
        <f aca="false">P49+P59</f>
        <v>3364.35578929363</v>
      </c>
      <c r="Q69" s="61" t="n">
        <f aca="false">Q49+Q59</f>
        <v>3933.09004675045</v>
      </c>
      <c r="R69" s="61" t="n">
        <f aca="false">R49+R59</f>
        <v>4725.81494840252</v>
      </c>
      <c r="S69" s="61" t="n">
        <f aca="false">S49+S59</f>
        <v>5516.49666607861</v>
      </c>
      <c r="T69" s="61" t="n">
        <f aca="false">T49+T59</f>
        <v>6304.10870110659</v>
      </c>
      <c r="U69" s="61" t="n">
        <f aca="false">U49+U59</f>
        <v>7086.71930113982</v>
      </c>
      <c r="V69" s="61" t="n">
        <f aca="false">V49+V59</f>
        <v>9521.6363542658</v>
      </c>
      <c r="W69" s="61" t="n">
        <f aca="false">W49+W59</f>
        <v>10448.9610781138</v>
      </c>
      <c r="X69" s="61" t="n">
        <f aca="false">X49+X59</f>
        <v>11366.4326941031</v>
      </c>
      <c r="Y69" s="61" t="n">
        <f aca="false">Y49+Y59</f>
        <v>12273.2956233906</v>
      </c>
      <c r="Z69" s="61" t="n">
        <f aca="false">Z49+Z59</f>
        <v>13168.8619729266</v>
      </c>
      <c r="AA69" s="61" t="n">
        <f aca="false">AA49+AA59</f>
        <v>14052.5075852795</v>
      </c>
      <c r="AB69" s="59" t="n">
        <f aca="false">SUM(AC69:AN69)</f>
        <v>360398.037940749</v>
      </c>
      <c r="AC69" s="61" t="n">
        <f aca="false">AC49+AC59</f>
        <v>18366.0880706231</v>
      </c>
      <c r="AD69" s="61" t="n">
        <f aca="false">AD49+AD59</f>
        <v>20146.2751775415</v>
      </c>
      <c r="AE69" s="61" t="n">
        <f aca="false">AE49+AE59</f>
        <v>22384.3857882622</v>
      </c>
      <c r="AF69" s="61" t="n">
        <f aca="false">AF49+AF59</f>
        <v>24611.1898961142</v>
      </c>
      <c r="AG69" s="61" t="n">
        <f aca="false">AG49+AG59</f>
        <v>26824.536150025</v>
      </c>
      <c r="AH69" s="61" t="n">
        <f aca="false">AH49+AH59</f>
        <v>29020.3636673542</v>
      </c>
      <c r="AI69" s="61" t="n">
        <f aca="false">AI49+AI59</f>
        <v>31196.8878159705</v>
      </c>
      <c r="AJ69" s="61" t="n">
        <f aca="false">AJ49+AJ59</f>
        <v>33352.4599360413</v>
      </c>
      <c r="AK69" s="61" t="n">
        <f aca="false">AK49+AK59</f>
        <v>35485.5602948316</v>
      </c>
      <c r="AL69" s="61" t="n">
        <f aca="false">AL49+AL59</f>
        <v>37594.7913646684</v>
      </c>
      <c r="AM69" s="61" t="n">
        <f aca="false">AM49+AM59</f>
        <v>39678.8714099136</v>
      </c>
      <c r="AN69" s="61" t="n">
        <f aca="false">AN49+AN59</f>
        <v>41736.628369403</v>
      </c>
      <c r="AO69" s="59" t="n">
        <f aca="false">SUM(AP69:BA69)</f>
        <v>862230.806772958</v>
      </c>
      <c r="AP69" s="61" t="n">
        <f aca="false">AP49+AP59</f>
        <v>51597.6192605199</v>
      </c>
      <c r="AQ69" s="61" t="n">
        <f aca="false">AQ49+AQ59</f>
        <v>54938.0567293509</v>
      </c>
      <c r="AR69" s="61" t="n">
        <f aca="false">AR49+AR59</f>
        <v>58797.6827582676</v>
      </c>
      <c r="AS69" s="61" t="n">
        <f aca="false">AS49+AS59</f>
        <v>62626.8943518006</v>
      </c>
      <c r="AT69" s="61" t="n">
        <f aca="false">AT49+AT59</f>
        <v>66423.0335794246</v>
      </c>
      <c r="AU69" s="61" t="n">
        <f aca="false">AU49+AU59</f>
        <v>70181.7144568371</v>
      </c>
      <c r="AV69" s="61" t="n">
        <f aca="false">AV49+AV59</f>
        <v>73900.7138428614</v>
      </c>
      <c r="AW69" s="61" t="n">
        <f aca="false">AW49+AW59</f>
        <v>77577.9808506846</v>
      </c>
      <c r="AX69" s="61" t="n">
        <f aca="false">AX49+AX59</f>
        <v>81211.6283580719</v>
      </c>
      <c r="AY69" s="61" t="n">
        <f aca="false">AY49+AY59</f>
        <v>84799.9248813003</v>
      </c>
      <c r="AZ69" s="61" t="n">
        <f aca="false">AZ49+AZ59</f>
        <v>88341.2867981295</v>
      </c>
      <c r="BA69" s="61" t="n">
        <f aca="false">BA49+BA59</f>
        <v>91834.2709057097</v>
      </c>
      <c r="BB69" s="59" t="n">
        <f aca="false">SUM(BC69:BN69)</f>
        <v>1613894.71711835</v>
      </c>
      <c r="BC69" s="61" t="n">
        <f aca="false">BC49+BC59</f>
        <v>108320.034453287</v>
      </c>
      <c r="BD69" s="61" t="n">
        <f aca="false">BD49+BD59</f>
        <v>112933.521203314</v>
      </c>
      <c r="BE69" s="61" t="n">
        <f aca="false">BE49+BE59</f>
        <v>117875.609688717</v>
      </c>
      <c r="BF69" s="61" t="n">
        <f aca="false">BF49+BF59</f>
        <v>122771.92092741</v>
      </c>
      <c r="BG69" s="61" t="n">
        <f aca="false">BG49+BG59</f>
        <v>127619.764644373</v>
      </c>
      <c r="BH69" s="61" t="n">
        <f aca="false">BH49+BH59</f>
        <v>132414.728522609</v>
      </c>
      <c r="BI69" s="61" t="n">
        <f aca="false">BI49+BI59</f>
        <v>137154.560750511</v>
      </c>
      <c r="BJ69" s="61" t="n">
        <f aca="false">BJ49+BJ59</f>
        <v>141837.185806947</v>
      </c>
      <c r="BK69" s="61" t="n">
        <f aca="false">BK49+BK59</f>
        <v>146460.696123513</v>
      </c>
      <c r="BL69" s="61" t="n">
        <f aca="false">BL49+BL59</f>
        <v>151023.344086176</v>
      </c>
      <c r="BM69" s="61" t="n">
        <f aca="false">BM49+BM59</f>
        <v>155523.534363377</v>
      </c>
      <c r="BN69" s="61" t="n">
        <f aca="false">BN49+BN59</f>
        <v>159959.816548117</v>
      </c>
    </row>
    <row r="70" customFormat="false" ht="15" hidden="false" customHeight="false" outlineLevel="0" collapsed="false">
      <c r="A70" s="13" t="s">
        <v>797</v>
      </c>
      <c r="B70" s="59" t="n">
        <f aca="false">SUM(C70:N70)</f>
        <v>2201.57826800565</v>
      </c>
      <c r="C70" s="61" t="n">
        <f aca="false">C54</f>
        <v>0</v>
      </c>
      <c r="D70" s="61" t="n">
        <f aca="false">D54</f>
        <v>0</v>
      </c>
      <c r="E70" s="61" t="n">
        <f aca="false">E54</f>
        <v>0</v>
      </c>
      <c r="F70" s="61" t="n">
        <f aca="false">F54</f>
        <v>217.403824013703</v>
      </c>
      <c r="G70" s="61" t="n">
        <f aca="false">G54</f>
        <v>225.114205524593</v>
      </c>
      <c r="H70" s="61" t="n">
        <f aca="false">H54</f>
        <v>232.409900573805</v>
      </c>
      <c r="I70" s="61" t="n">
        <f aca="false">I54</f>
        <v>239.309165279224</v>
      </c>
      <c r="J70" s="61" t="n">
        <f aca="false">J54</f>
        <v>245.829467747153</v>
      </c>
      <c r="K70" s="61" t="n">
        <f aca="false">K54</f>
        <v>251.987522011891</v>
      </c>
      <c r="L70" s="61" t="n">
        <f aca="false">L54</f>
        <v>257.799320513889</v>
      </c>
      <c r="M70" s="61" t="n">
        <f aca="false">M54</f>
        <v>263.280165179418</v>
      </c>
      <c r="N70" s="61" t="n">
        <f aca="false">N54</f>
        <v>268.444697161969</v>
      </c>
      <c r="O70" s="59" t="n">
        <f aca="false">SUM(P70:AA70)</f>
        <v>8375.99103705939</v>
      </c>
      <c r="P70" s="61" t="n">
        <f aca="false">P54</f>
        <v>330.212202445901</v>
      </c>
      <c r="Q70" s="61" t="n">
        <f aca="false">Q54</f>
        <v>651.785506150057</v>
      </c>
      <c r="R70" s="61" t="n">
        <f aca="false">R54</f>
        <v>670.155802302942</v>
      </c>
      <c r="S70" s="61" t="n">
        <f aca="false">S54</f>
        <v>688.326748980205</v>
      </c>
      <c r="T70" s="61" t="n">
        <f aca="false">T54</f>
        <v>704.886909031957</v>
      </c>
      <c r="U70" s="61" t="n">
        <f aca="false">U54</f>
        <v>720.597351279003</v>
      </c>
      <c r="V70" s="61" t="n">
        <f aca="false">V54</f>
        <v>735.491955467479</v>
      </c>
      <c r="W70" s="61" t="n">
        <f aca="false">W54</f>
        <v>749.603285991152</v>
      </c>
      <c r="X70" s="61" t="n">
        <f aca="false">X54</f>
        <v>762.962642792069</v>
      </c>
      <c r="Y70" s="61" t="n">
        <f aca="false">Y54</f>
        <v>775.600110292298</v>
      </c>
      <c r="Z70" s="61" t="n">
        <f aca="false">Z54</f>
        <v>787.544604432911</v>
      </c>
      <c r="AA70" s="61" t="n">
        <f aca="false">AA54</f>
        <v>798.823917893412</v>
      </c>
      <c r="AB70" s="59" t="n">
        <f aca="false">SUM(AC70:AN70)</f>
        <v>18337.9043787047</v>
      </c>
      <c r="AC70" s="61" t="n">
        <f aca="false">AC54</f>
        <v>967.38994992343</v>
      </c>
      <c r="AD70" s="61" t="n">
        <f aca="false">AD54</f>
        <v>1449.59903884453</v>
      </c>
      <c r="AE70" s="61" t="n">
        <f aca="false">AE54</f>
        <v>1479.48386960231</v>
      </c>
      <c r="AF70" s="61" t="n">
        <f aca="false">AF54</f>
        <v>1508.86282787523</v>
      </c>
      <c r="AG70" s="61" t="n">
        <f aca="false">AG54</f>
        <v>1535.83044245923</v>
      </c>
      <c r="AH70" s="61" t="n">
        <f aca="false">AH54</f>
        <v>1561.42350138088</v>
      </c>
      <c r="AI70" s="61" t="n">
        <f aca="false">AI54</f>
        <v>1585.69380612126</v>
      </c>
      <c r="AJ70" s="61" t="n">
        <f aca="false">AJ54</f>
        <v>1608.69126895007</v>
      </c>
      <c r="AK70" s="61" t="n">
        <f aca="false">AK54</f>
        <v>1630.46398153179</v>
      </c>
      <c r="AL70" s="61" t="n">
        <f aca="false">AL54</f>
        <v>1651.05828104188</v>
      </c>
      <c r="AM70" s="61" t="n">
        <f aca="false">AM54</f>
        <v>1670.51881388336</v>
      </c>
      <c r="AN70" s="61" t="n">
        <f aca="false">AN54</f>
        <v>1688.88859709073</v>
      </c>
      <c r="AO70" s="59" t="n">
        <f aca="false">SUM(AP70:BA70)</f>
        <v>30966.4936955782</v>
      </c>
      <c r="AP70" s="61" t="n">
        <f aca="false">AP54</f>
        <v>1969.47073937272</v>
      </c>
      <c r="AQ70" s="61" t="n">
        <f aca="false">AQ54</f>
        <v>2481.70441541499</v>
      </c>
      <c r="AR70" s="61" t="n">
        <f aca="false">AR54</f>
        <v>2517.60214046328</v>
      </c>
      <c r="AS70" s="61" t="n">
        <f aca="false">AS54</f>
        <v>2552.48740317798</v>
      </c>
      <c r="AT70" s="61" t="n">
        <f aca="false">AT54</f>
        <v>2584.75608897548</v>
      </c>
      <c r="AU70" s="61" t="n">
        <f aca="false">AU54</f>
        <v>2615.31088255372</v>
      </c>
      <c r="AV70" s="61" t="n">
        <f aca="false">AV54</f>
        <v>2644.21444201988</v>
      </c>
      <c r="AW70" s="61" t="n">
        <f aca="false">AW54</f>
        <v>2671.52722506636</v>
      </c>
      <c r="AX70" s="61" t="n">
        <f aca="false">AX54</f>
        <v>2697.30756582693</v>
      </c>
      <c r="AY70" s="61" t="n">
        <f aca="false">AY54</f>
        <v>2721.61174905057</v>
      </c>
      <c r="AZ70" s="61" t="n">
        <f aca="false">AZ54</f>
        <v>2744.49408168635</v>
      </c>
      <c r="BA70" s="61" t="n">
        <f aca="false">BA54</f>
        <v>2766.00696196992</v>
      </c>
      <c r="BB70" s="59" t="n">
        <f aca="false">SUM(BC70:BN70)</f>
        <v>41465.2846288978</v>
      </c>
      <c r="BC70" s="61" t="n">
        <f aca="false">BC54</f>
        <v>3007.27610116735</v>
      </c>
      <c r="BD70" s="61" t="n">
        <f aca="false">BD54</f>
        <v>3351.87969384453</v>
      </c>
      <c r="BE70" s="61" t="n">
        <f aca="false">BE54</f>
        <v>3385.8304115218</v>
      </c>
      <c r="BF70" s="61" t="n">
        <f aca="false">BF54</f>
        <v>3418.69909103013</v>
      </c>
      <c r="BG70" s="61" t="n">
        <f aca="false">BG54</f>
        <v>3448.9808803634</v>
      </c>
      <c r="BH70" s="61" t="n">
        <f aca="false">BH54</f>
        <v>3477.52792762424</v>
      </c>
      <c r="BI70" s="61" t="n">
        <f aca="false">BI54</f>
        <v>3504.40247503389</v>
      </c>
      <c r="BJ70" s="61" t="n">
        <f aca="false">BJ54</f>
        <v>3529.6646380297</v>
      </c>
      <c r="BK70" s="61" t="n">
        <f aca="false">BK54</f>
        <v>3553.37247744897</v>
      </c>
      <c r="BL70" s="61" t="n">
        <f aca="false">BL54</f>
        <v>3575.58206926523</v>
      </c>
      <c r="BM70" s="61" t="n">
        <f aca="false">BM54</f>
        <v>3596.34757195975</v>
      </c>
      <c r="BN70" s="61" t="n">
        <f aca="false">BN54</f>
        <v>3615.7212916088</v>
      </c>
    </row>
    <row r="71" customFormat="false" ht="15" hidden="false" customHeight="false" outlineLevel="0" collapsed="false">
      <c r="A71" s="13" t="s">
        <v>798</v>
      </c>
      <c r="B71" s="59" t="n">
        <f aca="false">SUM(C71:N71)</f>
        <v>0</v>
      </c>
      <c r="C71" s="61" t="n">
        <f aca="false">C64</f>
        <v>0</v>
      </c>
      <c r="D71" s="61" t="n">
        <f aca="false">D64</f>
        <v>0</v>
      </c>
      <c r="E71" s="61" t="n">
        <f aca="false">E64</f>
        <v>0</v>
      </c>
      <c r="F71" s="61" t="n">
        <f aca="false">F64</f>
        <v>0</v>
      </c>
      <c r="G71" s="61" t="n">
        <f aca="false">G64</f>
        <v>0</v>
      </c>
      <c r="H71" s="61" t="n">
        <f aca="false">H64</f>
        <v>0</v>
      </c>
      <c r="I71" s="61" t="n">
        <f aca="false">I64</f>
        <v>0</v>
      </c>
      <c r="J71" s="61" t="n">
        <f aca="false">J64</f>
        <v>0</v>
      </c>
      <c r="K71" s="61" t="n">
        <f aca="false">K64</f>
        <v>0</v>
      </c>
      <c r="L71" s="61" t="n">
        <f aca="false">L64</f>
        <v>0</v>
      </c>
      <c r="M71" s="61" t="n">
        <f aca="false">M64</f>
        <v>0</v>
      </c>
      <c r="N71" s="61" t="n">
        <f aca="false">N64</f>
        <v>0</v>
      </c>
      <c r="O71" s="59" t="n">
        <f aca="false">SUM(P71:AA71)</f>
        <v>0</v>
      </c>
      <c r="P71" s="61" t="n">
        <f aca="false">P64</f>
        <v>0</v>
      </c>
      <c r="Q71" s="61" t="n">
        <f aca="false">Q64</f>
        <v>0</v>
      </c>
      <c r="R71" s="61" t="n">
        <f aca="false">R64</f>
        <v>0</v>
      </c>
      <c r="S71" s="61" t="n">
        <f aca="false">S64</f>
        <v>0</v>
      </c>
      <c r="T71" s="61" t="n">
        <f aca="false">T64</f>
        <v>0</v>
      </c>
      <c r="U71" s="61" t="n">
        <f aca="false">U64</f>
        <v>0</v>
      </c>
      <c r="V71" s="61" t="n">
        <f aca="false">V64</f>
        <v>0</v>
      </c>
      <c r="W71" s="61" t="n">
        <f aca="false">W64</f>
        <v>0</v>
      </c>
      <c r="X71" s="61" t="n">
        <f aca="false">X64</f>
        <v>0</v>
      </c>
      <c r="Y71" s="61" t="n">
        <f aca="false">Y64</f>
        <v>0</v>
      </c>
      <c r="Z71" s="61" t="n">
        <f aca="false">Z64</f>
        <v>0</v>
      </c>
      <c r="AA71" s="61" t="n">
        <f aca="false">AA64</f>
        <v>0</v>
      </c>
      <c r="AB71" s="59" t="n">
        <f aca="false">SUM(AC71:AN71)</f>
        <v>1986.62834844197</v>
      </c>
      <c r="AC71" s="61" t="n">
        <f aca="false">AC64</f>
        <v>102.393784033168</v>
      </c>
      <c r="AD71" s="61" t="n">
        <f aca="false">AD64</f>
        <v>112.149883666298</v>
      </c>
      <c r="AE71" s="61" t="n">
        <f aca="false">AE64</f>
        <v>124.420831173604</v>
      </c>
      <c r="AF71" s="61" t="n">
        <f aca="false">AF64</f>
        <v>136.570518287097</v>
      </c>
      <c r="AG71" s="61" t="n">
        <f aca="false">AG64</f>
        <v>148.589128244585</v>
      </c>
      <c r="AH71" s="61" t="n">
        <f aca="false">AH64</f>
        <v>160.449518580011</v>
      </c>
      <c r="AI71" s="61" t="n">
        <f aca="false">AI64</f>
        <v>172.14416129669</v>
      </c>
      <c r="AJ71" s="61" t="n">
        <f aca="false">AJ64</f>
        <v>183.666343040957</v>
      </c>
      <c r="AK71" s="61" t="n">
        <f aca="false">AK64</f>
        <v>195.010110857746</v>
      </c>
      <c r="AL71" s="61" t="n">
        <f aca="false">AL64</f>
        <v>206.170221154325</v>
      </c>
      <c r="AM71" s="61" t="n">
        <f aca="false">AM64</f>
        <v>217.142091689733</v>
      </c>
      <c r="AN71" s="61" t="n">
        <f aca="false">AN64</f>
        <v>227.921756417752</v>
      </c>
      <c r="AO71" s="59" t="n">
        <f aca="false">SUM(AP71:BA71)</f>
        <v>4724.1424360894</v>
      </c>
      <c r="AP71" s="61" t="n">
        <f aca="false">AP64</f>
        <v>284.923634146115</v>
      </c>
      <c r="AQ71" s="61" t="n">
        <f aca="false">AQ64</f>
        <v>303.079679386927</v>
      </c>
      <c r="AR71" s="61" t="n">
        <f aca="false">AR64</f>
        <v>324.046587689845</v>
      </c>
      <c r="AS71" s="61" t="n">
        <f aca="false">AS64</f>
        <v>344.750797262022</v>
      </c>
      <c r="AT71" s="61" t="n">
        <f aca="false">AT64</f>
        <v>365.18146584165</v>
      </c>
      <c r="AU71" s="61" t="n">
        <f aca="false">AU64</f>
        <v>385.311574262749</v>
      </c>
      <c r="AV71" s="61" t="n">
        <f aca="false">AV64</f>
        <v>405.132870796903</v>
      </c>
      <c r="AW71" s="61" t="n">
        <f aca="false">AW64</f>
        <v>424.638081388702</v>
      </c>
      <c r="AX71" s="61" t="n">
        <f aca="false">AX64</f>
        <v>443.820847171685</v>
      </c>
      <c r="AY71" s="61" t="n">
        <f aca="false">AY64</f>
        <v>462.675665463622</v>
      </c>
      <c r="AZ71" s="61" t="n">
        <f aca="false">AZ64</f>
        <v>481.1978340561</v>
      </c>
      <c r="BA71" s="61" t="n">
        <f aca="false">BA64</f>
        <v>499.383398623081</v>
      </c>
      <c r="BB71" s="59" t="n">
        <f aca="false">SUM(BC71:BN71)</f>
        <v>8935.74643377472</v>
      </c>
      <c r="BC71" s="61" t="n">
        <f aca="false">BC64</f>
        <v>604.242821297886</v>
      </c>
      <c r="BD71" s="61" t="n">
        <f aca="false">BD64</f>
        <v>629.1882145705</v>
      </c>
      <c r="BE71" s="61" t="n">
        <f aca="false">BE64</f>
        <v>655.974796106211</v>
      </c>
      <c r="BF71" s="61" t="n">
        <f aca="false">BF64</f>
        <v>682.408668978529</v>
      </c>
      <c r="BG71" s="61" t="n">
        <f aca="false">BG64</f>
        <v>708.478647536022</v>
      </c>
      <c r="BH71" s="61" t="n">
        <f aca="false">BH64</f>
        <v>734.156830204165</v>
      </c>
      <c r="BI71" s="61" t="n">
        <f aca="false">BI64</f>
        <v>759.434720800995</v>
      </c>
      <c r="BJ71" s="61" t="n">
        <f aca="false">BJ64</f>
        <v>784.304854345568</v>
      </c>
      <c r="BK71" s="61" t="n">
        <f aca="false">BK64</f>
        <v>808.760733670577</v>
      </c>
      <c r="BL71" s="61" t="n">
        <f aca="false">BL64</f>
        <v>832.796769404259</v>
      </c>
      <c r="BM71" s="61" t="n">
        <f aca="false">BM64</f>
        <v>856.408223151048</v>
      </c>
      <c r="BN71" s="61" t="n">
        <f aca="false">BN64</f>
        <v>879.591153708964</v>
      </c>
    </row>
    <row r="72" customFormat="false" ht="15" hidden="false" customHeight="false" outlineLevel="0" collapsed="false">
      <c r="A72" s="13" t="s">
        <v>799</v>
      </c>
      <c r="B72" s="59" t="n">
        <f aca="false">SUM(C72:N72)</f>
        <v>68602.0541359569</v>
      </c>
      <c r="C72" s="61" t="n">
        <f aca="false">C68+C69+C70+C71</f>
        <v>0</v>
      </c>
      <c r="D72" s="61" t="n">
        <f aca="false">D68+D69+D70+D71</f>
        <v>536.425483043402</v>
      </c>
      <c r="E72" s="61" t="n">
        <f aca="false">E68+E69+E70+E71</f>
        <v>1606.30554420624</v>
      </c>
      <c r="F72" s="61" t="n">
        <f aca="false">F68+F69+F70+F71</f>
        <v>2923.99777419804</v>
      </c>
      <c r="G72" s="61" t="n">
        <f aca="false">G68+G69+G70+G71</f>
        <v>4059.78133839006</v>
      </c>
      <c r="H72" s="61" t="n">
        <f aca="false">H68+H69+H70+H71</f>
        <v>5188.70001125913</v>
      </c>
      <c r="I72" s="61" t="n">
        <f aca="false">I68+I69+I70+I71</f>
        <v>6309.29544424406</v>
      </c>
      <c r="J72" s="61" t="n">
        <f aca="false">J68+J69+J70+J71</f>
        <v>7420.23797114569</v>
      </c>
      <c r="K72" s="61" t="n">
        <f aca="false">K68+K69+K70+K71</f>
        <v>8520.31835291847</v>
      </c>
      <c r="L72" s="61" t="n">
        <f aca="false">L68+L69+L70+L71</f>
        <v>9608.44000367586</v>
      </c>
      <c r="M72" s="61" t="n">
        <f aca="false">M68+M69+M70+M71</f>
        <v>10683.6116706307</v>
      </c>
      <c r="N72" s="61" t="n">
        <f aca="false">N68+N69+N70+N71</f>
        <v>11744.9405422452</v>
      </c>
      <c r="O72" s="59" t="n">
        <f aca="false">SUM(P72:AA72)</f>
        <v>391860.50917285</v>
      </c>
      <c r="P72" s="61" t="n">
        <f aca="false">P68+P69+P70+P71</f>
        <v>14243.1392894203</v>
      </c>
      <c r="Q72" s="61" t="n">
        <f aca="false">Q68+Q69+Q70+Q71</f>
        <v>16896.2917017707</v>
      </c>
      <c r="R72" s="61" t="n">
        <f aca="false">R68+R69+R70+R71</f>
        <v>20131.0068264781</v>
      </c>
      <c r="S72" s="61" t="n">
        <f aca="false">S68+S69+S70+S71</f>
        <v>23405.6434392258</v>
      </c>
      <c r="T72" s="61" t="n">
        <f aca="false">T68+T69+T70+T71</f>
        <v>26713.9288307208</v>
      </c>
      <c r="U72" s="61" t="n">
        <f aca="false">U68+U69+U70+U71</f>
        <v>30009.9799694081</v>
      </c>
      <c r="V72" s="61" t="n">
        <f aca="false">V68+V69+V70+V71</f>
        <v>34948.6563472643</v>
      </c>
      <c r="W72" s="61" t="n">
        <f aca="false">W68+W69+W70+W71</f>
        <v>38367.7795954838</v>
      </c>
      <c r="X72" s="61" t="n">
        <f aca="false">X68+X69+X70+X71</f>
        <v>41762.96933842</v>
      </c>
      <c r="Y72" s="61" t="n">
        <f aca="false">Y68+Y69+Y70+Y71</f>
        <v>45131.501993067</v>
      </c>
      <c r="Z72" s="61" t="n">
        <f aca="false">Z68+Z69+Z70+Z71</f>
        <v>48470.8652626346</v>
      </c>
      <c r="AA72" s="61" t="n">
        <f aca="false">AA68+AA69+AA70+AA71</f>
        <v>51778.7465789566</v>
      </c>
      <c r="AB72" s="59" t="n">
        <f aca="false">SUM(AC72:AN72)</f>
        <v>1221612.70310048</v>
      </c>
      <c r="AC72" s="61" t="n">
        <f aca="false">AC68+AC69+AC70+AC71</f>
        <v>61799.0159938651</v>
      </c>
      <c r="AD72" s="61" t="n">
        <f aca="false">AD68+AD69+AD70+AD71</f>
        <v>68222.6138744524</v>
      </c>
      <c r="AE72" s="61" t="n">
        <f aca="false">AE68+AE69+AE70+AE71</f>
        <v>75648.4187158994</v>
      </c>
      <c r="AF72" s="61" t="n">
        <f aca="false">AF68+AF69+AF70+AF71</f>
        <v>83124.1545271689</v>
      </c>
      <c r="AG72" s="61" t="n">
        <f aca="false">AG68+AG69+AG70+AG71</f>
        <v>90639.8454319996</v>
      </c>
      <c r="AH72" s="61" t="n">
        <f aca="false">AH68+AH69+AH70+AH71</f>
        <v>98131.2122731896</v>
      </c>
      <c r="AI72" s="61" t="n">
        <f aca="false">AI68+AI69+AI70+AI71</f>
        <v>105592.366048042</v>
      </c>
      <c r="AJ72" s="61" t="n">
        <f aca="false">AJ68+AJ69+AJ70+AJ71</f>
        <v>113017.791581637</v>
      </c>
      <c r="AK72" s="61" t="n">
        <f aca="false">AK68+AK69+AK70+AK71</f>
        <v>120402.329627154</v>
      </c>
      <c r="AL72" s="61" t="n">
        <f aca="false">AL68+AL69+AL70+AL71</f>
        <v>127741.159756822</v>
      </c>
      <c r="AM72" s="61" t="n">
        <f aca="false">AM68+AM69+AM70+AM71</f>
        <v>135029.78400932</v>
      </c>
      <c r="AN72" s="61" t="n">
        <f aca="false">AN68+AN69+AN70+AN71</f>
        <v>142264.011260933</v>
      </c>
      <c r="AO72" s="59" t="n">
        <f aca="false">SUM(AP72:BA72)</f>
        <v>2763830.19278589</v>
      </c>
      <c r="AP72" s="61" t="n">
        <f aca="false">AP68+AP69+AP70+AP71</f>
        <v>164411.150774572</v>
      </c>
      <c r="AQ72" s="61" t="n">
        <f aca="false">AQ68+AQ69+AQ70+AQ71</f>
        <v>175574.322739013</v>
      </c>
      <c r="AR72" s="61" t="n">
        <f aca="false">AR68+AR69+AR70+AR71</f>
        <v>187823.613283188</v>
      </c>
      <c r="AS72" s="61" t="n">
        <f aca="false">AS68+AS69+AS70+AS71</f>
        <v>200081.155504796</v>
      </c>
      <c r="AT72" s="61" t="n">
        <f aca="false">AT68+AT69+AT70+AT71</f>
        <v>212336.026806752</v>
      </c>
      <c r="AU72" s="61" t="n">
        <f aca="false">AU68+AU69+AU70+AU71</f>
        <v>224531.027065012</v>
      </c>
      <c r="AV72" s="61" t="n">
        <f aca="false">AV68+AV69+AV70+AV71</f>
        <v>236658.93353129</v>
      </c>
      <c r="AW72" s="61" t="n">
        <f aca="false">AW68+AW69+AW70+AW71</f>
        <v>248712.969712588</v>
      </c>
      <c r="AX72" s="61" t="n">
        <f aca="false">AX68+AX69+AX70+AX71</f>
        <v>260686.785325246</v>
      </c>
      <c r="AY72" s="61" t="n">
        <f aca="false">AY68+AY69+AY70+AY71</f>
        <v>272574.43706883</v>
      </c>
      <c r="AZ72" s="61" t="n">
        <f aca="false">AZ68+AZ69+AZ70+AZ71</f>
        <v>284370.370187425</v>
      </c>
      <c r="BA72" s="61" t="n">
        <f aca="false">BA68+BA69+BA70+BA71</f>
        <v>296069.40078718</v>
      </c>
      <c r="BB72" s="59" t="n">
        <f aca="false">SUM(BC72:BN72)</f>
        <v>4998712.11121331</v>
      </c>
      <c r="BC72" s="61" t="n">
        <f aca="false">BC68+BC69+BC70+BC71</f>
        <v>332663.942253848</v>
      </c>
      <c r="BD72" s="61" t="n">
        <f aca="false">BD68+BD69+BD70+BD71</f>
        <v>347532.648294055</v>
      </c>
      <c r="BE72" s="61" t="n">
        <f aca="false">BE68+BE69+BE70+BE71</f>
        <v>363059.641260106</v>
      </c>
      <c r="BF72" s="61" t="n">
        <f aca="false">BF68+BF69+BF70+BF71</f>
        <v>378561.82140817</v>
      </c>
      <c r="BG72" s="61" t="n">
        <f aca="false">BG68+BG69+BG70+BG71</f>
        <v>394028.493829522</v>
      </c>
      <c r="BH72" s="61" t="n">
        <f aca="false">BH68+BH69+BH70+BH71</f>
        <v>409405.37174384</v>
      </c>
      <c r="BI72" s="61" t="n">
        <f aca="false">BI68+BI69+BI70+BI71</f>
        <v>424685.221321691</v>
      </c>
      <c r="BJ72" s="61" t="n">
        <f aca="false">BJ68+BJ69+BJ70+BJ71</f>
        <v>439861.245430296</v>
      </c>
      <c r="BK72" s="61" t="n">
        <f aca="false">BK68+BK69+BK70+BK71</f>
        <v>454927.064955675</v>
      </c>
      <c r="BL72" s="61" t="n">
        <f aca="false">BL68+BL69+BL70+BL71</f>
        <v>469876.700848866</v>
      </c>
      <c r="BM72" s="61" t="n">
        <f aca="false">BM68+BM69+BM70+BM71</f>
        <v>484704.556869134</v>
      </c>
      <c r="BN72" s="61" t="n">
        <f aca="false">BN68+BN69+BN70+BN71</f>
        <v>499405.402998104</v>
      </c>
    </row>
    <row r="73" customFormat="false" ht="15" hidden="false" customHeight="false" outlineLevel="0" collapsed="false">
      <c r="A73" s="4" t="s">
        <v>800</v>
      </c>
      <c r="B73" s="59" t="n">
        <f aca="false">SUM(C73:N73)</f>
        <v>16942.805980995</v>
      </c>
      <c r="C73" s="60" t="n">
        <f aca="false">C69+C70+C71</f>
        <v>0</v>
      </c>
      <c r="D73" s="60" t="n">
        <f aca="false">D69+D70+D71</f>
        <v>124.099046029473</v>
      </c>
      <c r="E73" s="60" t="n">
        <f aca="false">E69+E70+E71</f>
        <v>371.349907518227</v>
      </c>
      <c r="F73" s="60" t="n">
        <f aca="false">F69+F70+F71</f>
        <v>835.772950026677</v>
      </c>
      <c r="G73" s="60" t="n">
        <f aca="false">G69+G70+G71</f>
        <v>1089.822619865</v>
      </c>
      <c r="H73" s="60" t="n">
        <f aca="false">H69+H70+H71</f>
        <v>1341.69564347579</v>
      </c>
      <c r="I73" s="60" t="n">
        <f aca="false">I69+I70+I71</f>
        <v>1591.06455234143</v>
      </c>
      <c r="J73" s="60" t="n">
        <f aca="false">J69+J70+J71</f>
        <v>1837.63263872675</v>
      </c>
      <c r="K73" s="60" t="n">
        <f aca="false">K69+K70+K71</f>
        <v>2081.13195203289</v>
      </c>
      <c r="L73" s="60" t="n">
        <f aca="false">L69+L70+L71</f>
        <v>2321.32141139976</v>
      </c>
      <c r="M73" s="60" t="n">
        <f aca="false">M69+M70+M71</f>
        <v>2557.98502808363</v>
      </c>
      <c r="N73" s="60" t="n">
        <f aca="false">N69+N70+N71</f>
        <v>2790.93023149532</v>
      </c>
      <c r="O73" s="59" t="n">
        <f aca="false">SUM(P73:AA73)</f>
        <v>110138.27179791</v>
      </c>
      <c r="P73" s="60" t="n">
        <f aca="false">P69+P70+P71</f>
        <v>3694.56799173953</v>
      </c>
      <c r="Q73" s="60" t="n">
        <f aca="false">Q69+Q70+Q71</f>
        <v>4584.8755529005</v>
      </c>
      <c r="R73" s="60" t="n">
        <f aca="false">R69+R70+R71</f>
        <v>5395.97075070546</v>
      </c>
      <c r="S73" s="60" t="n">
        <f aca="false">S69+S70+S71</f>
        <v>6204.82341505881</v>
      </c>
      <c r="T73" s="60" t="n">
        <f aca="false">T69+T70+T71</f>
        <v>7008.99561013855</v>
      </c>
      <c r="U73" s="60" t="n">
        <f aca="false">U69+U70+U71</f>
        <v>7807.31665241882</v>
      </c>
      <c r="V73" s="60" t="n">
        <f aca="false">V69+V70+V71</f>
        <v>10257.1283097333</v>
      </c>
      <c r="W73" s="60" t="n">
        <f aca="false">W69+W70+W71</f>
        <v>11198.564364105</v>
      </c>
      <c r="X73" s="60" t="n">
        <f aca="false">X69+X70+X71</f>
        <v>12129.3953368952</v>
      </c>
      <c r="Y73" s="60" t="n">
        <f aca="false">Y69+Y70+Y71</f>
        <v>13048.8957336829</v>
      </c>
      <c r="Z73" s="60" t="n">
        <f aca="false">Z69+Z70+Z71</f>
        <v>13956.4065773595</v>
      </c>
      <c r="AA73" s="60" t="n">
        <f aca="false">AA69+AA70+AA71</f>
        <v>14851.3315031729</v>
      </c>
      <c r="AB73" s="59" t="n">
        <f aca="false">SUM(AC73:AN73)</f>
        <v>380722.570667895</v>
      </c>
      <c r="AC73" s="60" t="n">
        <f aca="false">AC69+AC70+AC71</f>
        <v>19435.8718045797</v>
      </c>
      <c r="AD73" s="60" t="n">
        <f aca="false">AD69+AD70+AD71</f>
        <v>21708.0241000524</v>
      </c>
      <c r="AE73" s="60" t="n">
        <f aca="false">AE69+AE70+AE71</f>
        <v>23988.2904890381</v>
      </c>
      <c r="AF73" s="60" t="n">
        <f aca="false">AF69+AF70+AF71</f>
        <v>26256.6232422766</v>
      </c>
      <c r="AG73" s="60" t="n">
        <f aca="false">AG69+AG70+AG71</f>
        <v>28508.9557207288</v>
      </c>
      <c r="AH73" s="60" t="n">
        <f aca="false">AH69+AH70+AH71</f>
        <v>30742.2366873151</v>
      </c>
      <c r="AI73" s="60" t="n">
        <f aca="false">AI69+AI70+AI71</f>
        <v>32954.7257833884</v>
      </c>
      <c r="AJ73" s="60" t="n">
        <f aca="false">AJ69+AJ70+AJ71</f>
        <v>35144.8175480323</v>
      </c>
      <c r="AK73" s="60" t="n">
        <f aca="false">AK69+AK70+AK71</f>
        <v>37311.0343872211</v>
      </c>
      <c r="AL73" s="60" t="n">
        <f aca="false">AL69+AL70+AL71</f>
        <v>39452.0198668646</v>
      </c>
      <c r="AM73" s="60" t="n">
        <f aca="false">AM69+AM70+AM71</f>
        <v>41566.5323154866</v>
      </c>
      <c r="AN73" s="60" t="n">
        <f aca="false">AN69+AN70+AN71</f>
        <v>43653.4387229115</v>
      </c>
      <c r="AO73" s="59" t="n">
        <f aca="false">SUM(AP73:BA73)</f>
        <v>897921.442904626</v>
      </c>
      <c r="AP73" s="60" t="n">
        <f aca="false">AP69+AP70+AP71</f>
        <v>53852.0136340387</v>
      </c>
      <c r="AQ73" s="60" t="n">
        <f aca="false">AQ69+AQ70+AQ71</f>
        <v>57722.8408241528</v>
      </c>
      <c r="AR73" s="60" t="n">
        <f aca="false">AR69+AR70+AR71</f>
        <v>61639.3314864207</v>
      </c>
      <c r="AS73" s="60" t="n">
        <f aca="false">AS69+AS70+AS71</f>
        <v>65524.1325522406</v>
      </c>
      <c r="AT73" s="60" t="n">
        <f aca="false">AT69+AT70+AT71</f>
        <v>69372.9711342417</v>
      </c>
      <c r="AU73" s="60" t="n">
        <f aca="false">AU69+AU70+AU71</f>
        <v>73182.3369136536</v>
      </c>
      <c r="AV73" s="60" t="n">
        <f aca="false">AV69+AV70+AV71</f>
        <v>76950.0611556782</v>
      </c>
      <c r="AW73" s="60" t="n">
        <f aca="false">AW69+AW70+AW71</f>
        <v>80674.1461571397</v>
      </c>
      <c r="AX73" s="60" t="n">
        <f aca="false">AX69+AX70+AX71</f>
        <v>84352.7567710705</v>
      </c>
      <c r="AY73" s="60" t="n">
        <f aca="false">AY69+AY70+AY71</f>
        <v>87984.2122958145</v>
      </c>
      <c r="AZ73" s="60" t="n">
        <f aca="false">AZ69+AZ70+AZ71</f>
        <v>91566.9787138719</v>
      </c>
      <c r="BA73" s="60" t="n">
        <f aca="false">BA69+BA70+BA71</f>
        <v>95099.6612663027</v>
      </c>
      <c r="BB73" s="59" t="n">
        <f aca="false">SUM(BC73:BN73)</f>
        <v>1664295.74818102</v>
      </c>
      <c r="BC73" s="60" t="n">
        <f aca="false">BC69+BC70+BC71</f>
        <v>111931.553375752</v>
      </c>
      <c r="BD73" s="60" t="n">
        <f aca="false">BD69+BD70+BD71</f>
        <v>116914.589111729</v>
      </c>
      <c r="BE73" s="60" t="n">
        <f aca="false">BE69+BE70+BE71</f>
        <v>121917.414896345</v>
      </c>
      <c r="BF73" s="60" t="n">
        <f aca="false">BF69+BF70+BF71</f>
        <v>126873.028687419</v>
      </c>
      <c r="BG73" s="60" t="n">
        <f aca="false">BG69+BG70+BG71</f>
        <v>131777.224172273</v>
      </c>
      <c r="BH73" s="60" t="n">
        <f aca="false">BH69+BH70+BH71</f>
        <v>136626.413280437</v>
      </c>
      <c r="BI73" s="60" t="n">
        <f aca="false">BI69+BI70+BI71</f>
        <v>141418.397946345</v>
      </c>
      <c r="BJ73" s="60" t="n">
        <f aca="false">BJ69+BJ70+BJ71</f>
        <v>146151.155299322</v>
      </c>
      <c r="BK73" s="60" t="n">
        <f aca="false">BK69+BK70+BK71</f>
        <v>150822.829334633</v>
      </c>
      <c r="BL73" s="60" t="n">
        <f aca="false">BL69+BL70+BL71</f>
        <v>155431.722924846</v>
      </c>
      <c r="BM73" s="60" t="n">
        <f aca="false">BM69+BM70+BM71</f>
        <v>159976.290158487</v>
      </c>
      <c r="BN73" s="60" t="n">
        <f aca="false">BN69+BN70+BN71</f>
        <v>164455.128993435</v>
      </c>
    </row>
    <row r="74" customFormat="false" ht="15" hidden="false" customHeight="false" outlineLevel="0" collapsed="false">
      <c r="A74" s="4" t="s">
        <v>801</v>
      </c>
      <c r="B74" s="59" t="n">
        <f aca="false">SUM(C74:N74)</f>
        <v>10331.8496309924</v>
      </c>
      <c r="C74" s="60" t="n">
        <f aca="false">C68*C8</f>
        <v>0</v>
      </c>
      <c r="D74" s="60" t="n">
        <f aca="false">D68*D8</f>
        <v>82.4652874027858</v>
      </c>
      <c r="E74" s="60" t="n">
        <f aca="false">E68*E8</f>
        <v>246.991127337602</v>
      </c>
      <c r="F74" s="60" t="n">
        <f aca="false">F68*F8</f>
        <v>417.644964834273</v>
      </c>
      <c r="G74" s="60" t="n">
        <f aca="false">G68*G8</f>
        <v>593.991743705011</v>
      </c>
      <c r="H74" s="60" t="n">
        <f aca="false">H68*H8</f>
        <v>769.400873556667</v>
      </c>
      <c r="I74" s="60" t="n">
        <f aca="false">I68*I8</f>
        <v>943.646178380526</v>
      </c>
      <c r="J74" s="60" t="n">
        <f aca="false">J68*J8</f>
        <v>1116.52106648379</v>
      </c>
      <c r="K74" s="60" t="n">
        <f aca="false">K68*K8</f>
        <v>1287.83728017712</v>
      </c>
      <c r="L74" s="60" t="n">
        <f aca="false">L68*L8</f>
        <v>1457.42371845522</v>
      </c>
      <c r="M74" s="60" t="n">
        <f aca="false">M68*M8</f>
        <v>1625.12532850942</v>
      </c>
      <c r="N74" s="60" t="n">
        <f aca="false">N68*N8</f>
        <v>1790.80206214998</v>
      </c>
      <c r="O74" s="59" t="n">
        <f aca="false">SUM(P74:AA74)</f>
        <v>73247.7817174843</v>
      </c>
      <c r="P74" s="60" t="n">
        <f aca="false">P68*P8</f>
        <v>2742.62853739701</v>
      </c>
      <c r="Q74" s="60" t="n">
        <f aca="false">Q68*Q8</f>
        <v>3200.96819870624</v>
      </c>
      <c r="R74" s="60" t="n">
        <f aca="false">R68*R8</f>
        <v>3831.1093797009</v>
      </c>
      <c r="S74" s="60" t="n">
        <f aca="false">S68*S8</f>
        <v>4472.21320628342</v>
      </c>
      <c r="T74" s="60" t="n">
        <f aca="false">T68*T8</f>
        <v>5123.2826373514</v>
      </c>
      <c r="U74" s="60" t="n">
        <f aca="false">U68*U8</f>
        <v>5772.69246241722</v>
      </c>
      <c r="V74" s="60" t="n">
        <f aca="false">V68*V8</f>
        <v>6419.79728975806</v>
      </c>
      <c r="W74" s="60" t="n">
        <f aca="false">W68*W8</f>
        <v>7063.99596015849</v>
      </c>
      <c r="X74" s="60" t="n">
        <f aca="false">X68*X8</f>
        <v>7704.72924039645</v>
      </c>
      <c r="Y74" s="60" t="n">
        <f aca="false">Y68*Y8</f>
        <v>8341.47762743986</v>
      </c>
      <c r="Z74" s="60" t="n">
        <f aca="false">Z68*Z8</f>
        <v>8973.75925817152</v>
      </c>
      <c r="AA74" s="60" t="n">
        <f aca="false">AA68*AA8</f>
        <v>9601.12791970375</v>
      </c>
      <c r="AB74" s="59" t="n">
        <f aca="false">SUM(AC74:AN74)</f>
        <v>260675.941054102</v>
      </c>
      <c r="AC74" s="60" t="n">
        <f aca="false">AC68*AC8</f>
        <v>13132.5746986785</v>
      </c>
      <c r="AD74" s="60" t="n">
        <f aca="false">AD68*AD8</f>
        <v>14419.522830064</v>
      </c>
      <c r="AE74" s="60" t="n">
        <f aca="false">AE68*AE8</f>
        <v>16014.639750327</v>
      </c>
      <c r="AF74" s="60" t="n">
        <f aca="false">AF68*AF8</f>
        <v>17628.9346983166</v>
      </c>
      <c r="AG74" s="60" t="n">
        <f aca="false">AG68*AG8</f>
        <v>19260.5758104939</v>
      </c>
      <c r="AH74" s="60" t="n">
        <f aca="false">AH68*AH8</f>
        <v>20890.5824316211</v>
      </c>
      <c r="AI74" s="60" t="n">
        <f aca="false">AI68*AI8</f>
        <v>22517.6684820425</v>
      </c>
      <c r="AJ74" s="60" t="n">
        <f aca="false">AJ68*AJ8</f>
        <v>24140.6219504175</v>
      </c>
      <c r="AK74" s="60" t="n">
        <f aca="false">AK68*AK8</f>
        <v>25758.3015243794</v>
      </c>
      <c r="AL74" s="60" t="n">
        <f aca="false">AL68*AL8</f>
        <v>27369.6333658868</v>
      </c>
      <c r="AM74" s="60" t="n">
        <f aca="false">AM68*AM8</f>
        <v>28973.6080250885</v>
      </c>
      <c r="AN74" s="60" t="n">
        <f aca="false">AN68*AN8</f>
        <v>30569.2774867866</v>
      </c>
      <c r="AO74" s="59" t="n">
        <f aca="false">SUM(AP74:BA74)</f>
        <v>653068.062458443</v>
      </c>
      <c r="AP74" s="60" t="n">
        <f aca="false">AP68*AP8</f>
        <v>38695.6979991865</v>
      </c>
      <c r="AQ74" s="60" t="n">
        <f aca="false">AQ68*AQ8</f>
        <v>41248.0186702011</v>
      </c>
      <c r="AR74" s="60" t="n">
        <f aca="false">AR68*AR8</f>
        <v>44164.4986288687</v>
      </c>
      <c r="AS74" s="60" t="n">
        <f aca="false">AS68*AS8</f>
        <v>47094.9580333943</v>
      </c>
      <c r="AT74" s="60" t="n">
        <f aca="false">AT68*AT8</f>
        <v>50037.0694853787</v>
      </c>
      <c r="AU74" s="60" t="n">
        <f aca="false">AU68*AU8</f>
        <v>52972.0415529755</v>
      </c>
      <c r="AV74" s="60" t="n">
        <f aca="false">AV68*AV8</f>
        <v>55898.1053314641</v>
      </c>
      <c r="AW74" s="60" t="n">
        <f aca="false">AW68*AW8</f>
        <v>58813.588244407</v>
      </c>
      <c r="AX74" s="60" t="n">
        <f aca="false">AX68*AX8</f>
        <v>61716.9099939615</v>
      </c>
      <c r="AY74" s="60" t="n">
        <f aca="false">AY68*AY8</f>
        <v>64606.5786705555</v>
      </c>
      <c r="AZ74" s="60" t="n">
        <f aca="false">AZ68*AZ8</f>
        <v>67481.1870157437</v>
      </c>
      <c r="BA74" s="60" t="n">
        <f aca="false">BA68*BA8</f>
        <v>70339.4088323069</v>
      </c>
      <c r="BB74" s="59" t="n">
        <f aca="false">SUM(BC74:BN74)</f>
        <v>1267078.21795227</v>
      </c>
      <c r="BC74" s="60" t="n">
        <f aca="false">BC68*BC8</f>
        <v>83878.3077736761</v>
      </c>
      <c r="BD74" s="60" t="n">
        <f aca="false">BD68*BD8</f>
        <v>87634.8624892842</v>
      </c>
      <c r="BE74" s="60" t="n">
        <f aca="false">BE68*BE8</f>
        <v>91634.0460182295</v>
      </c>
      <c r="BF74" s="60" t="n">
        <f aca="false">BF68*BF8</f>
        <v>95641.7412338856</v>
      </c>
      <c r="BG74" s="60" t="n">
        <f aca="false">BG68*BG8</f>
        <v>99655.4824697549</v>
      </c>
      <c r="BH74" s="60" t="n">
        <f aca="false">BH68*BH8</f>
        <v>103656.004216093</v>
      </c>
      <c r="BI74" s="60" t="n">
        <f aca="false">BI68*BI8</f>
        <v>107641.392882631</v>
      </c>
      <c r="BJ74" s="60" t="n">
        <f aca="false">BJ68*BJ8</f>
        <v>111609.83424977</v>
      </c>
      <c r="BK74" s="60" t="n">
        <f aca="false">BK68*BK8</f>
        <v>115559.609535996</v>
      </c>
      <c r="BL74" s="60" t="n">
        <f aca="false">BL68*BL8</f>
        <v>119489.091611128</v>
      </c>
      <c r="BM74" s="60" t="n">
        <f aca="false">BM68*BM8</f>
        <v>123396.741350046</v>
      </c>
      <c r="BN74" s="60" t="n">
        <f aca="false">BN68*BN8</f>
        <v>127281.104121774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2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648</v>
      </c>
    </row>
    <row r="2" customFormat="false" ht="15" hidden="false" customHeight="false" outlineLevel="0" collapsed="false">
      <c r="A2" s="8" t="s">
        <v>802</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803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13" t="s">
        <v>804</v>
      </c>
      <c r="B6" s="59" t="n">
        <f aca="false">SUM(C6:N6)</f>
        <v>51659.2481549619</v>
      </c>
      <c r="C6" s="90" t="n">
        <f aca="false">'Revenue Streams'!C68</f>
        <v>0</v>
      </c>
      <c r="D6" s="90" t="n">
        <f aca="false">'Revenue Streams'!D68</f>
        <v>412.326437013929</v>
      </c>
      <c r="E6" s="90" t="n">
        <f aca="false">'Revenue Streams'!E68</f>
        <v>1234.95563668801</v>
      </c>
      <c r="F6" s="90" t="n">
        <f aca="false">'Revenue Streams'!F68</f>
        <v>2088.22482417137</v>
      </c>
      <c r="G6" s="90" t="n">
        <f aca="false">'Revenue Streams'!G68</f>
        <v>2969.95871852505</v>
      </c>
      <c r="H6" s="90" t="n">
        <f aca="false">'Revenue Streams'!H68</f>
        <v>3847.00436778334</v>
      </c>
      <c r="I6" s="90" t="n">
        <f aca="false">'Revenue Streams'!I68</f>
        <v>4718.23089190263</v>
      </c>
      <c r="J6" s="90" t="n">
        <f aca="false">'Revenue Streams'!J68</f>
        <v>5582.60533241894</v>
      </c>
      <c r="K6" s="90" t="n">
        <f aca="false">'Revenue Streams'!K68</f>
        <v>6439.18640088558</v>
      </c>
      <c r="L6" s="90" t="n">
        <f aca="false">'Revenue Streams'!L68</f>
        <v>7287.1185922761</v>
      </c>
      <c r="M6" s="90" t="n">
        <f aca="false">'Revenue Streams'!M68</f>
        <v>8125.62664254708</v>
      </c>
      <c r="N6" s="90" t="n">
        <f aca="false">'Revenue Streams'!N68</f>
        <v>8954.01031074991</v>
      </c>
      <c r="O6" s="59" t="n">
        <f aca="false">SUM(P6:AA6)</f>
        <v>281722.23737494</v>
      </c>
      <c r="P6" s="90" t="n">
        <f aca="false">'Revenue Streams'!P68</f>
        <v>10548.5712976808</v>
      </c>
      <c r="Q6" s="90" t="n">
        <f aca="false">'Revenue Streams'!Q68</f>
        <v>12311.4161488701</v>
      </c>
      <c r="R6" s="90" t="n">
        <f aca="false">'Revenue Streams'!R68</f>
        <v>14735.0360757727</v>
      </c>
      <c r="S6" s="90" t="n">
        <f aca="false">'Revenue Streams'!S68</f>
        <v>17200.820024167</v>
      </c>
      <c r="T6" s="90" t="n">
        <f aca="false">'Revenue Streams'!T68</f>
        <v>19704.9332205823</v>
      </c>
      <c r="U6" s="90" t="n">
        <f aca="false">'Revenue Streams'!U68</f>
        <v>22202.6633169893</v>
      </c>
      <c r="V6" s="90" t="n">
        <f aca="false">'Revenue Streams'!V68</f>
        <v>24691.528037531</v>
      </c>
      <c r="W6" s="90" t="n">
        <f aca="false">'Revenue Streams'!W68</f>
        <v>27169.2152313788</v>
      </c>
      <c r="X6" s="90" t="n">
        <f aca="false">'Revenue Streams'!X68</f>
        <v>29633.5740015248</v>
      </c>
      <c r="Y6" s="90" t="n">
        <f aca="false">'Revenue Streams'!Y68</f>
        <v>32082.6062593841</v>
      </c>
      <c r="Z6" s="90" t="n">
        <f aca="false">'Revenue Streams'!Z68</f>
        <v>34514.4586852751</v>
      </c>
      <c r="AA6" s="90" t="n">
        <f aca="false">'Revenue Streams'!AA68</f>
        <v>36927.4150757836</v>
      </c>
      <c r="AB6" s="59" t="n">
        <f aca="false">SUM(AC6:AN6)</f>
        <v>840890.132432588</v>
      </c>
      <c r="AC6" s="90" t="n">
        <f aca="false">'Revenue Streams'!AC68</f>
        <v>42363.1441892854</v>
      </c>
      <c r="AD6" s="90" t="n">
        <f aca="false">'Revenue Streams'!AD68</f>
        <v>46514.5897744001</v>
      </c>
      <c r="AE6" s="90" t="n">
        <f aca="false">'Revenue Streams'!AE68</f>
        <v>51660.1282268613</v>
      </c>
      <c r="AF6" s="90" t="n">
        <f aca="false">'Revenue Streams'!AF68</f>
        <v>56867.5312848923</v>
      </c>
      <c r="AG6" s="90" t="n">
        <f aca="false">'Revenue Streams'!AG68</f>
        <v>62130.8897112707</v>
      </c>
      <c r="AH6" s="90" t="n">
        <f aca="false">'Revenue Streams'!AH68</f>
        <v>67388.9755858745</v>
      </c>
      <c r="AI6" s="90" t="n">
        <f aca="false">'Revenue Streams'!AI68</f>
        <v>72637.6402646532</v>
      </c>
      <c r="AJ6" s="90" t="n">
        <f aca="false">'Revenue Streams'!AJ68</f>
        <v>77872.9740336049</v>
      </c>
      <c r="AK6" s="90" t="n">
        <f aca="false">'Revenue Streams'!AK68</f>
        <v>83091.2952399334</v>
      </c>
      <c r="AL6" s="90" t="n">
        <f aca="false">'Revenue Streams'!AL68</f>
        <v>88289.1398899574</v>
      </c>
      <c r="AM6" s="90" t="n">
        <f aca="false">'Revenue Streams'!AM68</f>
        <v>93463.2516938338</v>
      </c>
      <c r="AN6" s="90" t="n">
        <f aca="false">'Revenue Streams'!AN68</f>
        <v>98610.5725380212</v>
      </c>
      <c r="AO6" s="59" t="n">
        <f aca="false">SUM(AP6:BA6)</f>
        <v>1865908.74988127</v>
      </c>
      <c r="AP6" s="90" t="n">
        <f aca="false">'Revenue Streams'!AP68</f>
        <v>110559.137140533</v>
      </c>
      <c r="AQ6" s="90" t="n">
        <f aca="false">'Revenue Streams'!AQ68</f>
        <v>117851.48191486</v>
      </c>
      <c r="AR6" s="90" t="n">
        <f aca="false">'Revenue Streams'!AR68</f>
        <v>126184.281796768</v>
      </c>
      <c r="AS6" s="90" t="n">
        <f aca="false">'Revenue Streams'!AS68</f>
        <v>134557.022952555</v>
      </c>
      <c r="AT6" s="90" t="n">
        <f aca="false">'Revenue Streams'!AT68</f>
        <v>142963.055672511</v>
      </c>
      <c r="AU6" s="90" t="n">
        <f aca="false">'Revenue Streams'!AU68</f>
        <v>151348.690151359</v>
      </c>
      <c r="AV6" s="90" t="n">
        <f aca="false">'Revenue Streams'!AV68</f>
        <v>159708.872375612</v>
      </c>
      <c r="AW6" s="90" t="n">
        <f aca="false">'Revenue Streams'!AW68</f>
        <v>168038.823555448</v>
      </c>
      <c r="AX6" s="90" t="n">
        <f aca="false">'Revenue Streams'!AX68</f>
        <v>176334.028554176</v>
      </c>
      <c r="AY6" s="90" t="n">
        <f aca="false">'Revenue Streams'!AY68</f>
        <v>184590.224773016</v>
      </c>
      <c r="AZ6" s="90" t="n">
        <f aca="false">'Revenue Streams'!AZ68</f>
        <v>192803.391473553</v>
      </c>
      <c r="BA6" s="90" t="n">
        <f aca="false">'Revenue Streams'!BA68</f>
        <v>200969.739520877</v>
      </c>
      <c r="BB6" s="59" t="n">
        <f aca="false">SUM(BC6:BN6)</f>
        <v>3334416.36303228</v>
      </c>
      <c r="BC6" s="90" t="n">
        <f aca="false">'Revenue Streams'!BC68</f>
        <v>220732.388878095</v>
      </c>
      <c r="BD6" s="90" t="n">
        <f aca="false">'Revenue Streams'!BD68</f>
        <v>230618.059182327</v>
      </c>
      <c r="BE6" s="90" t="n">
        <f aca="false">'Revenue Streams'!BE68</f>
        <v>241142.226363762</v>
      </c>
      <c r="BF6" s="90" t="n">
        <f aca="false">'Revenue Streams'!BF68</f>
        <v>251688.792720752</v>
      </c>
      <c r="BG6" s="90" t="n">
        <f aca="false">'Revenue Streams'!BG68</f>
        <v>262251.26965725</v>
      </c>
      <c r="BH6" s="90" t="n">
        <f aca="false">'Revenue Streams'!BH68</f>
        <v>272778.958463403</v>
      </c>
      <c r="BI6" s="90" t="n">
        <f aca="false">'Revenue Streams'!BI68</f>
        <v>283266.823375346</v>
      </c>
      <c r="BJ6" s="90" t="n">
        <f aca="false">'Revenue Streams'!BJ68</f>
        <v>293710.090130974</v>
      </c>
      <c r="BK6" s="90" t="n">
        <f aca="false">'Revenue Streams'!BK68</f>
        <v>304104.235621042</v>
      </c>
      <c r="BL6" s="90" t="n">
        <f aca="false">'Revenue Streams'!BL68</f>
        <v>314444.977924021</v>
      </c>
      <c r="BM6" s="90" t="n">
        <f aca="false">'Revenue Streams'!BM68</f>
        <v>324728.266710646</v>
      </c>
      <c r="BN6" s="90" t="n">
        <f aca="false">'Revenue Streams'!BN68</f>
        <v>334950.274004669</v>
      </c>
    </row>
    <row r="7" customFormat="false" ht="15" hidden="false" customHeight="false" outlineLevel="0" collapsed="false">
      <c r="A7" s="4" t="s">
        <v>805</v>
      </c>
      <c r="B7" s="59" t="n">
        <f aca="false">SUM(C7:N7)</f>
        <v>23571.4463571945</v>
      </c>
      <c r="C7" s="63" t="n">
        <f aca="false">'Revenue Streams'!C23</f>
        <v>0</v>
      </c>
      <c r="D7" s="63" t="n">
        <f aca="false">'Revenue Streams'!D23</f>
        <v>209.431181700323</v>
      </c>
      <c r="E7" s="63" t="n">
        <f aca="false">'Revenue Streams'!E23</f>
        <v>623.271770183983</v>
      </c>
      <c r="F7" s="63" t="n">
        <f aca="false">'Revenue Streams'!F23</f>
        <v>1028.84655020537</v>
      </c>
      <c r="G7" s="63" t="n">
        <f aca="false">'Revenue Streams'!G23</f>
        <v>1425.65850297108</v>
      </c>
      <c r="H7" s="63" t="n">
        <f aca="false">'Revenue Streams'!H23</f>
        <v>1813.29222763646</v>
      </c>
      <c r="I7" s="63" t="n">
        <f aca="false">'Revenue Streams'!I23</f>
        <v>2191.40623571771</v>
      </c>
      <c r="J7" s="63" t="n">
        <f aca="false">'Revenue Streams'!J23</f>
        <v>2559.72586872869</v>
      </c>
      <c r="K7" s="63" t="n">
        <f aca="false">'Revenue Streams'!K23</f>
        <v>2918.03679194414</v>
      </c>
      <c r="L7" s="63" t="n">
        <f aca="false">'Revenue Streams'!L23</f>
        <v>3266.1790206279</v>
      </c>
      <c r="M7" s="63" t="n">
        <f aca="false">'Revenue Streams'!M23</f>
        <v>3604.04143825554</v>
      </c>
      <c r="N7" s="63" t="n">
        <f aca="false">'Revenue Streams'!N23</f>
        <v>3931.55676922333</v>
      </c>
      <c r="O7" s="59" t="n">
        <f aca="false">SUM(P7:AA7)</f>
        <v>117575.961828241</v>
      </c>
      <c r="P7" s="63" t="n">
        <f aca="false">'Revenue Streams'!P23</f>
        <v>4589.10223804929</v>
      </c>
      <c r="Q7" s="63" t="n">
        <f aca="false">'Revenue Streams'!Q23</f>
        <v>5344.4978792095</v>
      </c>
      <c r="R7" s="63" t="n">
        <f aca="false">'Revenue Streams'!R23</f>
        <v>6395.62343598267</v>
      </c>
      <c r="S7" s="63" t="n">
        <f aca="false">'Revenue Streams'!S23</f>
        <v>7426.27974963061</v>
      </c>
      <c r="T7" s="63" t="n">
        <f aca="false">'Revenue Streams'!T23</f>
        <v>8435.56888617866</v>
      </c>
      <c r="U7" s="63" t="n">
        <f aca="false">'Revenue Streams'!U23</f>
        <v>9422.73225238689</v>
      </c>
      <c r="V7" s="63" t="n">
        <f aca="false">'Revenue Streams'!V23</f>
        <v>10387.1388587281</v>
      </c>
      <c r="W7" s="63" t="n">
        <f aca="false">'Revenue Streams'!W23</f>
        <v>11328.2744208795</v>
      </c>
      <c r="X7" s="63" t="n">
        <f aca="false">'Revenue Streams'!X23</f>
        <v>12245.7312440009</v>
      </c>
      <c r="Y7" s="63" t="n">
        <f aca="false">'Revenue Streams'!Y23</f>
        <v>13139.198837643</v>
      </c>
      <c r="Z7" s="63" t="n">
        <f aca="false">'Revenue Streams'!Z23</f>
        <v>14008.4552124656</v>
      </c>
      <c r="AA7" s="63" t="n">
        <f aca="false">'Revenue Streams'!AA23</f>
        <v>14853.3588130866</v>
      </c>
      <c r="AB7" s="59" t="n">
        <f aca="false">SUM(AC7:AN7)</f>
        <v>321163.596387509</v>
      </c>
      <c r="AC7" s="63" t="n">
        <f aca="false">'Revenue Streams'!AC23</f>
        <v>16882.3087689298</v>
      </c>
      <c r="AD7" s="63" t="n">
        <f aca="false">'Revenue Streams'!AD23</f>
        <v>18445.697229023</v>
      </c>
      <c r="AE7" s="63" t="n">
        <f aca="false">'Revenue Streams'!AE23</f>
        <v>20420.1453954352</v>
      </c>
      <c r="AF7" s="63" t="n">
        <f aca="false">'Revenue Streams'!AF23</f>
        <v>22352.3900438435</v>
      </c>
      <c r="AG7" s="63" t="n">
        <f aca="false">'Revenue Streams'!AG23</f>
        <v>24241.4286629606</v>
      </c>
      <c r="AH7" s="63" t="n">
        <f aca="false">'Revenue Streams'!AH23</f>
        <v>26086.4427361645</v>
      </c>
      <c r="AI7" s="63" t="n">
        <f aca="false">'Revenue Streams'!AI23</f>
        <v>27886.7826901063</v>
      </c>
      <c r="AJ7" s="63" t="n">
        <f aca="false">'Revenue Streams'!AJ23</f>
        <v>29641.9538635506</v>
      </c>
      <c r="AK7" s="63" t="n">
        <f aca="false">'Revenue Streams'!AK23</f>
        <v>31351.6034325984</v>
      </c>
      <c r="AL7" s="63" t="n">
        <f aca="false">'Revenue Streams'!AL23</f>
        <v>33015.5082322769</v>
      </c>
      <c r="AM7" s="63" t="n">
        <f aca="false">'Revenue Streams'!AM23</f>
        <v>34633.5634180908</v>
      </c>
      <c r="AN7" s="63" t="n">
        <f aca="false">'Revenue Streams'!AN23</f>
        <v>36205.7719145296</v>
      </c>
      <c r="AO7" s="59" t="n">
        <f aca="false">SUM(AP7:BA7)</f>
        <v>657410.285674889</v>
      </c>
      <c r="AP7" s="63" t="n">
        <f aca="false">'Revenue Streams'!AP23</f>
        <v>40262.0822624779</v>
      </c>
      <c r="AQ7" s="63" t="n">
        <f aca="false">'Revenue Streams'!AQ23</f>
        <v>42749.2201896128</v>
      </c>
      <c r="AR7" s="63" t="n">
        <f aca="false">'Revenue Streams'!AR23</f>
        <v>45627.3803369333</v>
      </c>
      <c r="AS7" s="63" t="n">
        <f aca="false">'Revenue Streams'!AS23</f>
        <v>48437.1699029094</v>
      </c>
      <c r="AT7" s="63" t="n">
        <f aca="false">'Revenue Streams'!AT23</f>
        <v>51178.0185454911</v>
      </c>
      <c r="AU7" s="63" t="n">
        <f aca="false">'Revenue Streams'!AU23</f>
        <v>53849.5375095933</v>
      </c>
      <c r="AV7" s="63" t="n">
        <f aca="false">'Revenue Streams'!AV23</f>
        <v>56451.5047539575</v>
      </c>
      <c r="AW7" s="63" t="n">
        <f aca="false">'Revenue Streams'!AW23</f>
        <v>58983.8510462958</v>
      </c>
      <c r="AX7" s="63" t="n">
        <f aca="false">'Revenue Streams'!AX23</f>
        <v>61446.6469692914</v>
      </c>
      <c r="AY7" s="63" t="n">
        <f aca="false">'Revenue Streams'!AY23</f>
        <v>63840.0907832751</v>
      </c>
      <c r="AZ7" s="63" t="n">
        <f aca="false">'Revenue Streams'!AZ23</f>
        <v>66164.4970944686</v>
      </c>
      <c r="BA7" s="63" t="n">
        <f aca="false">'Revenue Streams'!BA23</f>
        <v>68420.2862805826</v>
      </c>
      <c r="BB7" s="59" t="n">
        <f aca="false">SUM(BC7:BN7)</f>
        <v>1083606.95102066</v>
      </c>
      <c r="BC7" s="63" t="n">
        <f aca="false">'Revenue Streams'!BC23</f>
        <v>74524.4930605387</v>
      </c>
      <c r="BD7" s="63" t="n">
        <f aca="false">'Revenue Streams'!BD23</f>
        <v>77388.2690351049</v>
      </c>
      <c r="BE7" s="63" t="n">
        <f aca="false">'Revenue Streams'!BE23</f>
        <v>80483.7296857046</v>
      </c>
      <c r="BF7" s="63" t="n">
        <f aca="false">'Revenue Streams'!BF23</f>
        <v>83504.3021201252</v>
      </c>
      <c r="BG7" s="63" t="n">
        <f aca="false">'Revenue Streams'!BG23</f>
        <v>86449.5133024486</v>
      </c>
      <c r="BH7" s="63" t="n">
        <f aca="false">'Revenue Streams'!BH23</f>
        <v>89319.0630689061</v>
      </c>
      <c r="BI7" s="63" t="n">
        <f aca="false">'Revenue Streams'!BI23</f>
        <v>92112.8104483056</v>
      </c>
      <c r="BJ7" s="63" t="n">
        <f aca="false">'Revenue Streams'!BJ23</f>
        <v>94830.7608344195</v>
      </c>
      <c r="BK7" s="63" t="n">
        <f aca="false">'Revenue Streams'!BK23</f>
        <v>97473.0539621819</v>
      </c>
      <c r="BL7" s="63" t="n">
        <f aca="false">'Revenue Streams'!BL23</f>
        <v>100039.952642137</v>
      </c>
      <c r="BM7" s="63" t="n">
        <f aca="false">'Revenue Streams'!BM23</f>
        <v>102531.832210029</v>
      </c>
      <c r="BN7" s="63" t="n">
        <f aca="false">'Revenue Streams'!BN23</f>
        <v>104949.170650756</v>
      </c>
    </row>
    <row r="8" customFormat="false" ht="15" hidden="false" customHeight="false" outlineLevel="0" collapsed="false">
      <c r="A8" s="4" t="s">
        <v>806</v>
      </c>
      <c r="B8" s="59" t="n">
        <f aca="false">SUM(C8:N8)</f>
        <v>24437.9325904268</v>
      </c>
      <c r="C8" s="63" t="n">
        <f aca="false">'Revenue Streams'!C29</f>
        <v>0</v>
      </c>
      <c r="D8" s="63" t="n">
        <f aca="false">'Revenue Streams'!D29</f>
        <v>194.322891079367</v>
      </c>
      <c r="E8" s="63" t="n">
        <f aca="false">'Revenue Streams'!E29</f>
        <v>585.037220249057</v>
      </c>
      <c r="F8" s="63" t="n">
        <f aca="false">'Revenue Streams'!F29</f>
        <v>983.559478704583</v>
      </c>
      <c r="G8" s="63" t="n">
        <f aca="false">'Revenue Streams'!G29</f>
        <v>1388.91844377362</v>
      </c>
      <c r="H8" s="63" t="n">
        <f aca="false">'Revenue Streams'!H29</f>
        <v>1797.95617047319</v>
      </c>
      <c r="I8" s="63" t="n">
        <f aca="false">'Revenue Streams'!I29</f>
        <v>2209.88025059943</v>
      </c>
      <c r="J8" s="63" t="n">
        <f aca="false">'Revenue Streams'!J29</f>
        <v>2623.93357906353</v>
      </c>
      <c r="K8" s="63" t="n">
        <f aca="false">'Revenue Streams'!K29</f>
        <v>3039.39434609229</v>
      </c>
      <c r="L8" s="63" t="n">
        <f aca="false">'Revenue Streams'!L29</f>
        <v>3455.57586739342</v>
      </c>
      <c r="M8" s="63" t="n">
        <f aca="false">'Revenue Streams'!M29</f>
        <v>3871.82627259604</v>
      </c>
      <c r="N8" s="63" t="n">
        <f aca="false">'Revenue Streams'!N29</f>
        <v>4287.52807040232</v>
      </c>
      <c r="O8" s="59" t="n">
        <f aca="false">SUM(P8:AA8)</f>
        <v>139510.434201249</v>
      </c>
      <c r="P8" s="63" t="n">
        <f aca="false">'Revenue Streams'!P29</f>
        <v>5061.89056732801</v>
      </c>
      <c r="Q8" s="63" t="n">
        <f aca="false">'Revenue Streams'!Q29</f>
        <v>5939.43648497818</v>
      </c>
      <c r="R8" s="63" t="n">
        <f aca="false">'Revenue Streams'!R29</f>
        <v>7164.49927421715</v>
      </c>
      <c r="S8" s="63" t="n">
        <f aca="false">'Revenue Streams'!S29</f>
        <v>8405.44588982764</v>
      </c>
      <c r="T8" s="63" t="n">
        <f aca="false">'Revenue Streams'!T29</f>
        <v>9660.1934172469</v>
      </c>
      <c r="U8" s="63" t="n">
        <f aca="false">'Revenue Streams'!U29</f>
        <v>10923.8236546887</v>
      </c>
      <c r="V8" s="63" t="n">
        <f aca="false">'Revenue Streams'!V29</f>
        <v>12194.5106899929</v>
      </c>
      <c r="W8" s="63" t="n">
        <f aca="false">'Revenue Streams'!W29</f>
        <v>13470.4966412886</v>
      </c>
      <c r="X8" s="63" t="n">
        <f aca="false">'Revenue Streams'!X29</f>
        <v>14750.0921300693</v>
      </c>
      <c r="Y8" s="63" t="n">
        <f aca="false">'Revenue Streams'!Y29</f>
        <v>16031.6764581052</v>
      </c>
      <c r="Z8" s="63" t="n">
        <f aca="false">'Revenue Streams'!Z29</f>
        <v>17313.6975191968</v>
      </c>
      <c r="AA8" s="63" t="n">
        <f aca="false">'Revenue Streams'!AA29</f>
        <v>18594.6714743091</v>
      </c>
      <c r="AB8" s="59" t="n">
        <f aca="false">SUM(AC8:AN8)</f>
        <v>432489.139324759</v>
      </c>
      <c r="AC8" s="63" t="n">
        <f aca="false">'Revenue Streams'!AC29</f>
        <v>21369.4441578667</v>
      </c>
      <c r="AD8" s="63" t="n">
        <f aca="false">'Revenue Streams'!AD29</f>
        <v>23536.1057043293</v>
      </c>
      <c r="AE8" s="63" t="n">
        <f aca="false">'Revenue Streams'!AE29</f>
        <v>26249.8221815914</v>
      </c>
      <c r="AF8" s="63" t="n">
        <f aca="false">'Revenue Streams'!AF29</f>
        <v>28990.6001487267</v>
      </c>
      <c r="AG8" s="63" t="n">
        <f aca="false">'Revenue Streams'!AG29</f>
        <v>31754.6691009392</v>
      </c>
      <c r="AH8" s="63" t="n">
        <f aca="false">'Revenue Streams'!AH29</f>
        <v>34534.4875213296</v>
      </c>
      <c r="AI8" s="63" t="n">
        <f aca="false">'Revenue Streams'!AI29</f>
        <v>37326.6725682453</v>
      </c>
      <c r="AJ8" s="63" t="n">
        <f aca="false">'Revenue Streams'!AJ29</f>
        <v>40127.9616153963</v>
      </c>
      <c r="AK8" s="63" t="n">
        <f aca="false">'Revenue Streams'!AK29</f>
        <v>42935.2126519759</v>
      </c>
      <c r="AL8" s="63" t="n">
        <f aca="false">'Revenue Streams'!AL29</f>
        <v>45745.4042737989</v>
      </c>
      <c r="AM8" s="63" t="n">
        <f aca="false">'Revenue Streams'!AM29</f>
        <v>48555.6353059709</v>
      </c>
      <c r="AN8" s="63" t="n">
        <f aca="false">'Revenue Streams'!AN29</f>
        <v>51363.1240945885</v>
      </c>
      <c r="AO8" s="59" t="n">
        <f aca="false">SUM(AP8:BA8)</f>
        <v>983372.621660339</v>
      </c>
      <c r="AP8" s="63" t="n">
        <f aca="false">'Revenue Streams'!AP29</f>
        <v>57627.0843727388</v>
      </c>
      <c r="AQ8" s="63" t="n">
        <f aca="false">'Revenue Streams'!AQ29</f>
        <v>61516.1707314867</v>
      </c>
      <c r="AR8" s="63" t="n">
        <f aca="false">'Revenue Streams'!AR29</f>
        <v>66005.5895670233</v>
      </c>
      <c r="AS8" s="63" t="n">
        <f aca="false">'Revenue Streams'!AS29</f>
        <v>70519.0957351909</v>
      </c>
      <c r="AT8" s="63" t="n">
        <f aca="false">'Revenue Streams'!AT29</f>
        <v>75051.7127383023</v>
      </c>
      <c r="AU8" s="63" t="n">
        <f aca="false">'Revenue Streams'!AU29</f>
        <v>79595.347933859</v>
      </c>
      <c r="AV8" s="63" t="n">
        <f aca="false">'Revenue Streams'!AV29</f>
        <v>84145.4848127167</v>
      </c>
      <c r="AW8" s="63" t="n">
        <f aca="false">'Revenue Streams'!AW29</f>
        <v>88697.7763439409</v>
      </c>
      <c r="AX8" s="63" t="n">
        <f aca="false">'Revenue Streams'!AX29</f>
        <v>93248.0439463421</v>
      </c>
      <c r="AY8" s="63" t="n">
        <f aca="false">'Revenue Streams'!AY29</f>
        <v>97792.2761004355</v>
      </c>
      <c r="AZ8" s="63" t="n">
        <f aca="false">'Revenue Streams'!AZ29</f>
        <v>102326.626637615</v>
      </c>
      <c r="BA8" s="63" t="n">
        <f aca="false">'Revenue Streams'!BA29</f>
        <v>106847.412740687</v>
      </c>
      <c r="BB8" s="59" t="n">
        <f aca="false">SUM(BC8:BN8)</f>
        <v>1785371.62847293</v>
      </c>
      <c r="BC8" s="63" t="n">
        <f aca="false">'Revenue Streams'!BC29</f>
        <v>117438.567946806</v>
      </c>
      <c r="BD8" s="63" t="n">
        <f aca="false">'Revenue Streams'!BD29</f>
        <v>122854.38663186</v>
      </c>
      <c r="BE8" s="63" t="n">
        <f aca="false">'Revenue Streams'!BE29</f>
        <v>128619.435510211</v>
      </c>
      <c r="BF8" s="63" t="n">
        <f aca="false">'Revenue Streams'!BF29</f>
        <v>134391.787915227</v>
      </c>
      <c r="BG8" s="63" t="n">
        <f aca="false">'Revenue Streams'!BG29</f>
        <v>140166.666272233</v>
      </c>
      <c r="BH8" s="63" t="n">
        <f aca="false">'Revenue Streams'!BH29</f>
        <v>145936.381290512</v>
      </c>
      <c r="BI8" s="63" t="n">
        <f aca="false">'Revenue Streams'!BI29</f>
        <v>151696.578161404</v>
      </c>
      <c r="BJ8" s="63" t="n">
        <f aca="false">'Revenue Streams'!BJ29</f>
        <v>157443.060918794</v>
      </c>
      <c r="BK8" s="63" t="n">
        <f aca="false">'Revenue Streams'!BK29</f>
        <v>163171.791849926</v>
      </c>
      <c r="BL8" s="63" t="n">
        <f aca="false">'Revenue Streams'!BL29</f>
        <v>168878.890564004</v>
      </c>
      <c r="BM8" s="63" t="n">
        <f aca="false">'Revenue Streams'!BM29</f>
        <v>174560.632751009</v>
      </c>
      <c r="BN8" s="63" t="n">
        <f aca="false">'Revenue Streams'!BN29</f>
        <v>180213.448660939</v>
      </c>
    </row>
    <row r="9" customFormat="false" ht="15" hidden="false" customHeight="false" outlineLevel="0" collapsed="false">
      <c r="A9" s="4" t="s">
        <v>807</v>
      </c>
      <c r="B9" s="59" t="n">
        <f aca="false">SUM(C9:N9)</f>
        <v>3418.12035676645</v>
      </c>
      <c r="C9" s="63" t="n">
        <f aca="false">'Revenue Streams'!C35</f>
        <v>0</v>
      </c>
      <c r="D9" s="63" t="n">
        <f aca="false">'Revenue Streams'!D35</f>
        <v>6.72956896171557</v>
      </c>
      <c r="E9" s="63" t="n">
        <f aca="false">'Revenue Streams'!E35</f>
        <v>21.09864407295</v>
      </c>
      <c r="F9" s="63" t="n">
        <f aca="false">'Revenue Streams'!F35</f>
        <v>66.4915423189776</v>
      </c>
      <c r="G9" s="63" t="n">
        <f aca="false">'Revenue Streams'!G35</f>
        <v>142.210434487609</v>
      </c>
      <c r="H9" s="63" t="n">
        <f aca="false">'Revenue Streams'!H35</f>
        <v>218.705661741619</v>
      </c>
      <c r="I9" s="63" t="n">
        <f aca="false">'Revenue Streams'!I35</f>
        <v>295.987755259699</v>
      </c>
      <c r="J9" s="63" t="n">
        <f aca="false">'Revenue Streams'!J35</f>
        <v>374.062699902295</v>
      </c>
      <c r="K9" s="63" t="n">
        <f aca="false">'Revenue Streams'!K35</f>
        <v>452.932196759495</v>
      </c>
      <c r="L9" s="63" t="n">
        <f aca="false">'Revenue Streams'!L35</f>
        <v>532.59392177106</v>
      </c>
      <c r="M9" s="63" t="n">
        <f aca="false">'Revenue Streams'!M35</f>
        <v>613.041779580578</v>
      </c>
      <c r="N9" s="63" t="n">
        <f aca="false">'Revenue Streams'!N35</f>
        <v>694.266151910447</v>
      </c>
      <c r="O9" s="59" t="n">
        <f aca="false">SUM(P9:AA9)</f>
        <v>23312.8414292499</v>
      </c>
      <c r="P9" s="63" t="n">
        <f aca="false">'Revenue Streams'!P35</f>
        <v>849.5757688174</v>
      </c>
      <c r="Q9" s="63" t="n">
        <f aca="false">'Revenue Streams'!Q35</f>
        <v>971.157151927291</v>
      </c>
      <c r="R9" s="63" t="n">
        <f aca="false">'Revenue Streams'!R35</f>
        <v>1106.97126508645</v>
      </c>
      <c r="S9" s="63" t="n">
        <f aca="false">'Revenue Streams'!S35</f>
        <v>1289.38418760749</v>
      </c>
      <c r="T9" s="63" t="n">
        <f aca="false">'Revenue Streams'!T35</f>
        <v>1517.56174717124</v>
      </c>
      <c r="U9" s="63" t="n">
        <f aca="false">'Revenue Streams'!U35</f>
        <v>1752.51503087427</v>
      </c>
      <c r="V9" s="63" t="n">
        <f aca="false">'Revenue Streams'!V35</f>
        <v>1994.2359799659</v>
      </c>
      <c r="W9" s="63" t="n">
        <f aca="false">'Revenue Streams'!W35</f>
        <v>2242.70128008828</v>
      </c>
      <c r="X9" s="63" t="n">
        <f aca="false">'Revenue Streams'!X35</f>
        <v>2497.87312822842</v>
      </c>
      <c r="Y9" s="63" t="n">
        <f aca="false">'Revenue Streams'!Y35</f>
        <v>2759.69999382312</v>
      </c>
      <c r="Z9" s="63" t="n">
        <f aca="false">'Revenue Streams'!Z35</f>
        <v>3028.11737160336</v>
      </c>
      <c r="AA9" s="63" t="n">
        <f aca="false">'Revenue Streams'!AA35</f>
        <v>3303.04852405671</v>
      </c>
      <c r="AB9" s="59" t="n">
        <f aca="false">SUM(AC9:AN9)</f>
        <v>83136.0325581343</v>
      </c>
      <c r="AC9" s="63" t="n">
        <f aca="false">'Revenue Streams'!AC35</f>
        <v>3908.74138191211</v>
      </c>
      <c r="AD9" s="63" t="n">
        <f aca="false">'Revenue Streams'!AD35</f>
        <v>4309.59016007705</v>
      </c>
      <c r="AE9" s="63" t="n">
        <f aca="false">'Revenue Streams'!AE35</f>
        <v>4741.2293584561</v>
      </c>
      <c r="AF9" s="63" t="n">
        <f aca="false">'Revenue Streams'!AF35</f>
        <v>5249.61856206884</v>
      </c>
      <c r="AG9" s="63" t="n">
        <f aca="false">'Revenue Streams'!AG35</f>
        <v>5833.6573060803</v>
      </c>
      <c r="AH9" s="63" t="n">
        <f aca="false">'Revenue Streams'!AH35</f>
        <v>6440.54922130919</v>
      </c>
      <c r="AI9" s="63" t="n">
        <f aca="false">'Revenue Streams'!AI35</f>
        <v>7070.21015873876</v>
      </c>
      <c r="AJ9" s="63" t="n">
        <f aca="false">'Revenue Streams'!AJ35</f>
        <v>7722.51863190314</v>
      </c>
      <c r="AK9" s="63" t="n">
        <f aca="false">'Revenue Streams'!AK35</f>
        <v>8397.31761890623</v>
      </c>
      <c r="AL9" s="63" t="n">
        <f aca="false">'Revenue Streams'!AL35</f>
        <v>9094.41634768732</v>
      </c>
      <c r="AM9" s="63" t="n">
        <f aca="false">'Revenue Streams'!AM35</f>
        <v>9813.5920601015</v>
      </c>
      <c r="AN9" s="63" t="n">
        <f aca="false">'Revenue Streams'!AN35</f>
        <v>10554.5917508937</v>
      </c>
      <c r="AO9" s="59" t="n">
        <f aca="false">SUM(AP9:BA9)</f>
        <v>215800.36159905</v>
      </c>
      <c r="AP9" s="63" t="n">
        <f aca="false">'Revenue Streams'!AP35</f>
        <v>12123.4835831551</v>
      </c>
      <c r="AQ9" s="63" t="n">
        <f aca="false">'Revenue Streams'!AQ35</f>
        <v>13002.723239308</v>
      </c>
      <c r="AR9" s="63" t="n">
        <f aca="false">'Revenue Streams'!AR35</f>
        <v>13925.3702565036</v>
      </c>
      <c r="AS9" s="63" t="n">
        <f aca="false">'Revenue Streams'!AS35</f>
        <v>14932.0133722379</v>
      </c>
      <c r="AT9" s="63" t="n">
        <f aca="false">'Revenue Streams'!AT35</f>
        <v>16021.5969094649</v>
      </c>
      <c r="AU9" s="63" t="n">
        <f aca="false">'Revenue Streams'!AU35</f>
        <v>17148.9892043254</v>
      </c>
      <c r="AV9" s="63" t="n">
        <f aca="false">'Revenue Streams'!AV35</f>
        <v>18313.9176245181</v>
      </c>
      <c r="AW9" s="63" t="n">
        <f aca="false">'Revenue Streams'!AW35</f>
        <v>19516.0608670385</v>
      </c>
      <c r="AX9" s="63" t="n">
        <f aca="false">'Revenue Streams'!AX35</f>
        <v>20755.0514198581</v>
      </c>
      <c r="AY9" s="63" t="n">
        <f aca="false">'Revenue Streams'!AY35</f>
        <v>22030.4779852381</v>
      </c>
      <c r="AZ9" s="63" t="n">
        <f aca="false">'Revenue Streams'!AZ35</f>
        <v>23341.8878609849</v>
      </c>
      <c r="BA9" s="63" t="n">
        <f aca="false">'Revenue Streams'!BA35</f>
        <v>24688.7892764175</v>
      </c>
      <c r="BB9" s="59" t="n">
        <f aca="false">SUM(BC9:BN9)</f>
        <v>448506.816845214</v>
      </c>
      <c r="BC9" s="63" t="n">
        <f aca="false">'Revenue Streams'!BC35</f>
        <v>27655.639016997</v>
      </c>
      <c r="BD9" s="63" t="n">
        <f aca="false">'Revenue Streams'!BD35</f>
        <v>29210.35558078</v>
      </c>
      <c r="BE9" s="63" t="n">
        <f aca="false">'Revenue Streams'!BE35</f>
        <v>30819.3423462685</v>
      </c>
      <c r="BF9" s="63" t="n">
        <f aca="false">'Revenue Streams'!BF35</f>
        <v>32518.2437163073</v>
      </c>
      <c r="BG9" s="63" t="n">
        <f aca="false">'Revenue Streams'!BG35</f>
        <v>34305.8670119503</v>
      </c>
      <c r="BH9" s="63" t="n">
        <f aca="false">'Revenue Streams'!BH35</f>
        <v>36139.5758966141</v>
      </c>
      <c r="BI9" s="63" t="n">
        <f aca="false">'Revenue Streams'!BI35</f>
        <v>38018.8716836391</v>
      </c>
      <c r="BJ9" s="63" t="n">
        <f aca="false">'Revenue Streams'!BJ35</f>
        <v>39943.2104742819</v>
      </c>
      <c r="BK9" s="63" t="n">
        <f aca="false">'Revenue Streams'!BK35</f>
        <v>41912.005427403</v>
      </c>
      <c r="BL9" s="63" t="n">
        <f aca="false">'Revenue Streams'!BL35</f>
        <v>43924.629000094</v>
      </c>
      <c r="BM9" s="63" t="n">
        <f aca="false">'Revenue Streams'!BM35</f>
        <v>45980.4151555977</v>
      </c>
      <c r="BN9" s="63" t="n">
        <f aca="false">'Revenue Streams'!BN35</f>
        <v>48078.6615352813</v>
      </c>
    </row>
    <row r="10" customFormat="false" ht="15" hidden="false" customHeight="false" outlineLevel="0" collapsed="false">
      <c r="A10" s="4" t="s">
        <v>808</v>
      </c>
      <c r="B10" s="59" t="n">
        <f aca="false">SUM(C10:N10)</f>
        <v>231.748850574105</v>
      </c>
      <c r="C10" s="63" t="n">
        <f aca="false">'Revenue Streams'!C40</f>
        <v>0</v>
      </c>
      <c r="D10" s="63" t="n">
        <f aca="false">'Revenue Streams'!D40</f>
        <v>1.84279527252324</v>
      </c>
      <c r="E10" s="63" t="n">
        <f aca="false">'Revenue Streams'!E40</f>
        <v>5.54800218202174</v>
      </c>
      <c r="F10" s="63" t="n">
        <f aca="false">'Revenue Streams'!F40</f>
        <v>9.32725294243359</v>
      </c>
      <c r="G10" s="63" t="n">
        <f aca="false">'Revenue Streams'!G40</f>
        <v>13.1713372927382</v>
      </c>
      <c r="H10" s="63" t="n">
        <f aca="false">'Revenue Streams'!H40</f>
        <v>17.0503079320632</v>
      </c>
      <c r="I10" s="63" t="n">
        <f aca="false">'Revenue Streams'!I40</f>
        <v>20.9566503257912</v>
      </c>
      <c r="J10" s="63" t="n">
        <f aca="false">'Revenue Streams'!J40</f>
        <v>24.8831847244304</v>
      </c>
      <c r="K10" s="63" t="n">
        <f aca="false">'Revenue Streams'!K40</f>
        <v>28.8230660896515</v>
      </c>
      <c r="L10" s="63" t="n">
        <f aca="false">'Revenue Streams'!L40</f>
        <v>32.7697824837175</v>
      </c>
      <c r="M10" s="63" t="n">
        <f aca="false">'Revenue Streams'!M40</f>
        <v>36.7171521149155</v>
      </c>
      <c r="N10" s="63" t="n">
        <f aca="false">'Revenue Streams'!N40</f>
        <v>40.6593192138186</v>
      </c>
      <c r="O10" s="59" t="n">
        <f aca="false">SUM(P10:AA10)</f>
        <v>1322.9999161999</v>
      </c>
      <c r="P10" s="63" t="n">
        <f aca="false">'Revenue Streams'!P40</f>
        <v>48.0027234860983</v>
      </c>
      <c r="Q10" s="63" t="n">
        <f aca="false">'Revenue Streams'!Q40</f>
        <v>56.3246327551782</v>
      </c>
      <c r="R10" s="63" t="n">
        <f aca="false">'Revenue Streams'!R40</f>
        <v>67.9421004864074</v>
      </c>
      <c r="S10" s="63" t="n">
        <f aca="false">'Revenue Streams'!S40</f>
        <v>79.7101971012664</v>
      </c>
      <c r="T10" s="63" t="n">
        <f aca="false">'Revenue Streams'!T40</f>
        <v>91.6091699854958</v>
      </c>
      <c r="U10" s="63" t="n">
        <f aca="false">'Revenue Streams'!U40</f>
        <v>103.592379039462</v>
      </c>
      <c r="V10" s="63" t="n">
        <f aca="false">'Revenue Streams'!V40</f>
        <v>115.642508844081</v>
      </c>
      <c r="W10" s="63" t="n">
        <f aca="false">'Revenue Streams'!W40</f>
        <v>127.742889122457</v>
      </c>
      <c r="X10" s="63" t="n">
        <f aca="false">'Revenue Streams'!X40</f>
        <v>139.877499226133</v>
      </c>
      <c r="Y10" s="63" t="n">
        <f aca="false">'Revenue Streams'!Y40</f>
        <v>152.030969812775</v>
      </c>
      <c r="Z10" s="63" t="n">
        <f aca="false">'Revenue Streams'!Z40</f>
        <v>164.188582009322</v>
      </c>
      <c r="AA10" s="63" t="n">
        <f aca="false">'Revenue Streams'!AA40</f>
        <v>176.336264331227</v>
      </c>
      <c r="AB10" s="59" t="n">
        <f aca="false">SUM(AC10:AN10)</f>
        <v>4101.36416218611</v>
      </c>
      <c r="AC10" s="63" t="n">
        <f aca="false">'Revenue Streams'!AC40</f>
        <v>202.649880576768</v>
      </c>
      <c r="AD10" s="63" t="n">
        <f aca="false">'Revenue Streams'!AD40</f>
        <v>223.196680970699</v>
      </c>
      <c r="AE10" s="63" t="n">
        <f aca="false">'Revenue Streams'!AE40</f>
        <v>248.931291378613</v>
      </c>
      <c r="AF10" s="63" t="n">
        <f aca="false">'Revenue Streams'!AF40</f>
        <v>274.922530253347</v>
      </c>
      <c r="AG10" s="63" t="n">
        <f aca="false">'Revenue Streams'!AG40</f>
        <v>301.134641290667</v>
      </c>
      <c r="AH10" s="63" t="n">
        <f aca="false">'Revenue Streams'!AH40</f>
        <v>327.496107071228</v>
      </c>
      <c r="AI10" s="63" t="n">
        <f aca="false">'Revenue Streams'!AI40</f>
        <v>353.97484756282</v>
      </c>
      <c r="AJ10" s="63" t="n">
        <f aca="false">'Revenue Streams'!AJ40</f>
        <v>380.539922754875</v>
      </c>
      <c r="AK10" s="63" t="n">
        <f aca="false">'Revenue Streams'!AK40</f>
        <v>407.161536452882</v>
      </c>
      <c r="AL10" s="63" t="n">
        <f aca="false">'Revenue Streams'!AL40</f>
        <v>433.811036194345</v>
      </c>
      <c r="AM10" s="63" t="n">
        <f aca="false">'Revenue Streams'!AM40</f>
        <v>460.460909670495</v>
      </c>
      <c r="AN10" s="63" t="n">
        <f aca="false">'Revenue Streams'!AN40</f>
        <v>487.084778009369</v>
      </c>
      <c r="AO10" s="59" t="n">
        <f aca="false">SUM(AP10:BA10)</f>
        <v>9325.48094698901</v>
      </c>
      <c r="AP10" s="63" t="n">
        <f aca="false">'Revenue Streams'!AP40</f>
        <v>546.486922160951</v>
      </c>
      <c r="AQ10" s="63" t="n">
        <f aca="false">'Revenue Streams'!AQ40</f>
        <v>583.367754452645</v>
      </c>
      <c r="AR10" s="63" t="n">
        <f aca="false">'Revenue Streams'!AR40</f>
        <v>625.941636307484</v>
      </c>
      <c r="AS10" s="63" t="n">
        <f aca="false">'Revenue Streams'!AS40</f>
        <v>668.743942217016</v>
      </c>
      <c r="AT10" s="63" t="n">
        <f aca="false">'Revenue Streams'!AT40</f>
        <v>711.72747925219</v>
      </c>
      <c r="AU10" s="63" t="n">
        <f aca="false">'Revenue Streams'!AU40</f>
        <v>754.815503580844</v>
      </c>
      <c r="AV10" s="63" t="n">
        <f aca="false">'Revenue Streams'!AV40</f>
        <v>797.965184419361</v>
      </c>
      <c r="AW10" s="63" t="n">
        <f aca="false">'Revenue Streams'!AW40</f>
        <v>841.135298173284</v>
      </c>
      <c r="AX10" s="63" t="n">
        <f aca="false">'Revenue Streams'!AX40</f>
        <v>884.286218684218</v>
      </c>
      <c r="AY10" s="63" t="n">
        <f aca="false">'Revenue Streams'!AY40</f>
        <v>927.379904066818</v>
      </c>
      <c r="AZ10" s="63" t="n">
        <f aca="false">'Revenue Streams'!AZ40</f>
        <v>970.379880484752</v>
      </c>
      <c r="BA10" s="63" t="n">
        <f aca="false">'Revenue Streams'!BA40</f>
        <v>1013.25122318945</v>
      </c>
      <c r="BB10" s="59" t="n">
        <f aca="false">SUM(BC10:BN10)</f>
        <v>16930.9666934878</v>
      </c>
      <c r="BC10" s="63" t="n">
        <f aca="false">'Revenue Streams'!BC40</f>
        <v>1113.68885375364</v>
      </c>
      <c r="BD10" s="63" t="n">
        <f aca="false">'Revenue Streams'!BD40</f>
        <v>1165.04793458156</v>
      </c>
      <c r="BE10" s="63" t="n">
        <f aca="false">'Revenue Streams'!BE40</f>
        <v>1219.71882157733</v>
      </c>
      <c r="BF10" s="63" t="n">
        <f aca="false">'Revenue Streams'!BF40</f>
        <v>1274.45896909271</v>
      </c>
      <c r="BG10" s="63" t="n">
        <f aca="false">'Revenue Streams'!BG40</f>
        <v>1329.22307061764</v>
      </c>
      <c r="BH10" s="63" t="n">
        <f aca="false">'Revenue Streams'!BH40</f>
        <v>1383.93820736985</v>
      </c>
      <c r="BI10" s="63" t="n">
        <f aca="false">'Revenue Streams'!BI40</f>
        <v>1438.56308199744</v>
      </c>
      <c r="BJ10" s="63" t="n">
        <f aca="false">'Revenue Streams'!BJ40</f>
        <v>1493.05790347799</v>
      </c>
      <c r="BK10" s="63" t="n">
        <f aca="false">'Revenue Streams'!BK40</f>
        <v>1547.38438153114</v>
      </c>
      <c r="BL10" s="63" t="n">
        <f aca="false">'Revenue Streams'!BL40</f>
        <v>1601.50571778602</v>
      </c>
      <c r="BM10" s="63" t="n">
        <f aca="false">'Revenue Streams'!BM40</f>
        <v>1655.3865940109</v>
      </c>
      <c r="BN10" s="63" t="n">
        <f aca="false">'Revenue Streams'!BN40</f>
        <v>1708.9931576916</v>
      </c>
    </row>
    <row r="11" customFormat="false" ht="15" hidden="false" customHeight="false" outlineLevel="0" collapsed="false">
      <c r="A11" s="13" t="s">
        <v>809</v>
      </c>
      <c r="B11" s="59" t="n">
        <f aca="false">SUM(C11:N11)</f>
        <v>14741.2277129893</v>
      </c>
      <c r="C11" s="90" t="n">
        <f aca="false">'Revenue Streams'!C69</f>
        <v>0</v>
      </c>
      <c r="D11" s="90" t="n">
        <f aca="false">'Revenue Streams'!D69</f>
        <v>124.099046029473</v>
      </c>
      <c r="E11" s="90" t="n">
        <f aca="false">'Revenue Streams'!E69</f>
        <v>371.349907518227</v>
      </c>
      <c r="F11" s="90" t="n">
        <f aca="false">'Revenue Streams'!F69</f>
        <v>618.369126012974</v>
      </c>
      <c r="G11" s="90" t="n">
        <f aca="false">'Revenue Streams'!G69</f>
        <v>864.70841434041</v>
      </c>
      <c r="H11" s="90" t="n">
        <f aca="false">'Revenue Streams'!H69</f>
        <v>1109.28574290198</v>
      </c>
      <c r="I11" s="90" t="n">
        <f aca="false">'Revenue Streams'!I69</f>
        <v>1351.75538706221</v>
      </c>
      <c r="J11" s="90" t="n">
        <f aca="false">'Revenue Streams'!J69</f>
        <v>1591.8031709796</v>
      </c>
      <c r="K11" s="90" t="n">
        <f aca="false">'Revenue Streams'!K69</f>
        <v>1829.144430021</v>
      </c>
      <c r="L11" s="90" t="n">
        <f aca="false">'Revenue Streams'!L69</f>
        <v>2063.52209088587</v>
      </c>
      <c r="M11" s="90" t="n">
        <f aca="false">'Revenue Streams'!M69</f>
        <v>2294.70486290422</v>
      </c>
      <c r="N11" s="90" t="n">
        <f aca="false">'Revenue Streams'!N69</f>
        <v>2522.48553433335</v>
      </c>
      <c r="O11" s="59" t="n">
        <f aca="false">SUM(P11:AA11)</f>
        <v>101762.280760851</v>
      </c>
      <c r="P11" s="90" t="n">
        <f aca="false">'Revenue Streams'!P69</f>
        <v>3364.35578929363</v>
      </c>
      <c r="Q11" s="90" t="n">
        <f aca="false">'Revenue Streams'!Q69</f>
        <v>3933.09004675045</v>
      </c>
      <c r="R11" s="90" t="n">
        <f aca="false">'Revenue Streams'!R69</f>
        <v>4725.81494840252</v>
      </c>
      <c r="S11" s="90" t="n">
        <f aca="false">'Revenue Streams'!S69</f>
        <v>5516.49666607861</v>
      </c>
      <c r="T11" s="90" t="n">
        <f aca="false">'Revenue Streams'!T69</f>
        <v>6304.10870110659</v>
      </c>
      <c r="U11" s="90" t="n">
        <f aca="false">'Revenue Streams'!U69</f>
        <v>7086.71930113982</v>
      </c>
      <c r="V11" s="90" t="n">
        <f aca="false">'Revenue Streams'!V69</f>
        <v>9521.6363542658</v>
      </c>
      <c r="W11" s="90" t="n">
        <f aca="false">'Revenue Streams'!W69</f>
        <v>10448.9610781138</v>
      </c>
      <c r="X11" s="90" t="n">
        <f aca="false">'Revenue Streams'!X69</f>
        <v>11366.4326941031</v>
      </c>
      <c r="Y11" s="90" t="n">
        <f aca="false">'Revenue Streams'!Y69</f>
        <v>12273.2956233906</v>
      </c>
      <c r="Z11" s="90" t="n">
        <f aca="false">'Revenue Streams'!Z69</f>
        <v>13168.8619729266</v>
      </c>
      <c r="AA11" s="90" t="n">
        <f aca="false">'Revenue Streams'!AA69</f>
        <v>14052.5075852795</v>
      </c>
      <c r="AB11" s="59" t="n">
        <f aca="false">SUM(AC11:AN11)</f>
        <v>360398.037940749</v>
      </c>
      <c r="AC11" s="90" t="n">
        <f aca="false">'Revenue Streams'!AC69</f>
        <v>18366.0880706231</v>
      </c>
      <c r="AD11" s="90" t="n">
        <f aca="false">'Revenue Streams'!AD69</f>
        <v>20146.2751775415</v>
      </c>
      <c r="AE11" s="90" t="n">
        <f aca="false">'Revenue Streams'!AE69</f>
        <v>22384.3857882622</v>
      </c>
      <c r="AF11" s="90" t="n">
        <f aca="false">'Revenue Streams'!AF69</f>
        <v>24611.1898961142</v>
      </c>
      <c r="AG11" s="90" t="n">
        <f aca="false">'Revenue Streams'!AG69</f>
        <v>26824.536150025</v>
      </c>
      <c r="AH11" s="90" t="n">
        <f aca="false">'Revenue Streams'!AH69</f>
        <v>29020.3636673542</v>
      </c>
      <c r="AI11" s="90" t="n">
        <f aca="false">'Revenue Streams'!AI69</f>
        <v>31196.8878159705</v>
      </c>
      <c r="AJ11" s="90" t="n">
        <f aca="false">'Revenue Streams'!AJ69</f>
        <v>33352.4599360413</v>
      </c>
      <c r="AK11" s="90" t="n">
        <f aca="false">'Revenue Streams'!AK69</f>
        <v>35485.5602948316</v>
      </c>
      <c r="AL11" s="90" t="n">
        <f aca="false">'Revenue Streams'!AL69</f>
        <v>37594.7913646684</v>
      </c>
      <c r="AM11" s="90" t="n">
        <f aca="false">'Revenue Streams'!AM69</f>
        <v>39678.8714099136</v>
      </c>
      <c r="AN11" s="90" t="n">
        <f aca="false">'Revenue Streams'!AN69</f>
        <v>41736.628369403</v>
      </c>
      <c r="AO11" s="59" t="n">
        <f aca="false">SUM(AP11:BA11)</f>
        <v>862230.806772958</v>
      </c>
      <c r="AP11" s="90" t="n">
        <f aca="false">'Revenue Streams'!AP69</f>
        <v>51597.6192605199</v>
      </c>
      <c r="AQ11" s="90" t="n">
        <f aca="false">'Revenue Streams'!AQ69</f>
        <v>54938.0567293509</v>
      </c>
      <c r="AR11" s="90" t="n">
        <f aca="false">'Revenue Streams'!AR69</f>
        <v>58797.6827582676</v>
      </c>
      <c r="AS11" s="90" t="n">
        <f aca="false">'Revenue Streams'!AS69</f>
        <v>62626.8943518006</v>
      </c>
      <c r="AT11" s="90" t="n">
        <f aca="false">'Revenue Streams'!AT69</f>
        <v>66423.0335794246</v>
      </c>
      <c r="AU11" s="90" t="n">
        <f aca="false">'Revenue Streams'!AU69</f>
        <v>70181.7144568371</v>
      </c>
      <c r="AV11" s="90" t="n">
        <f aca="false">'Revenue Streams'!AV69</f>
        <v>73900.7138428614</v>
      </c>
      <c r="AW11" s="90" t="n">
        <f aca="false">'Revenue Streams'!AW69</f>
        <v>77577.9808506846</v>
      </c>
      <c r="AX11" s="90" t="n">
        <f aca="false">'Revenue Streams'!AX69</f>
        <v>81211.6283580719</v>
      </c>
      <c r="AY11" s="90" t="n">
        <f aca="false">'Revenue Streams'!AY69</f>
        <v>84799.9248813003</v>
      </c>
      <c r="AZ11" s="90" t="n">
        <f aca="false">'Revenue Streams'!AZ69</f>
        <v>88341.2867981295</v>
      </c>
      <c r="BA11" s="90" t="n">
        <f aca="false">'Revenue Streams'!BA69</f>
        <v>91834.2709057097</v>
      </c>
      <c r="BB11" s="59" t="n">
        <f aca="false">SUM(BC11:BN11)</f>
        <v>1613894.71711835</v>
      </c>
      <c r="BC11" s="90" t="n">
        <f aca="false">'Revenue Streams'!BC69</f>
        <v>108320.034453287</v>
      </c>
      <c r="BD11" s="90" t="n">
        <f aca="false">'Revenue Streams'!BD69</f>
        <v>112933.521203314</v>
      </c>
      <c r="BE11" s="90" t="n">
        <f aca="false">'Revenue Streams'!BE69</f>
        <v>117875.609688717</v>
      </c>
      <c r="BF11" s="90" t="n">
        <f aca="false">'Revenue Streams'!BF69</f>
        <v>122771.92092741</v>
      </c>
      <c r="BG11" s="90" t="n">
        <f aca="false">'Revenue Streams'!BG69</f>
        <v>127619.764644373</v>
      </c>
      <c r="BH11" s="90" t="n">
        <f aca="false">'Revenue Streams'!BH69</f>
        <v>132414.728522609</v>
      </c>
      <c r="BI11" s="90" t="n">
        <f aca="false">'Revenue Streams'!BI69</f>
        <v>137154.560750511</v>
      </c>
      <c r="BJ11" s="90" t="n">
        <f aca="false">'Revenue Streams'!BJ69</f>
        <v>141837.185806947</v>
      </c>
      <c r="BK11" s="90" t="n">
        <f aca="false">'Revenue Streams'!BK69</f>
        <v>146460.696123513</v>
      </c>
      <c r="BL11" s="90" t="n">
        <f aca="false">'Revenue Streams'!BL69</f>
        <v>151023.344086176</v>
      </c>
      <c r="BM11" s="90" t="n">
        <f aca="false">'Revenue Streams'!BM69</f>
        <v>155523.534363377</v>
      </c>
      <c r="BN11" s="90" t="n">
        <f aca="false">'Revenue Streams'!BN69</f>
        <v>159959.816548117</v>
      </c>
    </row>
    <row r="12" customFormat="false" ht="15" hidden="false" customHeight="false" outlineLevel="0" collapsed="false">
      <c r="A12" s="4" t="s">
        <v>810</v>
      </c>
      <c r="B12" s="59" t="n">
        <f aca="false">SUM(C12:N12)</f>
        <v>14741.2277129893</v>
      </c>
      <c r="C12" s="63" t="n">
        <f aca="false">'Revenue Streams'!C49</f>
        <v>0</v>
      </c>
      <c r="D12" s="63" t="n">
        <f aca="false">'Revenue Streams'!D49</f>
        <v>124.099046029473</v>
      </c>
      <c r="E12" s="63" t="n">
        <f aca="false">'Revenue Streams'!E49</f>
        <v>371.349907518227</v>
      </c>
      <c r="F12" s="63" t="n">
        <f aca="false">'Revenue Streams'!F49</f>
        <v>618.369126012974</v>
      </c>
      <c r="G12" s="63" t="n">
        <f aca="false">'Revenue Streams'!G49</f>
        <v>864.70841434041</v>
      </c>
      <c r="H12" s="63" t="n">
        <f aca="false">'Revenue Streams'!H49</f>
        <v>1109.28574290198</v>
      </c>
      <c r="I12" s="63" t="n">
        <f aca="false">'Revenue Streams'!I49</f>
        <v>1351.75538706221</v>
      </c>
      <c r="J12" s="63" t="n">
        <f aca="false">'Revenue Streams'!J49</f>
        <v>1591.8031709796</v>
      </c>
      <c r="K12" s="63" t="n">
        <f aca="false">'Revenue Streams'!K49</f>
        <v>1829.144430021</v>
      </c>
      <c r="L12" s="63" t="n">
        <f aca="false">'Revenue Streams'!L49</f>
        <v>2063.52209088587</v>
      </c>
      <c r="M12" s="63" t="n">
        <f aca="false">'Revenue Streams'!M49</f>
        <v>2294.70486290422</v>
      </c>
      <c r="N12" s="63" t="n">
        <f aca="false">'Revenue Streams'!N49</f>
        <v>2522.48553433335</v>
      </c>
      <c r="O12" s="59" t="n">
        <f aca="false">SUM(P12:AA12)</f>
        <v>89507.2878943042</v>
      </c>
      <c r="P12" s="63" t="n">
        <f aca="false">'Revenue Streams'!P49</f>
        <v>3364.35578929363</v>
      </c>
      <c r="Q12" s="63" t="n">
        <f aca="false">'Revenue Streams'!Q49</f>
        <v>3933.09004675045</v>
      </c>
      <c r="R12" s="63" t="n">
        <f aca="false">'Revenue Streams'!R49</f>
        <v>4725.81494840252</v>
      </c>
      <c r="S12" s="63" t="n">
        <f aca="false">'Revenue Streams'!S49</f>
        <v>5516.49666607861</v>
      </c>
      <c r="T12" s="63" t="n">
        <f aca="false">'Revenue Streams'!T49</f>
        <v>6304.10870110659</v>
      </c>
      <c r="U12" s="63" t="n">
        <f aca="false">'Revenue Streams'!U49</f>
        <v>7086.71930113982</v>
      </c>
      <c r="V12" s="63" t="n">
        <f aca="false">'Revenue Streams'!V49</f>
        <v>7863.4850493742</v>
      </c>
      <c r="W12" s="63" t="n">
        <f aca="false">'Revenue Streams'!W49</f>
        <v>8633.62762997317</v>
      </c>
      <c r="X12" s="63" t="n">
        <f aca="false">'Revenue Streams'!X49</f>
        <v>9396.43033214397</v>
      </c>
      <c r="Y12" s="63" t="n">
        <f aca="false">'Revenue Streams'!Y49</f>
        <v>10151.2347184115</v>
      </c>
      <c r="Z12" s="63" t="n">
        <f aca="false">'Revenue Streams'!Z49</f>
        <v>10897.4374498996</v>
      </c>
      <c r="AA12" s="63" t="n">
        <f aca="false">'Revenue Streams'!AA49</f>
        <v>11634.4872617302</v>
      </c>
      <c r="AB12" s="59" t="n">
        <f aca="false">SUM(AC12:AN12)</f>
        <v>294728.934200584</v>
      </c>
      <c r="AC12" s="63" t="n">
        <f aca="false">'Revenue Streams'!AC49</f>
        <v>14981.4046539712</v>
      </c>
      <c r="AD12" s="63" t="n">
        <f aca="false">'Revenue Streams'!AD49</f>
        <v>16439.0984674611</v>
      </c>
      <c r="AE12" s="63" t="n">
        <f aca="false">'Revenue Streams'!AE49</f>
        <v>18271.5860911347</v>
      </c>
      <c r="AF12" s="63" t="n">
        <f aca="false">'Revenue Streams'!AF49</f>
        <v>20096.7755416241</v>
      </c>
      <c r="AG12" s="63" t="n">
        <f aca="false">'Revenue Streams'!AG49</f>
        <v>21912.8399663846</v>
      </c>
      <c r="AH12" s="63" t="n">
        <f aca="false">'Revenue Streams'!AH49</f>
        <v>23716.6156920705</v>
      </c>
      <c r="AI12" s="63" t="n">
        <f aca="false">'Revenue Streams'!AI49</f>
        <v>25506.5669286632</v>
      </c>
      <c r="AJ12" s="63" t="n">
        <f aca="false">'Revenue Streams'!AJ49</f>
        <v>27281.2669299652</v>
      </c>
      <c r="AK12" s="63" t="n">
        <f aca="false">'Revenue Streams'!AK49</f>
        <v>29039.3927414783</v>
      </c>
      <c r="AL12" s="63" t="n">
        <f aca="false">'Revenue Streams'!AL49</f>
        <v>30779.7201654004</v>
      </c>
      <c r="AM12" s="63" t="n">
        <f aca="false">'Revenue Streams'!AM49</f>
        <v>32501.118934614</v>
      </c>
      <c r="AN12" s="63" t="n">
        <f aca="false">'Revenue Streams'!AN49</f>
        <v>34202.5480878162</v>
      </c>
      <c r="AO12" s="59" t="n">
        <f aca="false">SUM(AP12:BA12)</f>
        <v>705153.070772985</v>
      </c>
      <c r="AP12" s="63" t="n">
        <f aca="false">'Revenue Streams'!AP49</f>
        <v>42123.9084251616</v>
      </c>
      <c r="AQ12" s="63" t="n">
        <f aca="false">'Revenue Streams'!AQ49</f>
        <v>44860.6573897355</v>
      </c>
      <c r="AR12" s="63" t="n">
        <f aca="false">'Revenue Streams'!AR49</f>
        <v>48023.1337175803</v>
      </c>
      <c r="AS12" s="63" t="n">
        <f aca="false">'Revenue Streams'!AS49</f>
        <v>51163.9303428384</v>
      </c>
      <c r="AT12" s="63" t="n">
        <f aca="false">'Revenue Streams'!AT49</f>
        <v>54280.7498401897</v>
      </c>
      <c r="AU12" s="63" t="n">
        <f aca="false">'Revenue Streams'!AU49</f>
        <v>57370.1046126007</v>
      </c>
      <c r="AV12" s="63" t="n">
        <f aca="false">'Revenue Streams'!AV49</f>
        <v>60430.0458888644</v>
      </c>
      <c r="AW12" s="63" t="n">
        <f aca="false">'Revenue Streams'!AW49</f>
        <v>63458.7646445103</v>
      </c>
      <c r="AX12" s="63" t="n">
        <f aca="false">'Revenue Streams'!AX49</f>
        <v>66454.5851896134</v>
      </c>
      <c r="AY12" s="63" t="n">
        <f aca="false">'Revenue Streams'!AY49</f>
        <v>69415.9590046348</v>
      </c>
      <c r="AZ12" s="63" t="n">
        <f aca="false">'Revenue Streams'!AZ49</f>
        <v>72341.4588157641</v>
      </c>
      <c r="BA12" s="63" t="n">
        <f aca="false">'Revenue Streams'!BA49</f>
        <v>75229.7729014922</v>
      </c>
      <c r="BB12" s="59" t="n">
        <f aca="false">SUM(BC12:BN12)</f>
        <v>1329575.51240734</v>
      </c>
      <c r="BC12" s="63" t="n">
        <f aca="false">'Revenue Streams'!BC49</f>
        <v>89094.1265028999</v>
      </c>
      <c r="BD12" s="63" t="n">
        <f aca="false">'Revenue Streams'!BD49</f>
        <v>92913.8961942521</v>
      </c>
      <c r="BE12" s="63" t="n">
        <f aca="false">'Revenue Streams'!BE49</f>
        <v>97003.6843580646</v>
      </c>
      <c r="BF12" s="63" t="n">
        <f aca="false">'Revenue Streams'!BF49</f>
        <v>101058.917823548</v>
      </c>
      <c r="BG12" s="63" t="n">
        <f aca="false">'Revenue Streams'!BG49</f>
        <v>105077.262222773</v>
      </c>
      <c r="BH12" s="63" t="n">
        <f aca="false">'Revenue Streams'!BH49</f>
        <v>109055.193016113</v>
      </c>
      <c r="BI12" s="63" t="n">
        <f aca="false">'Revenue Streams'!BI49</f>
        <v>112990.728725024</v>
      </c>
      <c r="BJ12" s="63" t="n">
        <f aca="false">'Revenue Streams'!BJ49</f>
        <v>116882.031350497</v>
      </c>
      <c r="BK12" s="63" t="n">
        <f aca="false">'Revenue Streams'!BK49</f>
        <v>120727.400052176</v>
      </c>
      <c r="BL12" s="63" t="n">
        <f aca="false">'Revenue Streams'!BL49</f>
        <v>124525.265059677</v>
      </c>
      <c r="BM12" s="63" t="n">
        <f aca="false">'Revenue Streams'!BM49</f>
        <v>128274.18180857</v>
      </c>
      <c r="BN12" s="63" t="n">
        <f aca="false">'Revenue Streams'!BN49</f>
        <v>131972.825293741</v>
      </c>
    </row>
    <row r="13" customFormat="false" ht="15" hidden="false" customHeight="false" outlineLevel="0" collapsed="false">
      <c r="A13" s="4" t="s">
        <v>811</v>
      </c>
      <c r="B13" s="59" t="n">
        <f aca="false">SUM(C13:N13)</f>
        <v>0</v>
      </c>
      <c r="C13" s="63" t="n">
        <f aca="false">'Revenue Streams'!C59</f>
        <v>0</v>
      </c>
      <c r="D13" s="63" t="n">
        <f aca="false">'Revenue Streams'!D59</f>
        <v>0</v>
      </c>
      <c r="E13" s="63" t="n">
        <f aca="false">'Revenue Streams'!E59</f>
        <v>0</v>
      </c>
      <c r="F13" s="63" t="n">
        <f aca="false">'Revenue Streams'!F59</f>
        <v>0</v>
      </c>
      <c r="G13" s="63" t="n">
        <f aca="false">'Revenue Streams'!G59</f>
        <v>0</v>
      </c>
      <c r="H13" s="63" t="n">
        <f aca="false">'Revenue Streams'!H59</f>
        <v>0</v>
      </c>
      <c r="I13" s="63" t="n">
        <f aca="false">'Revenue Streams'!I59</f>
        <v>0</v>
      </c>
      <c r="J13" s="63" t="n">
        <f aca="false">'Revenue Streams'!J59</f>
        <v>0</v>
      </c>
      <c r="K13" s="63" t="n">
        <f aca="false">'Revenue Streams'!K59</f>
        <v>0</v>
      </c>
      <c r="L13" s="63" t="n">
        <f aca="false">'Revenue Streams'!L59</f>
        <v>0</v>
      </c>
      <c r="M13" s="63" t="n">
        <f aca="false">'Revenue Streams'!M59</f>
        <v>0</v>
      </c>
      <c r="N13" s="63" t="n">
        <f aca="false">'Revenue Streams'!N59</f>
        <v>0</v>
      </c>
      <c r="O13" s="59" t="n">
        <f aca="false">SUM(P13:AA13)</f>
        <v>12254.9928665468</v>
      </c>
      <c r="P13" s="63" t="n">
        <f aca="false">'Revenue Streams'!P59</f>
        <v>0</v>
      </c>
      <c r="Q13" s="63" t="n">
        <f aca="false">'Revenue Streams'!Q59</f>
        <v>0</v>
      </c>
      <c r="R13" s="63" t="n">
        <f aca="false">'Revenue Streams'!R59</f>
        <v>0</v>
      </c>
      <c r="S13" s="63" t="n">
        <f aca="false">'Revenue Streams'!S59</f>
        <v>0</v>
      </c>
      <c r="T13" s="63" t="n">
        <f aca="false">'Revenue Streams'!T59</f>
        <v>0</v>
      </c>
      <c r="U13" s="63" t="n">
        <f aca="false">'Revenue Streams'!U59</f>
        <v>0</v>
      </c>
      <c r="V13" s="63" t="n">
        <f aca="false">'Revenue Streams'!V59</f>
        <v>1658.1513048916</v>
      </c>
      <c r="W13" s="63" t="n">
        <f aca="false">'Revenue Streams'!W59</f>
        <v>1815.33344814063</v>
      </c>
      <c r="X13" s="63" t="n">
        <f aca="false">'Revenue Streams'!X59</f>
        <v>1970.00236195912</v>
      </c>
      <c r="Y13" s="63" t="n">
        <f aca="false">'Revenue Streams'!Y59</f>
        <v>2122.06090497909</v>
      </c>
      <c r="Z13" s="63" t="n">
        <f aca="false">'Revenue Streams'!Z59</f>
        <v>2271.42452302702</v>
      </c>
      <c r="AA13" s="63" t="n">
        <f aca="false">'Revenue Streams'!AA59</f>
        <v>2418.0203235493</v>
      </c>
      <c r="AB13" s="59" t="n">
        <f aca="false">SUM(AC13:AN13)</f>
        <v>65669.103740165</v>
      </c>
      <c r="AC13" s="63" t="n">
        <f aca="false">'Revenue Streams'!AC59</f>
        <v>3384.68341665196</v>
      </c>
      <c r="AD13" s="63" t="n">
        <f aca="false">'Revenue Streams'!AD59</f>
        <v>3707.17671008041</v>
      </c>
      <c r="AE13" s="63" t="n">
        <f aca="false">'Revenue Streams'!AE59</f>
        <v>4112.79969712746</v>
      </c>
      <c r="AF13" s="63" t="n">
        <f aca="false">'Revenue Streams'!AF59</f>
        <v>4514.41435449014</v>
      </c>
      <c r="AG13" s="63" t="n">
        <f aca="false">'Revenue Streams'!AG59</f>
        <v>4911.69618364044</v>
      </c>
      <c r="AH13" s="63" t="n">
        <f aca="false">'Revenue Streams'!AH59</f>
        <v>5303.7479752837</v>
      </c>
      <c r="AI13" s="63" t="n">
        <f aca="false">'Revenue Streams'!AI59</f>
        <v>5690.32088730726</v>
      </c>
      <c r="AJ13" s="63" t="n">
        <f aca="false">'Revenue Streams'!AJ59</f>
        <v>6071.19300607606</v>
      </c>
      <c r="AK13" s="63" t="n">
        <f aca="false">'Revenue Streams'!AK59</f>
        <v>6446.16755335326</v>
      </c>
      <c r="AL13" s="63" t="n">
        <f aca="false">'Revenue Streams'!AL59</f>
        <v>6815.07119926796</v>
      </c>
      <c r="AM13" s="63" t="n">
        <f aca="false">'Revenue Streams'!AM59</f>
        <v>7177.75247529951</v>
      </c>
      <c r="AN13" s="63" t="n">
        <f aca="false">'Revenue Streams'!AN59</f>
        <v>7534.0802815868</v>
      </c>
      <c r="AO13" s="59" t="n">
        <f aca="false">SUM(AP13:BA13)</f>
        <v>157077.735999973</v>
      </c>
      <c r="AP13" s="63" t="n">
        <f aca="false">'Revenue Streams'!AP59</f>
        <v>9473.71083535831</v>
      </c>
      <c r="AQ13" s="63" t="n">
        <f aca="false">'Revenue Streams'!AQ59</f>
        <v>10077.3993396153</v>
      </c>
      <c r="AR13" s="63" t="n">
        <f aca="false">'Revenue Streams'!AR59</f>
        <v>10774.5490406873</v>
      </c>
      <c r="AS13" s="63" t="n">
        <f aca="false">'Revenue Streams'!AS59</f>
        <v>11462.9640089622</v>
      </c>
      <c r="AT13" s="63" t="n">
        <f aca="false">'Revenue Streams'!AT59</f>
        <v>12142.2837392349</v>
      </c>
      <c r="AU13" s="63" t="n">
        <f aca="false">'Revenue Streams'!AU59</f>
        <v>12811.6098442364</v>
      </c>
      <c r="AV13" s="63" t="n">
        <f aca="false">'Revenue Streams'!AV59</f>
        <v>13470.667953997</v>
      </c>
      <c r="AW13" s="63" t="n">
        <f aca="false">'Revenue Streams'!AW59</f>
        <v>14119.2162061743</v>
      </c>
      <c r="AX13" s="63" t="n">
        <f aca="false">'Revenue Streams'!AX59</f>
        <v>14757.0431684585</v>
      </c>
      <c r="AY13" s="63" t="n">
        <f aca="false">'Revenue Streams'!AY59</f>
        <v>15383.9658766654</v>
      </c>
      <c r="AZ13" s="63" t="n">
        <f aca="false">'Revenue Streams'!AZ59</f>
        <v>15999.8279823653</v>
      </c>
      <c r="BA13" s="63" t="n">
        <f aca="false">'Revenue Streams'!BA59</f>
        <v>16604.4980042175</v>
      </c>
      <c r="BB13" s="59" t="n">
        <f aca="false">SUM(BC13:BN13)</f>
        <v>284319.204711014</v>
      </c>
      <c r="BC13" s="63" t="n">
        <f aca="false">'Revenue Streams'!BC59</f>
        <v>19225.9079503873</v>
      </c>
      <c r="BD13" s="63" t="n">
        <f aca="false">'Revenue Streams'!BD59</f>
        <v>20019.6250090614</v>
      </c>
      <c r="BE13" s="63" t="n">
        <f aca="false">'Revenue Streams'!BE59</f>
        <v>20871.9253306522</v>
      </c>
      <c r="BF13" s="63" t="n">
        <f aca="false">'Revenue Streams'!BF59</f>
        <v>21713.0031038623</v>
      </c>
      <c r="BG13" s="63" t="n">
        <f aca="false">'Revenue Streams'!BG59</f>
        <v>22542.5024216007</v>
      </c>
      <c r="BH13" s="63" t="n">
        <f aca="false">'Revenue Streams'!BH59</f>
        <v>23359.5355064962</v>
      </c>
      <c r="BI13" s="63" t="n">
        <f aca="false">'Revenue Streams'!BI59</f>
        <v>24163.8320254862</v>
      </c>
      <c r="BJ13" s="63" t="n">
        <f aca="false">'Revenue Streams'!BJ59</f>
        <v>24955.1544564499</v>
      </c>
      <c r="BK13" s="63" t="n">
        <f aca="false">'Revenue Streams'!BK59</f>
        <v>25733.2960713365</v>
      </c>
      <c r="BL13" s="63" t="n">
        <f aca="false">'Revenue Streams'!BL59</f>
        <v>26498.0790264991</v>
      </c>
      <c r="BM13" s="63" t="n">
        <f aca="false">'Revenue Streams'!BM59</f>
        <v>27249.3525548061</v>
      </c>
      <c r="BN13" s="63" t="n">
        <f aca="false">'Revenue Streams'!BN59</f>
        <v>27986.9912543761</v>
      </c>
    </row>
    <row r="14" customFormat="false" ht="15" hidden="false" customHeight="false" outlineLevel="0" collapsed="false">
      <c r="A14" s="13" t="s">
        <v>812</v>
      </c>
      <c r="B14" s="59" t="n">
        <f aca="false">SUM(C14:N14)</f>
        <v>2201.57826800565</v>
      </c>
      <c r="C14" s="90" t="n">
        <f aca="false">'Revenue Streams'!C70</f>
        <v>0</v>
      </c>
      <c r="D14" s="90" t="n">
        <f aca="false">'Revenue Streams'!D70</f>
        <v>0</v>
      </c>
      <c r="E14" s="90" t="n">
        <f aca="false">'Revenue Streams'!E70</f>
        <v>0</v>
      </c>
      <c r="F14" s="90" t="n">
        <f aca="false">'Revenue Streams'!F70</f>
        <v>217.403824013703</v>
      </c>
      <c r="G14" s="90" t="n">
        <f aca="false">'Revenue Streams'!G70</f>
        <v>225.114205524593</v>
      </c>
      <c r="H14" s="90" t="n">
        <f aca="false">'Revenue Streams'!H70</f>
        <v>232.409900573805</v>
      </c>
      <c r="I14" s="90" t="n">
        <f aca="false">'Revenue Streams'!I70</f>
        <v>239.309165279224</v>
      </c>
      <c r="J14" s="90" t="n">
        <f aca="false">'Revenue Streams'!J70</f>
        <v>245.829467747153</v>
      </c>
      <c r="K14" s="90" t="n">
        <f aca="false">'Revenue Streams'!K70</f>
        <v>251.987522011891</v>
      </c>
      <c r="L14" s="90" t="n">
        <f aca="false">'Revenue Streams'!L70</f>
        <v>257.799320513889</v>
      </c>
      <c r="M14" s="90" t="n">
        <f aca="false">'Revenue Streams'!M70</f>
        <v>263.280165179418</v>
      </c>
      <c r="N14" s="90" t="n">
        <f aca="false">'Revenue Streams'!N70</f>
        <v>268.444697161969</v>
      </c>
      <c r="O14" s="59" t="n">
        <f aca="false">SUM(P14:AA14)</f>
        <v>8375.99103705939</v>
      </c>
      <c r="P14" s="90" t="n">
        <f aca="false">'Revenue Streams'!P70</f>
        <v>330.212202445901</v>
      </c>
      <c r="Q14" s="90" t="n">
        <f aca="false">'Revenue Streams'!Q70</f>
        <v>651.785506150057</v>
      </c>
      <c r="R14" s="90" t="n">
        <f aca="false">'Revenue Streams'!R70</f>
        <v>670.155802302942</v>
      </c>
      <c r="S14" s="90" t="n">
        <f aca="false">'Revenue Streams'!S70</f>
        <v>688.326748980205</v>
      </c>
      <c r="T14" s="90" t="n">
        <f aca="false">'Revenue Streams'!T70</f>
        <v>704.886909031957</v>
      </c>
      <c r="U14" s="90" t="n">
        <f aca="false">'Revenue Streams'!U70</f>
        <v>720.597351279003</v>
      </c>
      <c r="V14" s="90" t="n">
        <f aca="false">'Revenue Streams'!V70</f>
        <v>735.491955467479</v>
      </c>
      <c r="W14" s="90" t="n">
        <f aca="false">'Revenue Streams'!W70</f>
        <v>749.603285991152</v>
      </c>
      <c r="X14" s="90" t="n">
        <f aca="false">'Revenue Streams'!X70</f>
        <v>762.962642792069</v>
      </c>
      <c r="Y14" s="90" t="n">
        <f aca="false">'Revenue Streams'!Y70</f>
        <v>775.600110292298</v>
      </c>
      <c r="Z14" s="90" t="n">
        <f aca="false">'Revenue Streams'!Z70</f>
        <v>787.544604432911</v>
      </c>
      <c r="AA14" s="90" t="n">
        <f aca="false">'Revenue Streams'!AA70</f>
        <v>798.823917893412</v>
      </c>
      <c r="AB14" s="59" t="n">
        <f aca="false">SUM(AC14:AN14)</f>
        <v>18337.9043787047</v>
      </c>
      <c r="AC14" s="90" t="n">
        <f aca="false">'Revenue Streams'!AC70</f>
        <v>967.38994992343</v>
      </c>
      <c r="AD14" s="90" t="n">
        <f aca="false">'Revenue Streams'!AD70</f>
        <v>1449.59903884453</v>
      </c>
      <c r="AE14" s="90" t="n">
        <f aca="false">'Revenue Streams'!AE70</f>
        <v>1479.48386960231</v>
      </c>
      <c r="AF14" s="90" t="n">
        <f aca="false">'Revenue Streams'!AF70</f>
        <v>1508.86282787523</v>
      </c>
      <c r="AG14" s="90" t="n">
        <f aca="false">'Revenue Streams'!AG70</f>
        <v>1535.83044245923</v>
      </c>
      <c r="AH14" s="90" t="n">
        <f aca="false">'Revenue Streams'!AH70</f>
        <v>1561.42350138088</v>
      </c>
      <c r="AI14" s="90" t="n">
        <f aca="false">'Revenue Streams'!AI70</f>
        <v>1585.69380612126</v>
      </c>
      <c r="AJ14" s="90" t="n">
        <f aca="false">'Revenue Streams'!AJ70</f>
        <v>1608.69126895007</v>
      </c>
      <c r="AK14" s="90" t="n">
        <f aca="false">'Revenue Streams'!AK70</f>
        <v>1630.46398153179</v>
      </c>
      <c r="AL14" s="90" t="n">
        <f aca="false">'Revenue Streams'!AL70</f>
        <v>1651.05828104188</v>
      </c>
      <c r="AM14" s="90" t="n">
        <f aca="false">'Revenue Streams'!AM70</f>
        <v>1670.51881388336</v>
      </c>
      <c r="AN14" s="90" t="n">
        <f aca="false">'Revenue Streams'!AN70</f>
        <v>1688.88859709073</v>
      </c>
      <c r="AO14" s="59" t="n">
        <f aca="false">SUM(AP14:BA14)</f>
        <v>30966.4936955782</v>
      </c>
      <c r="AP14" s="90" t="n">
        <f aca="false">'Revenue Streams'!AP70</f>
        <v>1969.47073937272</v>
      </c>
      <c r="AQ14" s="90" t="n">
        <f aca="false">'Revenue Streams'!AQ70</f>
        <v>2481.70441541499</v>
      </c>
      <c r="AR14" s="90" t="n">
        <f aca="false">'Revenue Streams'!AR70</f>
        <v>2517.60214046328</v>
      </c>
      <c r="AS14" s="90" t="n">
        <f aca="false">'Revenue Streams'!AS70</f>
        <v>2552.48740317798</v>
      </c>
      <c r="AT14" s="90" t="n">
        <f aca="false">'Revenue Streams'!AT70</f>
        <v>2584.75608897548</v>
      </c>
      <c r="AU14" s="90" t="n">
        <f aca="false">'Revenue Streams'!AU70</f>
        <v>2615.31088255372</v>
      </c>
      <c r="AV14" s="90" t="n">
        <f aca="false">'Revenue Streams'!AV70</f>
        <v>2644.21444201988</v>
      </c>
      <c r="AW14" s="90" t="n">
        <f aca="false">'Revenue Streams'!AW70</f>
        <v>2671.52722506636</v>
      </c>
      <c r="AX14" s="90" t="n">
        <f aca="false">'Revenue Streams'!AX70</f>
        <v>2697.30756582693</v>
      </c>
      <c r="AY14" s="90" t="n">
        <f aca="false">'Revenue Streams'!AY70</f>
        <v>2721.61174905057</v>
      </c>
      <c r="AZ14" s="90" t="n">
        <f aca="false">'Revenue Streams'!AZ70</f>
        <v>2744.49408168635</v>
      </c>
      <c r="BA14" s="90" t="n">
        <f aca="false">'Revenue Streams'!BA70</f>
        <v>2766.00696196992</v>
      </c>
      <c r="BB14" s="59" t="n">
        <f aca="false">SUM(BC14:BN14)</f>
        <v>41465.2846288978</v>
      </c>
      <c r="BC14" s="90" t="n">
        <f aca="false">'Revenue Streams'!BC70</f>
        <v>3007.27610116735</v>
      </c>
      <c r="BD14" s="90" t="n">
        <f aca="false">'Revenue Streams'!BD70</f>
        <v>3351.87969384453</v>
      </c>
      <c r="BE14" s="90" t="n">
        <f aca="false">'Revenue Streams'!BE70</f>
        <v>3385.8304115218</v>
      </c>
      <c r="BF14" s="90" t="n">
        <f aca="false">'Revenue Streams'!BF70</f>
        <v>3418.69909103013</v>
      </c>
      <c r="BG14" s="90" t="n">
        <f aca="false">'Revenue Streams'!BG70</f>
        <v>3448.9808803634</v>
      </c>
      <c r="BH14" s="90" t="n">
        <f aca="false">'Revenue Streams'!BH70</f>
        <v>3477.52792762424</v>
      </c>
      <c r="BI14" s="90" t="n">
        <f aca="false">'Revenue Streams'!BI70</f>
        <v>3504.40247503389</v>
      </c>
      <c r="BJ14" s="90" t="n">
        <f aca="false">'Revenue Streams'!BJ70</f>
        <v>3529.6646380297</v>
      </c>
      <c r="BK14" s="90" t="n">
        <f aca="false">'Revenue Streams'!BK70</f>
        <v>3553.37247744897</v>
      </c>
      <c r="BL14" s="90" t="n">
        <f aca="false">'Revenue Streams'!BL70</f>
        <v>3575.58206926523</v>
      </c>
      <c r="BM14" s="90" t="n">
        <f aca="false">'Revenue Streams'!BM70</f>
        <v>3596.34757195975</v>
      </c>
      <c r="BN14" s="90" t="n">
        <f aca="false">'Revenue Streams'!BN70</f>
        <v>3615.7212916088</v>
      </c>
    </row>
    <row r="15" customFormat="false" ht="15" hidden="false" customHeight="false" outlineLevel="0" collapsed="false">
      <c r="A15" s="4" t="s">
        <v>813</v>
      </c>
      <c r="B15" s="59" t="n">
        <f aca="false">SUM(C15:N15)</f>
        <v>2201.57826800565</v>
      </c>
      <c r="C15" s="63" t="n">
        <f aca="false">'Revenue Streams'!C54</f>
        <v>0</v>
      </c>
      <c r="D15" s="63" t="n">
        <f aca="false">'Revenue Streams'!D54</f>
        <v>0</v>
      </c>
      <c r="E15" s="63" t="n">
        <f aca="false">'Revenue Streams'!E54</f>
        <v>0</v>
      </c>
      <c r="F15" s="63" t="n">
        <f aca="false">'Revenue Streams'!F54</f>
        <v>217.403824013703</v>
      </c>
      <c r="G15" s="63" t="n">
        <f aca="false">'Revenue Streams'!G54</f>
        <v>225.114205524593</v>
      </c>
      <c r="H15" s="63" t="n">
        <f aca="false">'Revenue Streams'!H54</f>
        <v>232.409900573805</v>
      </c>
      <c r="I15" s="63" t="n">
        <f aca="false">'Revenue Streams'!I54</f>
        <v>239.309165279224</v>
      </c>
      <c r="J15" s="63" t="n">
        <f aca="false">'Revenue Streams'!J54</f>
        <v>245.829467747153</v>
      </c>
      <c r="K15" s="63" t="n">
        <f aca="false">'Revenue Streams'!K54</f>
        <v>251.987522011891</v>
      </c>
      <c r="L15" s="63" t="n">
        <f aca="false">'Revenue Streams'!L54</f>
        <v>257.799320513889</v>
      </c>
      <c r="M15" s="63" t="n">
        <f aca="false">'Revenue Streams'!M54</f>
        <v>263.280165179418</v>
      </c>
      <c r="N15" s="63" t="n">
        <f aca="false">'Revenue Streams'!N54</f>
        <v>268.444697161969</v>
      </c>
      <c r="O15" s="59" t="n">
        <f aca="false">SUM(P15:AA15)</f>
        <v>8375.99103705939</v>
      </c>
      <c r="P15" s="63" t="n">
        <f aca="false">'Revenue Streams'!P54</f>
        <v>330.212202445901</v>
      </c>
      <c r="Q15" s="63" t="n">
        <f aca="false">'Revenue Streams'!Q54</f>
        <v>651.785506150057</v>
      </c>
      <c r="R15" s="63" t="n">
        <f aca="false">'Revenue Streams'!R54</f>
        <v>670.155802302942</v>
      </c>
      <c r="S15" s="63" t="n">
        <f aca="false">'Revenue Streams'!S54</f>
        <v>688.326748980205</v>
      </c>
      <c r="T15" s="63" t="n">
        <f aca="false">'Revenue Streams'!T54</f>
        <v>704.886909031957</v>
      </c>
      <c r="U15" s="63" t="n">
        <f aca="false">'Revenue Streams'!U54</f>
        <v>720.597351279003</v>
      </c>
      <c r="V15" s="63" t="n">
        <f aca="false">'Revenue Streams'!V54</f>
        <v>735.491955467479</v>
      </c>
      <c r="W15" s="63" t="n">
        <f aca="false">'Revenue Streams'!W54</f>
        <v>749.603285991152</v>
      </c>
      <c r="X15" s="63" t="n">
        <f aca="false">'Revenue Streams'!X54</f>
        <v>762.962642792069</v>
      </c>
      <c r="Y15" s="63" t="n">
        <f aca="false">'Revenue Streams'!Y54</f>
        <v>775.600110292298</v>
      </c>
      <c r="Z15" s="63" t="n">
        <f aca="false">'Revenue Streams'!Z54</f>
        <v>787.544604432911</v>
      </c>
      <c r="AA15" s="63" t="n">
        <f aca="false">'Revenue Streams'!AA54</f>
        <v>798.823917893412</v>
      </c>
      <c r="AB15" s="59" t="n">
        <f aca="false">SUM(AC15:AN15)</f>
        <v>18337.9043787047</v>
      </c>
      <c r="AC15" s="63" t="n">
        <f aca="false">'Revenue Streams'!AC54</f>
        <v>967.38994992343</v>
      </c>
      <c r="AD15" s="63" t="n">
        <f aca="false">'Revenue Streams'!AD54</f>
        <v>1449.59903884453</v>
      </c>
      <c r="AE15" s="63" t="n">
        <f aca="false">'Revenue Streams'!AE54</f>
        <v>1479.48386960231</v>
      </c>
      <c r="AF15" s="63" t="n">
        <f aca="false">'Revenue Streams'!AF54</f>
        <v>1508.86282787523</v>
      </c>
      <c r="AG15" s="63" t="n">
        <f aca="false">'Revenue Streams'!AG54</f>
        <v>1535.83044245923</v>
      </c>
      <c r="AH15" s="63" t="n">
        <f aca="false">'Revenue Streams'!AH54</f>
        <v>1561.42350138088</v>
      </c>
      <c r="AI15" s="63" t="n">
        <f aca="false">'Revenue Streams'!AI54</f>
        <v>1585.69380612126</v>
      </c>
      <c r="AJ15" s="63" t="n">
        <f aca="false">'Revenue Streams'!AJ54</f>
        <v>1608.69126895007</v>
      </c>
      <c r="AK15" s="63" t="n">
        <f aca="false">'Revenue Streams'!AK54</f>
        <v>1630.46398153179</v>
      </c>
      <c r="AL15" s="63" t="n">
        <f aca="false">'Revenue Streams'!AL54</f>
        <v>1651.05828104188</v>
      </c>
      <c r="AM15" s="63" t="n">
        <f aca="false">'Revenue Streams'!AM54</f>
        <v>1670.51881388336</v>
      </c>
      <c r="AN15" s="63" t="n">
        <f aca="false">'Revenue Streams'!AN54</f>
        <v>1688.88859709073</v>
      </c>
      <c r="AO15" s="59" t="n">
        <f aca="false">SUM(AP15:BA15)</f>
        <v>30966.4936955782</v>
      </c>
      <c r="AP15" s="63" t="n">
        <f aca="false">'Revenue Streams'!AP54</f>
        <v>1969.47073937272</v>
      </c>
      <c r="AQ15" s="63" t="n">
        <f aca="false">'Revenue Streams'!AQ54</f>
        <v>2481.70441541499</v>
      </c>
      <c r="AR15" s="63" t="n">
        <f aca="false">'Revenue Streams'!AR54</f>
        <v>2517.60214046328</v>
      </c>
      <c r="AS15" s="63" t="n">
        <f aca="false">'Revenue Streams'!AS54</f>
        <v>2552.48740317798</v>
      </c>
      <c r="AT15" s="63" t="n">
        <f aca="false">'Revenue Streams'!AT54</f>
        <v>2584.75608897548</v>
      </c>
      <c r="AU15" s="63" t="n">
        <f aca="false">'Revenue Streams'!AU54</f>
        <v>2615.31088255372</v>
      </c>
      <c r="AV15" s="63" t="n">
        <f aca="false">'Revenue Streams'!AV54</f>
        <v>2644.21444201988</v>
      </c>
      <c r="AW15" s="63" t="n">
        <f aca="false">'Revenue Streams'!AW54</f>
        <v>2671.52722506636</v>
      </c>
      <c r="AX15" s="63" t="n">
        <f aca="false">'Revenue Streams'!AX54</f>
        <v>2697.30756582693</v>
      </c>
      <c r="AY15" s="63" t="n">
        <f aca="false">'Revenue Streams'!AY54</f>
        <v>2721.61174905057</v>
      </c>
      <c r="AZ15" s="63" t="n">
        <f aca="false">'Revenue Streams'!AZ54</f>
        <v>2744.49408168635</v>
      </c>
      <c r="BA15" s="63" t="n">
        <f aca="false">'Revenue Streams'!BA54</f>
        <v>2766.00696196992</v>
      </c>
      <c r="BB15" s="59" t="n">
        <f aca="false">SUM(BC15:BN15)</f>
        <v>41465.2846288978</v>
      </c>
      <c r="BC15" s="63" t="n">
        <f aca="false">'Revenue Streams'!BC54</f>
        <v>3007.27610116735</v>
      </c>
      <c r="BD15" s="63" t="n">
        <f aca="false">'Revenue Streams'!BD54</f>
        <v>3351.87969384453</v>
      </c>
      <c r="BE15" s="63" t="n">
        <f aca="false">'Revenue Streams'!BE54</f>
        <v>3385.8304115218</v>
      </c>
      <c r="BF15" s="63" t="n">
        <f aca="false">'Revenue Streams'!BF54</f>
        <v>3418.69909103013</v>
      </c>
      <c r="BG15" s="63" t="n">
        <f aca="false">'Revenue Streams'!BG54</f>
        <v>3448.9808803634</v>
      </c>
      <c r="BH15" s="63" t="n">
        <f aca="false">'Revenue Streams'!BH54</f>
        <v>3477.52792762424</v>
      </c>
      <c r="BI15" s="63" t="n">
        <f aca="false">'Revenue Streams'!BI54</f>
        <v>3504.40247503389</v>
      </c>
      <c r="BJ15" s="63" t="n">
        <f aca="false">'Revenue Streams'!BJ54</f>
        <v>3529.6646380297</v>
      </c>
      <c r="BK15" s="63" t="n">
        <f aca="false">'Revenue Streams'!BK54</f>
        <v>3553.37247744897</v>
      </c>
      <c r="BL15" s="63" t="n">
        <f aca="false">'Revenue Streams'!BL54</f>
        <v>3575.58206926523</v>
      </c>
      <c r="BM15" s="63" t="n">
        <f aca="false">'Revenue Streams'!BM54</f>
        <v>3596.34757195975</v>
      </c>
      <c r="BN15" s="63" t="n">
        <f aca="false">'Revenue Streams'!BN54</f>
        <v>3615.7212916088</v>
      </c>
    </row>
    <row r="16" customFormat="false" ht="15" hidden="false" customHeight="false" outlineLevel="0" collapsed="false">
      <c r="A16" s="13" t="s">
        <v>814</v>
      </c>
      <c r="B16" s="59" t="n">
        <f aca="false">SUM(C16:N16)</f>
        <v>0</v>
      </c>
      <c r="C16" s="90" t="n">
        <f aca="false">'Revenue Streams'!C71</f>
        <v>0</v>
      </c>
      <c r="D16" s="90" t="n">
        <f aca="false">'Revenue Streams'!D71</f>
        <v>0</v>
      </c>
      <c r="E16" s="90" t="n">
        <f aca="false">'Revenue Streams'!E71</f>
        <v>0</v>
      </c>
      <c r="F16" s="90" t="n">
        <f aca="false">'Revenue Streams'!F71</f>
        <v>0</v>
      </c>
      <c r="G16" s="90" t="n">
        <f aca="false">'Revenue Streams'!G71</f>
        <v>0</v>
      </c>
      <c r="H16" s="90" t="n">
        <f aca="false">'Revenue Streams'!H71</f>
        <v>0</v>
      </c>
      <c r="I16" s="90" t="n">
        <f aca="false">'Revenue Streams'!I71</f>
        <v>0</v>
      </c>
      <c r="J16" s="90" t="n">
        <f aca="false">'Revenue Streams'!J71</f>
        <v>0</v>
      </c>
      <c r="K16" s="90" t="n">
        <f aca="false">'Revenue Streams'!K71</f>
        <v>0</v>
      </c>
      <c r="L16" s="90" t="n">
        <f aca="false">'Revenue Streams'!L71</f>
        <v>0</v>
      </c>
      <c r="M16" s="90" t="n">
        <f aca="false">'Revenue Streams'!M71</f>
        <v>0</v>
      </c>
      <c r="N16" s="90" t="n">
        <f aca="false">'Revenue Streams'!N71</f>
        <v>0</v>
      </c>
      <c r="O16" s="59" t="n">
        <f aca="false">SUM(P16:AA16)</f>
        <v>0</v>
      </c>
      <c r="P16" s="90" t="n">
        <f aca="false">'Revenue Streams'!P71</f>
        <v>0</v>
      </c>
      <c r="Q16" s="90" t="n">
        <f aca="false">'Revenue Streams'!Q71</f>
        <v>0</v>
      </c>
      <c r="R16" s="90" t="n">
        <f aca="false">'Revenue Streams'!R71</f>
        <v>0</v>
      </c>
      <c r="S16" s="90" t="n">
        <f aca="false">'Revenue Streams'!S71</f>
        <v>0</v>
      </c>
      <c r="T16" s="90" t="n">
        <f aca="false">'Revenue Streams'!T71</f>
        <v>0</v>
      </c>
      <c r="U16" s="90" t="n">
        <f aca="false">'Revenue Streams'!U71</f>
        <v>0</v>
      </c>
      <c r="V16" s="90" t="n">
        <f aca="false">'Revenue Streams'!V71</f>
        <v>0</v>
      </c>
      <c r="W16" s="90" t="n">
        <f aca="false">'Revenue Streams'!W71</f>
        <v>0</v>
      </c>
      <c r="X16" s="90" t="n">
        <f aca="false">'Revenue Streams'!X71</f>
        <v>0</v>
      </c>
      <c r="Y16" s="90" t="n">
        <f aca="false">'Revenue Streams'!Y71</f>
        <v>0</v>
      </c>
      <c r="Z16" s="90" t="n">
        <f aca="false">'Revenue Streams'!Z71</f>
        <v>0</v>
      </c>
      <c r="AA16" s="90" t="n">
        <f aca="false">'Revenue Streams'!AA71</f>
        <v>0</v>
      </c>
      <c r="AB16" s="59" t="n">
        <f aca="false">SUM(AC16:AN16)</f>
        <v>1986.62834844197</v>
      </c>
      <c r="AC16" s="90" t="n">
        <f aca="false">'Revenue Streams'!AC71</f>
        <v>102.393784033168</v>
      </c>
      <c r="AD16" s="90" t="n">
        <f aca="false">'Revenue Streams'!AD71</f>
        <v>112.149883666298</v>
      </c>
      <c r="AE16" s="90" t="n">
        <f aca="false">'Revenue Streams'!AE71</f>
        <v>124.420831173604</v>
      </c>
      <c r="AF16" s="90" t="n">
        <f aca="false">'Revenue Streams'!AF71</f>
        <v>136.570518287097</v>
      </c>
      <c r="AG16" s="90" t="n">
        <f aca="false">'Revenue Streams'!AG71</f>
        <v>148.589128244585</v>
      </c>
      <c r="AH16" s="90" t="n">
        <f aca="false">'Revenue Streams'!AH71</f>
        <v>160.449518580011</v>
      </c>
      <c r="AI16" s="90" t="n">
        <f aca="false">'Revenue Streams'!AI71</f>
        <v>172.14416129669</v>
      </c>
      <c r="AJ16" s="90" t="n">
        <f aca="false">'Revenue Streams'!AJ71</f>
        <v>183.666343040957</v>
      </c>
      <c r="AK16" s="90" t="n">
        <f aca="false">'Revenue Streams'!AK71</f>
        <v>195.010110857746</v>
      </c>
      <c r="AL16" s="90" t="n">
        <f aca="false">'Revenue Streams'!AL71</f>
        <v>206.170221154325</v>
      </c>
      <c r="AM16" s="90" t="n">
        <f aca="false">'Revenue Streams'!AM71</f>
        <v>217.142091689733</v>
      </c>
      <c r="AN16" s="90" t="n">
        <f aca="false">'Revenue Streams'!AN71</f>
        <v>227.921756417752</v>
      </c>
      <c r="AO16" s="59" t="n">
        <f aca="false">SUM(AP16:BA16)</f>
        <v>4724.1424360894</v>
      </c>
      <c r="AP16" s="90" t="n">
        <f aca="false">'Revenue Streams'!AP71</f>
        <v>284.923634146115</v>
      </c>
      <c r="AQ16" s="90" t="n">
        <f aca="false">'Revenue Streams'!AQ71</f>
        <v>303.079679386927</v>
      </c>
      <c r="AR16" s="90" t="n">
        <f aca="false">'Revenue Streams'!AR71</f>
        <v>324.046587689845</v>
      </c>
      <c r="AS16" s="90" t="n">
        <f aca="false">'Revenue Streams'!AS71</f>
        <v>344.750797262022</v>
      </c>
      <c r="AT16" s="90" t="n">
        <f aca="false">'Revenue Streams'!AT71</f>
        <v>365.18146584165</v>
      </c>
      <c r="AU16" s="90" t="n">
        <f aca="false">'Revenue Streams'!AU71</f>
        <v>385.311574262749</v>
      </c>
      <c r="AV16" s="90" t="n">
        <f aca="false">'Revenue Streams'!AV71</f>
        <v>405.132870796903</v>
      </c>
      <c r="AW16" s="90" t="n">
        <f aca="false">'Revenue Streams'!AW71</f>
        <v>424.638081388702</v>
      </c>
      <c r="AX16" s="90" t="n">
        <f aca="false">'Revenue Streams'!AX71</f>
        <v>443.820847171685</v>
      </c>
      <c r="AY16" s="90" t="n">
        <f aca="false">'Revenue Streams'!AY71</f>
        <v>462.675665463622</v>
      </c>
      <c r="AZ16" s="90" t="n">
        <f aca="false">'Revenue Streams'!AZ71</f>
        <v>481.1978340561</v>
      </c>
      <c r="BA16" s="90" t="n">
        <f aca="false">'Revenue Streams'!BA71</f>
        <v>499.383398623081</v>
      </c>
      <c r="BB16" s="59" t="n">
        <f aca="false">SUM(BC16:BN16)</f>
        <v>8935.74643377472</v>
      </c>
      <c r="BC16" s="90" t="n">
        <f aca="false">'Revenue Streams'!BC71</f>
        <v>604.242821297886</v>
      </c>
      <c r="BD16" s="90" t="n">
        <f aca="false">'Revenue Streams'!BD71</f>
        <v>629.1882145705</v>
      </c>
      <c r="BE16" s="90" t="n">
        <f aca="false">'Revenue Streams'!BE71</f>
        <v>655.974796106211</v>
      </c>
      <c r="BF16" s="90" t="n">
        <f aca="false">'Revenue Streams'!BF71</f>
        <v>682.408668978529</v>
      </c>
      <c r="BG16" s="90" t="n">
        <f aca="false">'Revenue Streams'!BG71</f>
        <v>708.478647536022</v>
      </c>
      <c r="BH16" s="90" t="n">
        <f aca="false">'Revenue Streams'!BH71</f>
        <v>734.156830204165</v>
      </c>
      <c r="BI16" s="90" t="n">
        <f aca="false">'Revenue Streams'!BI71</f>
        <v>759.434720800995</v>
      </c>
      <c r="BJ16" s="90" t="n">
        <f aca="false">'Revenue Streams'!BJ71</f>
        <v>784.304854345568</v>
      </c>
      <c r="BK16" s="90" t="n">
        <f aca="false">'Revenue Streams'!BK71</f>
        <v>808.760733670577</v>
      </c>
      <c r="BL16" s="90" t="n">
        <f aca="false">'Revenue Streams'!BL71</f>
        <v>832.796769404259</v>
      </c>
      <c r="BM16" s="90" t="n">
        <f aca="false">'Revenue Streams'!BM71</f>
        <v>856.408223151048</v>
      </c>
      <c r="BN16" s="90" t="n">
        <f aca="false">'Revenue Streams'!BN71</f>
        <v>879.591153708964</v>
      </c>
    </row>
    <row r="17" customFormat="false" ht="15" hidden="false" customHeight="false" outlineLevel="0" collapsed="false">
      <c r="A17" s="4" t="s">
        <v>815</v>
      </c>
      <c r="B17" s="59" t="n">
        <f aca="false">SUM(C17:N17)</f>
        <v>0</v>
      </c>
      <c r="C17" s="63" t="n">
        <f aca="false">'Revenue Streams'!C64</f>
        <v>0</v>
      </c>
      <c r="D17" s="63" t="n">
        <f aca="false">'Revenue Streams'!D64</f>
        <v>0</v>
      </c>
      <c r="E17" s="63" t="n">
        <f aca="false">'Revenue Streams'!E64</f>
        <v>0</v>
      </c>
      <c r="F17" s="63" t="n">
        <f aca="false">'Revenue Streams'!F64</f>
        <v>0</v>
      </c>
      <c r="G17" s="63" t="n">
        <f aca="false">'Revenue Streams'!G64</f>
        <v>0</v>
      </c>
      <c r="H17" s="63" t="n">
        <f aca="false">'Revenue Streams'!H64</f>
        <v>0</v>
      </c>
      <c r="I17" s="63" t="n">
        <f aca="false">'Revenue Streams'!I64</f>
        <v>0</v>
      </c>
      <c r="J17" s="63" t="n">
        <f aca="false">'Revenue Streams'!J64</f>
        <v>0</v>
      </c>
      <c r="K17" s="63" t="n">
        <f aca="false">'Revenue Streams'!K64</f>
        <v>0</v>
      </c>
      <c r="L17" s="63" t="n">
        <f aca="false">'Revenue Streams'!L64</f>
        <v>0</v>
      </c>
      <c r="M17" s="63" t="n">
        <f aca="false">'Revenue Streams'!M64</f>
        <v>0</v>
      </c>
      <c r="N17" s="63" t="n">
        <f aca="false">'Revenue Streams'!N64</f>
        <v>0</v>
      </c>
      <c r="O17" s="59" t="n">
        <f aca="false">SUM(P17:AA17)</f>
        <v>0</v>
      </c>
      <c r="P17" s="63" t="n">
        <f aca="false">'Revenue Streams'!P64</f>
        <v>0</v>
      </c>
      <c r="Q17" s="63" t="n">
        <f aca="false">'Revenue Streams'!Q64</f>
        <v>0</v>
      </c>
      <c r="R17" s="63" t="n">
        <f aca="false">'Revenue Streams'!R64</f>
        <v>0</v>
      </c>
      <c r="S17" s="63" t="n">
        <f aca="false">'Revenue Streams'!S64</f>
        <v>0</v>
      </c>
      <c r="T17" s="63" t="n">
        <f aca="false">'Revenue Streams'!T64</f>
        <v>0</v>
      </c>
      <c r="U17" s="63" t="n">
        <f aca="false">'Revenue Streams'!U64</f>
        <v>0</v>
      </c>
      <c r="V17" s="63" t="n">
        <f aca="false">'Revenue Streams'!V64</f>
        <v>0</v>
      </c>
      <c r="W17" s="63" t="n">
        <f aca="false">'Revenue Streams'!W64</f>
        <v>0</v>
      </c>
      <c r="X17" s="63" t="n">
        <f aca="false">'Revenue Streams'!X64</f>
        <v>0</v>
      </c>
      <c r="Y17" s="63" t="n">
        <f aca="false">'Revenue Streams'!Y64</f>
        <v>0</v>
      </c>
      <c r="Z17" s="63" t="n">
        <f aca="false">'Revenue Streams'!Z64</f>
        <v>0</v>
      </c>
      <c r="AA17" s="63" t="n">
        <f aca="false">'Revenue Streams'!AA64</f>
        <v>0</v>
      </c>
      <c r="AB17" s="59" t="n">
        <f aca="false">SUM(AC17:AN17)</f>
        <v>1986.62834844197</v>
      </c>
      <c r="AC17" s="63" t="n">
        <f aca="false">'Revenue Streams'!AC64</f>
        <v>102.393784033168</v>
      </c>
      <c r="AD17" s="63" t="n">
        <f aca="false">'Revenue Streams'!AD64</f>
        <v>112.149883666298</v>
      </c>
      <c r="AE17" s="63" t="n">
        <f aca="false">'Revenue Streams'!AE64</f>
        <v>124.420831173604</v>
      </c>
      <c r="AF17" s="63" t="n">
        <f aca="false">'Revenue Streams'!AF64</f>
        <v>136.570518287097</v>
      </c>
      <c r="AG17" s="63" t="n">
        <f aca="false">'Revenue Streams'!AG64</f>
        <v>148.589128244585</v>
      </c>
      <c r="AH17" s="63" t="n">
        <f aca="false">'Revenue Streams'!AH64</f>
        <v>160.449518580011</v>
      </c>
      <c r="AI17" s="63" t="n">
        <f aca="false">'Revenue Streams'!AI64</f>
        <v>172.14416129669</v>
      </c>
      <c r="AJ17" s="63" t="n">
        <f aca="false">'Revenue Streams'!AJ64</f>
        <v>183.666343040957</v>
      </c>
      <c r="AK17" s="63" t="n">
        <f aca="false">'Revenue Streams'!AK64</f>
        <v>195.010110857746</v>
      </c>
      <c r="AL17" s="63" t="n">
        <f aca="false">'Revenue Streams'!AL64</f>
        <v>206.170221154325</v>
      </c>
      <c r="AM17" s="63" t="n">
        <f aca="false">'Revenue Streams'!AM64</f>
        <v>217.142091689733</v>
      </c>
      <c r="AN17" s="63" t="n">
        <f aca="false">'Revenue Streams'!AN64</f>
        <v>227.921756417752</v>
      </c>
      <c r="AO17" s="59" t="n">
        <f aca="false">SUM(AP17:BA17)</f>
        <v>4724.1424360894</v>
      </c>
      <c r="AP17" s="63" t="n">
        <f aca="false">'Revenue Streams'!AP64</f>
        <v>284.923634146115</v>
      </c>
      <c r="AQ17" s="63" t="n">
        <f aca="false">'Revenue Streams'!AQ64</f>
        <v>303.079679386927</v>
      </c>
      <c r="AR17" s="63" t="n">
        <f aca="false">'Revenue Streams'!AR64</f>
        <v>324.046587689845</v>
      </c>
      <c r="AS17" s="63" t="n">
        <f aca="false">'Revenue Streams'!AS64</f>
        <v>344.750797262022</v>
      </c>
      <c r="AT17" s="63" t="n">
        <f aca="false">'Revenue Streams'!AT64</f>
        <v>365.18146584165</v>
      </c>
      <c r="AU17" s="63" t="n">
        <f aca="false">'Revenue Streams'!AU64</f>
        <v>385.311574262749</v>
      </c>
      <c r="AV17" s="63" t="n">
        <f aca="false">'Revenue Streams'!AV64</f>
        <v>405.132870796903</v>
      </c>
      <c r="AW17" s="63" t="n">
        <f aca="false">'Revenue Streams'!AW64</f>
        <v>424.638081388702</v>
      </c>
      <c r="AX17" s="63" t="n">
        <f aca="false">'Revenue Streams'!AX64</f>
        <v>443.820847171685</v>
      </c>
      <c r="AY17" s="63" t="n">
        <f aca="false">'Revenue Streams'!AY64</f>
        <v>462.675665463622</v>
      </c>
      <c r="AZ17" s="63" t="n">
        <f aca="false">'Revenue Streams'!AZ64</f>
        <v>481.1978340561</v>
      </c>
      <c r="BA17" s="63" t="n">
        <f aca="false">'Revenue Streams'!BA64</f>
        <v>499.383398623081</v>
      </c>
      <c r="BB17" s="59" t="n">
        <f aca="false">SUM(BC17:BN17)</f>
        <v>8935.74643377472</v>
      </c>
      <c r="BC17" s="63" t="n">
        <f aca="false">'Revenue Streams'!BC64</f>
        <v>604.242821297886</v>
      </c>
      <c r="BD17" s="63" t="n">
        <f aca="false">'Revenue Streams'!BD64</f>
        <v>629.1882145705</v>
      </c>
      <c r="BE17" s="63" t="n">
        <f aca="false">'Revenue Streams'!BE64</f>
        <v>655.974796106211</v>
      </c>
      <c r="BF17" s="63" t="n">
        <f aca="false">'Revenue Streams'!BF64</f>
        <v>682.408668978529</v>
      </c>
      <c r="BG17" s="63" t="n">
        <f aca="false">'Revenue Streams'!BG64</f>
        <v>708.478647536022</v>
      </c>
      <c r="BH17" s="63" t="n">
        <f aca="false">'Revenue Streams'!BH64</f>
        <v>734.156830204165</v>
      </c>
      <c r="BI17" s="63" t="n">
        <f aca="false">'Revenue Streams'!BI64</f>
        <v>759.434720800995</v>
      </c>
      <c r="BJ17" s="63" t="n">
        <f aca="false">'Revenue Streams'!BJ64</f>
        <v>784.304854345568</v>
      </c>
      <c r="BK17" s="63" t="n">
        <f aca="false">'Revenue Streams'!BK64</f>
        <v>808.760733670577</v>
      </c>
      <c r="BL17" s="63" t="n">
        <f aca="false">'Revenue Streams'!BL64</f>
        <v>832.796769404259</v>
      </c>
      <c r="BM17" s="63" t="n">
        <f aca="false">'Revenue Streams'!BM64</f>
        <v>856.408223151048</v>
      </c>
      <c r="BN17" s="63" t="n">
        <f aca="false">'Revenue Streams'!BN64</f>
        <v>879.591153708964</v>
      </c>
    </row>
    <row r="18" customFormat="false" ht="15" hidden="false" customHeight="false" outlineLevel="0" collapsed="false">
      <c r="A18" s="13" t="s">
        <v>92</v>
      </c>
      <c r="B18" s="59" t="n">
        <f aca="false">SUM(C18:N18)</f>
        <v>68602.0541359569</v>
      </c>
      <c r="C18" s="61" t="n">
        <f aca="false">C6+C11+C14+C16</f>
        <v>0</v>
      </c>
      <c r="D18" s="61" t="n">
        <f aca="false">D6+D11+D14+D16</f>
        <v>536.425483043402</v>
      </c>
      <c r="E18" s="61" t="n">
        <f aca="false">E6+E11+E14+E16</f>
        <v>1606.30554420624</v>
      </c>
      <c r="F18" s="61" t="n">
        <f aca="false">F6+F11+F14+F16</f>
        <v>2923.99777419804</v>
      </c>
      <c r="G18" s="61" t="n">
        <f aca="false">G6+G11+G14+G16</f>
        <v>4059.78133839006</v>
      </c>
      <c r="H18" s="61" t="n">
        <f aca="false">H6+H11+H14+H16</f>
        <v>5188.70001125913</v>
      </c>
      <c r="I18" s="61" t="n">
        <f aca="false">I6+I11+I14+I16</f>
        <v>6309.29544424406</v>
      </c>
      <c r="J18" s="61" t="n">
        <f aca="false">J6+J11+J14+J16</f>
        <v>7420.23797114569</v>
      </c>
      <c r="K18" s="61" t="n">
        <f aca="false">K6+K11+K14+K16</f>
        <v>8520.31835291847</v>
      </c>
      <c r="L18" s="61" t="n">
        <f aca="false">L6+L11+L14+L16</f>
        <v>9608.44000367586</v>
      </c>
      <c r="M18" s="61" t="n">
        <f aca="false">M6+M11+M14+M16</f>
        <v>10683.6116706307</v>
      </c>
      <c r="N18" s="61" t="n">
        <f aca="false">N6+N11+N14+N16</f>
        <v>11744.9405422452</v>
      </c>
      <c r="O18" s="59" t="n">
        <f aca="false">SUM(P18:AA18)</f>
        <v>391860.50917285</v>
      </c>
      <c r="P18" s="61" t="n">
        <f aca="false">P6+P11+P14+P16</f>
        <v>14243.1392894203</v>
      </c>
      <c r="Q18" s="61" t="n">
        <f aca="false">Q6+Q11+Q14+Q16</f>
        <v>16896.2917017707</v>
      </c>
      <c r="R18" s="61" t="n">
        <f aca="false">R6+R11+R14+R16</f>
        <v>20131.0068264781</v>
      </c>
      <c r="S18" s="61" t="n">
        <f aca="false">S6+S11+S14+S16</f>
        <v>23405.6434392258</v>
      </c>
      <c r="T18" s="61" t="n">
        <f aca="false">T6+T11+T14+T16</f>
        <v>26713.9288307208</v>
      </c>
      <c r="U18" s="61" t="n">
        <f aca="false">U6+U11+U14+U16</f>
        <v>30009.9799694081</v>
      </c>
      <c r="V18" s="61" t="n">
        <f aca="false">V6+V11+V14+V16</f>
        <v>34948.6563472643</v>
      </c>
      <c r="W18" s="61" t="n">
        <f aca="false">W6+W11+W14+W16</f>
        <v>38367.7795954838</v>
      </c>
      <c r="X18" s="61" t="n">
        <f aca="false">X6+X11+X14+X16</f>
        <v>41762.96933842</v>
      </c>
      <c r="Y18" s="61" t="n">
        <f aca="false">Y6+Y11+Y14+Y16</f>
        <v>45131.501993067</v>
      </c>
      <c r="Z18" s="61" t="n">
        <f aca="false">Z6+Z11+Z14+Z16</f>
        <v>48470.8652626346</v>
      </c>
      <c r="AA18" s="61" t="n">
        <f aca="false">AA6+AA11+AA14+AA16</f>
        <v>51778.7465789566</v>
      </c>
      <c r="AB18" s="59" t="n">
        <f aca="false">SUM(AC18:AN18)</f>
        <v>1221612.70310048</v>
      </c>
      <c r="AC18" s="61" t="n">
        <f aca="false">AC6+AC11+AC14+AC16</f>
        <v>61799.0159938651</v>
      </c>
      <c r="AD18" s="61" t="n">
        <f aca="false">AD6+AD11+AD14+AD16</f>
        <v>68222.6138744524</v>
      </c>
      <c r="AE18" s="61" t="n">
        <f aca="false">AE6+AE11+AE14+AE16</f>
        <v>75648.4187158994</v>
      </c>
      <c r="AF18" s="61" t="n">
        <f aca="false">AF6+AF11+AF14+AF16</f>
        <v>83124.1545271689</v>
      </c>
      <c r="AG18" s="61" t="n">
        <f aca="false">AG6+AG11+AG14+AG16</f>
        <v>90639.8454319996</v>
      </c>
      <c r="AH18" s="61" t="n">
        <f aca="false">AH6+AH11+AH14+AH16</f>
        <v>98131.2122731896</v>
      </c>
      <c r="AI18" s="61" t="n">
        <f aca="false">AI6+AI11+AI14+AI16</f>
        <v>105592.366048042</v>
      </c>
      <c r="AJ18" s="61" t="n">
        <f aca="false">AJ6+AJ11+AJ14+AJ16</f>
        <v>113017.791581637</v>
      </c>
      <c r="AK18" s="61" t="n">
        <f aca="false">AK6+AK11+AK14+AK16</f>
        <v>120402.329627154</v>
      </c>
      <c r="AL18" s="61" t="n">
        <f aca="false">AL6+AL11+AL14+AL16</f>
        <v>127741.159756822</v>
      </c>
      <c r="AM18" s="61" t="n">
        <f aca="false">AM6+AM11+AM14+AM16</f>
        <v>135029.78400932</v>
      </c>
      <c r="AN18" s="61" t="n">
        <f aca="false">AN6+AN11+AN14+AN16</f>
        <v>142264.011260933</v>
      </c>
      <c r="AO18" s="59" t="n">
        <f aca="false">SUM(AP18:BA18)</f>
        <v>2763830.19278589</v>
      </c>
      <c r="AP18" s="61" t="n">
        <f aca="false">AP6+AP11+AP14+AP16</f>
        <v>164411.150774572</v>
      </c>
      <c r="AQ18" s="61" t="n">
        <f aca="false">AQ6+AQ11+AQ14+AQ16</f>
        <v>175574.322739013</v>
      </c>
      <c r="AR18" s="61" t="n">
        <f aca="false">AR6+AR11+AR14+AR16</f>
        <v>187823.613283188</v>
      </c>
      <c r="AS18" s="61" t="n">
        <f aca="false">AS6+AS11+AS14+AS16</f>
        <v>200081.155504796</v>
      </c>
      <c r="AT18" s="61" t="n">
        <f aca="false">AT6+AT11+AT14+AT16</f>
        <v>212336.026806752</v>
      </c>
      <c r="AU18" s="61" t="n">
        <f aca="false">AU6+AU11+AU14+AU16</f>
        <v>224531.027065012</v>
      </c>
      <c r="AV18" s="61" t="n">
        <f aca="false">AV6+AV11+AV14+AV16</f>
        <v>236658.93353129</v>
      </c>
      <c r="AW18" s="61" t="n">
        <f aca="false">AW6+AW11+AW14+AW16</f>
        <v>248712.969712588</v>
      </c>
      <c r="AX18" s="61" t="n">
        <f aca="false">AX6+AX11+AX14+AX16</f>
        <v>260686.785325246</v>
      </c>
      <c r="AY18" s="61" t="n">
        <f aca="false">AY6+AY11+AY14+AY16</f>
        <v>272574.43706883</v>
      </c>
      <c r="AZ18" s="61" t="n">
        <f aca="false">AZ6+AZ11+AZ14+AZ16</f>
        <v>284370.370187425</v>
      </c>
      <c r="BA18" s="61" t="n">
        <f aca="false">BA6+BA11+BA14+BA16</f>
        <v>296069.40078718</v>
      </c>
      <c r="BB18" s="59" t="n">
        <f aca="false">SUM(BC18:BN18)</f>
        <v>4998712.11121331</v>
      </c>
      <c r="BC18" s="61" t="n">
        <f aca="false">BC6+BC11+BC14+BC16</f>
        <v>332663.942253848</v>
      </c>
      <c r="BD18" s="61" t="n">
        <f aca="false">BD6+BD11+BD14+BD16</f>
        <v>347532.648294055</v>
      </c>
      <c r="BE18" s="61" t="n">
        <f aca="false">BE6+BE11+BE14+BE16</f>
        <v>363059.641260106</v>
      </c>
      <c r="BF18" s="61" t="n">
        <f aca="false">BF6+BF11+BF14+BF16</f>
        <v>378561.82140817</v>
      </c>
      <c r="BG18" s="61" t="n">
        <f aca="false">BG6+BG11+BG14+BG16</f>
        <v>394028.493829522</v>
      </c>
      <c r="BH18" s="61" t="n">
        <f aca="false">BH6+BH11+BH14+BH16</f>
        <v>409405.37174384</v>
      </c>
      <c r="BI18" s="61" t="n">
        <f aca="false">BI6+BI11+BI14+BI16</f>
        <v>424685.221321691</v>
      </c>
      <c r="BJ18" s="61" t="n">
        <f aca="false">BJ6+BJ11+BJ14+BJ16</f>
        <v>439861.245430296</v>
      </c>
      <c r="BK18" s="61" t="n">
        <f aca="false">BK6+BK11+BK14+BK16</f>
        <v>454927.064955675</v>
      </c>
      <c r="BL18" s="61" t="n">
        <f aca="false">BL6+BL11+BL14+BL16</f>
        <v>469876.700848866</v>
      </c>
      <c r="BM18" s="61" t="n">
        <f aca="false">BM6+BM11+BM14+BM16</f>
        <v>484704.556869134</v>
      </c>
      <c r="BN18" s="61" t="n">
        <f aca="false">BN6+BN11+BN14+BN16</f>
        <v>499405.402998104</v>
      </c>
    </row>
    <row r="20" customFormat="false" ht="15" hidden="false" customHeight="false" outlineLevel="0" collapsed="false">
      <c r="A20" s="9" t="s">
        <v>816</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row>
    <row r="21" customFormat="false" ht="15" hidden="false" customHeight="false" outlineLevel="0" collapsed="false">
      <c r="A21" s="56" t="s">
        <v>632</v>
      </c>
      <c r="B21" s="57" t="s">
        <v>87</v>
      </c>
      <c r="C21" s="58" t="s">
        <v>562</v>
      </c>
      <c r="D21" s="58" t="s">
        <v>563</v>
      </c>
      <c r="E21" s="58" t="s">
        <v>564</v>
      </c>
      <c r="F21" s="58" t="s">
        <v>565</v>
      </c>
      <c r="G21" s="58" t="s">
        <v>566</v>
      </c>
      <c r="H21" s="58" t="s">
        <v>567</v>
      </c>
      <c r="I21" s="58" t="s">
        <v>568</v>
      </c>
      <c r="J21" s="58" t="s">
        <v>569</v>
      </c>
      <c r="K21" s="58" t="s">
        <v>570</v>
      </c>
      <c r="L21" s="58" t="s">
        <v>571</v>
      </c>
      <c r="M21" s="58" t="s">
        <v>572</v>
      </c>
      <c r="N21" s="58" t="s">
        <v>573</v>
      </c>
      <c r="O21" s="57" t="s">
        <v>88</v>
      </c>
      <c r="P21" s="58" t="s">
        <v>574</v>
      </c>
      <c r="Q21" s="58" t="s">
        <v>575</v>
      </c>
      <c r="R21" s="58" t="s">
        <v>576</v>
      </c>
      <c r="S21" s="58" t="s">
        <v>577</v>
      </c>
      <c r="T21" s="58" t="s">
        <v>578</v>
      </c>
      <c r="U21" s="58" t="s">
        <v>579</v>
      </c>
      <c r="V21" s="58" t="s">
        <v>580</v>
      </c>
      <c r="W21" s="58" t="s">
        <v>581</v>
      </c>
      <c r="X21" s="58" t="s">
        <v>582</v>
      </c>
      <c r="Y21" s="58" t="s">
        <v>583</v>
      </c>
      <c r="Z21" s="58" t="s">
        <v>584</v>
      </c>
      <c r="AA21" s="58" t="s">
        <v>585</v>
      </c>
      <c r="AB21" s="57" t="s">
        <v>89</v>
      </c>
      <c r="AC21" s="58" t="s">
        <v>586</v>
      </c>
      <c r="AD21" s="58" t="s">
        <v>587</v>
      </c>
      <c r="AE21" s="58" t="s">
        <v>588</v>
      </c>
      <c r="AF21" s="58" t="s">
        <v>589</v>
      </c>
      <c r="AG21" s="58" t="s">
        <v>590</v>
      </c>
      <c r="AH21" s="58" t="s">
        <v>591</v>
      </c>
      <c r="AI21" s="58" t="s">
        <v>592</v>
      </c>
      <c r="AJ21" s="58" t="s">
        <v>593</v>
      </c>
      <c r="AK21" s="58" t="s">
        <v>594</v>
      </c>
      <c r="AL21" s="58" t="s">
        <v>595</v>
      </c>
      <c r="AM21" s="58" t="s">
        <v>596</v>
      </c>
      <c r="AN21" s="58" t="s">
        <v>597</v>
      </c>
      <c r="AO21" s="57" t="s">
        <v>90</v>
      </c>
      <c r="AP21" s="58" t="s">
        <v>598</v>
      </c>
      <c r="AQ21" s="58" t="s">
        <v>599</v>
      </c>
      <c r="AR21" s="58" t="s">
        <v>600</v>
      </c>
      <c r="AS21" s="58" t="s">
        <v>601</v>
      </c>
      <c r="AT21" s="58" t="s">
        <v>602</v>
      </c>
      <c r="AU21" s="58" t="s">
        <v>603</v>
      </c>
      <c r="AV21" s="58" t="s">
        <v>604</v>
      </c>
      <c r="AW21" s="58" t="s">
        <v>605</v>
      </c>
      <c r="AX21" s="58" t="s">
        <v>606</v>
      </c>
      <c r="AY21" s="58" t="s">
        <v>607</v>
      </c>
      <c r="AZ21" s="58" t="s">
        <v>608</v>
      </c>
      <c r="BA21" s="58" t="s">
        <v>609</v>
      </c>
      <c r="BB21" s="57" t="s">
        <v>91</v>
      </c>
      <c r="BC21" s="58" t="s">
        <v>610</v>
      </c>
      <c r="BD21" s="58" t="s">
        <v>611</v>
      </c>
      <c r="BE21" s="58" t="s">
        <v>612</v>
      </c>
      <c r="BF21" s="58" t="s">
        <v>613</v>
      </c>
      <c r="BG21" s="58" t="s">
        <v>614</v>
      </c>
      <c r="BH21" s="58" t="s">
        <v>615</v>
      </c>
      <c r="BI21" s="58" t="s">
        <v>616</v>
      </c>
      <c r="BJ21" s="58" t="s">
        <v>617</v>
      </c>
      <c r="BK21" s="58" t="s">
        <v>618</v>
      </c>
      <c r="BL21" s="58" t="s">
        <v>619</v>
      </c>
      <c r="BM21" s="58" t="s">
        <v>620</v>
      </c>
      <c r="BN21" s="58" t="s">
        <v>621</v>
      </c>
    </row>
    <row r="22" customFormat="false" ht="15" hidden="false" customHeight="false" outlineLevel="0" collapsed="false">
      <c r="A22" s="4" t="s">
        <v>817</v>
      </c>
      <c r="B22" s="59" t="n">
        <f aca="false">N22</f>
        <v>8954.01031074991</v>
      </c>
      <c r="C22" s="60" t="n">
        <f aca="false">C6</f>
        <v>0</v>
      </c>
      <c r="D22" s="60" t="n">
        <f aca="false">D6</f>
        <v>412.326437013929</v>
      </c>
      <c r="E22" s="60" t="n">
        <f aca="false">E6</f>
        <v>1234.95563668801</v>
      </c>
      <c r="F22" s="60" t="n">
        <f aca="false">F6</f>
        <v>2088.22482417137</v>
      </c>
      <c r="G22" s="60" t="n">
        <f aca="false">G6</f>
        <v>2969.95871852505</v>
      </c>
      <c r="H22" s="60" t="n">
        <f aca="false">H6</f>
        <v>3847.00436778334</v>
      </c>
      <c r="I22" s="60" t="n">
        <f aca="false">I6</f>
        <v>4718.23089190263</v>
      </c>
      <c r="J22" s="60" t="n">
        <f aca="false">J6</f>
        <v>5582.60533241894</v>
      </c>
      <c r="K22" s="60" t="n">
        <f aca="false">K6</f>
        <v>6439.18640088558</v>
      </c>
      <c r="L22" s="60" t="n">
        <f aca="false">L6</f>
        <v>7287.1185922761</v>
      </c>
      <c r="M22" s="60" t="n">
        <f aca="false">M6</f>
        <v>8125.62664254708</v>
      </c>
      <c r="N22" s="60" t="n">
        <f aca="false">N6</f>
        <v>8954.01031074991</v>
      </c>
      <c r="O22" s="59" t="n">
        <f aca="false">AA22</f>
        <v>36927.4150757836</v>
      </c>
      <c r="P22" s="60" t="n">
        <f aca="false">P6</f>
        <v>10548.5712976808</v>
      </c>
      <c r="Q22" s="60" t="n">
        <f aca="false">Q6</f>
        <v>12311.4161488701</v>
      </c>
      <c r="R22" s="60" t="n">
        <f aca="false">R6</f>
        <v>14735.0360757727</v>
      </c>
      <c r="S22" s="60" t="n">
        <f aca="false">S6</f>
        <v>17200.820024167</v>
      </c>
      <c r="T22" s="60" t="n">
        <f aca="false">T6</f>
        <v>19704.9332205823</v>
      </c>
      <c r="U22" s="60" t="n">
        <f aca="false">U6</f>
        <v>22202.6633169893</v>
      </c>
      <c r="V22" s="60" t="n">
        <f aca="false">V6</f>
        <v>24691.528037531</v>
      </c>
      <c r="W22" s="60" t="n">
        <f aca="false">W6</f>
        <v>27169.2152313788</v>
      </c>
      <c r="X22" s="60" t="n">
        <f aca="false">X6</f>
        <v>29633.5740015248</v>
      </c>
      <c r="Y22" s="60" t="n">
        <f aca="false">Y6</f>
        <v>32082.6062593841</v>
      </c>
      <c r="Z22" s="60" t="n">
        <f aca="false">Z6</f>
        <v>34514.4586852751</v>
      </c>
      <c r="AA22" s="60" t="n">
        <f aca="false">AA6</f>
        <v>36927.4150757836</v>
      </c>
      <c r="AB22" s="59" t="n">
        <f aca="false">AN22</f>
        <v>98610.5725380212</v>
      </c>
      <c r="AC22" s="60" t="n">
        <f aca="false">AC6</f>
        <v>42363.1441892854</v>
      </c>
      <c r="AD22" s="60" t="n">
        <f aca="false">AD6</f>
        <v>46514.5897744001</v>
      </c>
      <c r="AE22" s="60" t="n">
        <f aca="false">AE6</f>
        <v>51660.1282268613</v>
      </c>
      <c r="AF22" s="60" t="n">
        <f aca="false">AF6</f>
        <v>56867.5312848923</v>
      </c>
      <c r="AG22" s="60" t="n">
        <f aca="false">AG6</f>
        <v>62130.8897112707</v>
      </c>
      <c r="AH22" s="60" t="n">
        <f aca="false">AH6</f>
        <v>67388.9755858745</v>
      </c>
      <c r="AI22" s="60" t="n">
        <f aca="false">AI6</f>
        <v>72637.6402646532</v>
      </c>
      <c r="AJ22" s="60" t="n">
        <f aca="false">AJ6</f>
        <v>77872.9740336049</v>
      </c>
      <c r="AK22" s="60" t="n">
        <f aca="false">AK6</f>
        <v>83091.2952399334</v>
      </c>
      <c r="AL22" s="60" t="n">
        <f aca="false">AL6</f>
        <v>88289.1398899574</v>
      </c>
      <c r="AM22" s="60" t="n">
        <f aca="false">AM6</f>
        <v>93463.2516938338</v>
      </c>
      <c r="AN22" s="60" t="n">
        <f aca="false">AN6</f>
        <v>98610.5725380212</v>
      </c>
      <c r="AO22" s="59" t="n">
        <f aca="false">BA22</f>
        <v>200969.739520877</v>
      </c>
      <c r="AP22" s="60" t="n">
        <f aca="false">AP6</f>
        <v>110559.137140533</v>
      </c>
      <c r="AQ22" s="60" t="n">
        <f aca="false">AQ6</f>
        <v>117851.48191486</v>
      </c>
      <c r="AR22" s="60" t="n">
        <f aca="false">AR6</f>
        <v>126184.281796768</v>
      </c>
      <c r="AS22" s="60" t="n">
        <f aca="false">AS6</f>
        <v>134557.022952555</v>
      </c>
      <c r="AT22" s="60" t="n">
        <f aca="false">AT6</f>
        <v>142963.055672511</v>
      </c>
      <c r="AU22" s="60" t="n">
        <f aca="false">AU6</f>
        <v>151348.690151359</v>
      </c>
      <c r="AV22" s="60" t="n">
        <f aca="false">AV6</f>
        <v>159708.872375612</v>
      </c>
      <c r="AW22" s="60" t="n">
        <f aca="false">AW6</f>
        <v>168038.823555448</v>
      </c>
      <c r="AX22" s="60" t="n">
        <f aca="false">AX6</f>
        <v>176334.028554176</v>
      </c>
      <c r="AY22" s="60" t="n">
        <f aca="false">AY6</f>
        <v>184590.224773016</v>
      </c>
      <c r="AZ22" s="60" t="n">
        <f aca="false">AZ6</f>
        <v>192803.391473553</v>
      </c>
      <c r="BA22" s="60" t="n">
        <f aca="false">BA6</f>
        <v>200969.739520877</v>
      </c>
      <c r="BB22" s="59" t="n">
        <f aca="false">BN22</f>
        <v>334950.274004669</v>
      </c>
      <c r="BC22" s="60" t="n">
        <f aca="false">BC6</f>
        <v>220732.388878095</v>
      </c>
      <c r="BD22" s="60" t="n">
        <f aca="false">BD6</f>
        <v>230618.059182327</v>
      </c>
      <c r="BE22" s="60" t="n">
        <f aca="false">BE6</f>
        <v>241142.226363762</v>
      </c>
      <c r="BF22" s="60" t="n">
        <f aca="false">BF6</f>
        <v>251688.792720752</v>
      </c>
      <c r="BG22" s="60" t="n">
        <f aca="false">BG6</f>
        <v>262251.26965725</v>
      </c>
      <c r="BH22" s="60" t="n">
        <f aca="false">BH6</f>
        <v>272778.958463403</v>
      </c>
      <c r="BI22" s="60" t="n">
        <f aca="false">BI6</f>
        <v>283266.823375346</v>
      </c>
      <c r="BJ22" s="60" t="n">
        <f aca="false">BJ6</f>
        <v>293710.090130974</v>
      </c>
      <c r="BK22" s="60" t="n">
        <f aca="false">BK6</f>
        <v>304104.235621042</v>
      </c>
      <c r="BL22" s="60" t="n">
        <f aca="false">BL6</f>
        <v>314444.977924021</v>
      </c>
      <c r="BM22" s="60" t="n">
        <f aca="false">BM6</f>
        <v>324728.266710646</v>
      </c>
      <c r="BN22" s="60" t="n">
        <f aca="false">BN6</f>
        <v>334950.274004669</v>
      </c>
    </row>
    <row r="23" customFormat="false" ht="15" hidden="false" customHeight="false" outlineLevel="0" collapsed="false">
      <c r="A23" s="4" t="s">
        <v>818</v>
      </c>
      <c r="B23" s="59" t="n">
        <f aca="false">N23</f>
        <v>107448.123728999</v>
      </c>
      <c r="C23" s="60" t="n">
        <f aca="false">C22*12</f>
        <v>0</v>
      </c>
      <c r="D23" s="60" t="n">
        <f aca="false">D22*12</f>
        <v>4947.91724416714</v>
      </c>
      <c r="E23" s="60" t="n">
        <f aca="false">E22*12</f>
        <v>14819.4676402561</v>
      </c>
      <c r="F23" s="60" t="n">
        <f aca="false">F22*12</f>
        <v>25058.6978900564</v>
      </c>
      <c r="G23" s="60" t="n">
        <f aca="false">G22*12</f>
        <v>35639.5046223007</v>
      </c>
      <c r="H23" s="60" t="n">
        <f aca="false">H22*12</f>
        <v>46164.0524134</v>
      </c>
      <c r="I23" s="60" t="n">
        <f aca="false">I22*12</f>
        <v>56618.7707028315</v>
      </c>
      <c r="J23" s="60" t="n">
        <f aca="false">J22*12</f>
        <v>66991.2639890273</v>
      </c>
      <c r="K23" s="60" t="n">
        <f aca="false">K22*12</f>
        <v>77270.236810627</v>
      </c>
      <c r="L23" s="60" t="n">
        <f aca="false">L22*12</f>
        <v>87445.4231073132</v>
      </c>
      <c r="M23" s="60" t="n">
        <f aca="false">M22*12</f>
        <v>97507.5197105649</v>
      </c>
      <c r="N23" s="60" t="n">
        <f aca="false">N22*12</f>
        <v>107448.123728999</v>
      </c>
      <c r="O23" s="59" t="n">
        <f aca="false">AA23</f>
        <v>443128.980909404</v>
      </c>
      <c r="P23" s="60" t="n">
        <f aca="false">P22*12</f>
        <v>126582.85557217</v>
      </c>
      <c r="Q23" s="60" t="n">
        <f aca="false">Q22*12</f>
        <v>147736.993786442</v>
      </c>
      <c r="R23" s="60" t="n">
        <f aca="false">R22*12</f>
        <v>176820.432909272</v>
      </c>
      <c r="S23" s="60" t="n">
        <f aca="false">S22*12</f>
        <v>206409.840290004</v>
      </c>
      <c r="T23" s="60" t="n">
        <f aca="false">T22*12</f>
        <v>236459.198646988</v>
      </c>
      <c r="U23" s="60" t="n">
        <f aca="false">U22*12</f>
        <v>266431.959803872</v>
      </c>
      <c r="V23" s="60" t="n">
        <f aca="false">V22*12</f>
        <v>296298.336450372</v>
      </c>
      <c r="W23" s="60" t="n">
        <f aca="false">W22*12</f>
        <v>326030.582776546</v>
      </c>
      <c r="X23" s="60" t="n">
        <f aca="false">X22*12</f>
        <v>355602.888018298</v>
      </c>
      <c r="Y23" s="60" t="n">
        <f aca="false">Y22*12</f>
        <v>384991.275112609</v>
      </c>
      <c r="Z23" s="60" t="n">
        <f aca="false">Z22*12</f>
        <v>414173.504223301</v>
      </c>
      <c r="AA23" s="60" t="n">
        <f aca="false">AA22*12</f>
        <v>443128.980909404</v>
      </c>
      <c r="AB23" s="59" t="n">
        <f aca="false">AN23</f>
        <v>1183326.87045625</v>
      </c>
      <c r="AC23" s="60" t="n">
        <f aca="false">AC22*12</f>
        <v>508357.730271424</v>
      </c>
      <c r="AD23" s="60" t="n">
        <f aca="false">AD22*12</f>
        <v>558175.077292801</v>
      </c>
      <c r="AE23" s="60" t="n">
        <f aca="false">AE22*12</f>
        <v>619921.538722336</v>
      </c>
      <c r="AF23" s="60" t="n">
        <f aca="false">AF22*12</f>
        <v>682410.375418708</v>
      </c>
      <c r="AG23" s="60" t="n">
        <f aca="false">AG22*12</f>
        <v>745570.676535249</v>
      </c>
      <c r="AH23" s="60" t="n">
        <f aca="false">AH22*12</f>
        <v>808667.707030494</v>
      </c>
      <c r="AI23" s="60" t="n">
        <f aca="false">AI22*12</f>
        <v>871651.683175838</v>
      </c>
      <c r="AJ23" s="60" t="n">
        <f aca="false">AJ22*12</f>
        <v>934475.688403259</v>
      </c>
      <c r="AK23" s="60" t="n">
        <f aca="false">AK22*12</f>
        <v>997095.542879201</v>
      </c>
      <c r="AL23" s="60" t="n">
        <f aca="false">AL22*12</f>
        <v>1059469.67867949</v>
      </c>
      <c r="AM23" s="60" t="n">
        <f aca="false">AM22*12</f>
        <v>1121559.02032601</v>
      </c>
      <c r="AN23" s="60" t="n">
        <f aca="false">AN22*12</f>
        <v>1183326.87045625</v>
      </c>
      <c r="AO23" s="59" t="n">
        <f aca="false">BA23</f>
        <v>2411636.87425052</v>
      </c>
      <c r="AP23" s="60" t="n">
        <f aca="false">AP22*12</f>
        <v>1326709.64568639</v>
      </c>
      <c r="AQ23" s="60" t="n">
        <f aca="false">AQ22*12</f>
        <v>1414217.78297832</v>
      </c>
      <c r="AR23" s="60" t="n">
        <f aca="false">AR22*12</f>
        <v>1514211.38156121</v>
      </c>
      <c r="AS23" s="60" t="n">
        <f aca="false">AS22*12</f>
        <v>1614684.27543066</v>
      </c>
      <c r="AT23" s="60" t="n">
        <f aca="false">AT22*12</f>
        <v>1715556.66807013</v>
      </c>
      <c r="AU23" s="60" t="n">
        <f aca="false">AU22*12</f>
        <v>1816184.2818163</v>
      </c>
      <c r="AV23" s="60" t="n">
        <f aca="false">AV22*12</f>
        <v>1916506.46850734</v>
      </c>
      <c r="AW23" s="60" t="n">
        <f aca="false">AW22*12</f>
        <v>2016465.88266538</v>
      </c>
      <c r="AX23" s="60" t="n">
        <f aca="false">AX22*12</f>
        <v>2116008.34265011</v>
      </c>
      <c r="AY23" s="60" t="n">
        <f aca="false">AY22*12</f>
        <v>2215082.69727619</v>
      </c>
      <c r="AZ23" s="60" t="n">
        <f aca="false">AZ22*12</f>
        <v>2313640.69768264</v>
      </c>
      <c r="BA23" s="60" t="n">
        <f aca="false">BA22*12</f>
        <v>2411636.87425052</v>
      </c>
      <c r="BB23" s="59" t="n">
        <f aca="false">BN23</f>
        <v>4019403.28805602</v>
      </c>
      <c r="BC23" s="60" t="n">
        <f aca="false">BC22*12</f>
        <v>2648788.66653714</v>
      </c>
      <c r="BD23" s="60" t="n">
        <f aca="false">BD22*12</f>
        <v>2767416.71018792</v>
      </c>
      <c r="BE23" s="60" t="n">
        <f aca="false">BE22*12</f>
        <v>2893706.71636514</v>
      </c>
      <c r="BF23" s="60" t="n">
        <f aca="false">BF22*12</f>
        <v>3020265.51264902</v>
      </c>
      <c r="BG23" s="60" t="n">
        <f aca="false">BG22*12</f>
        <v>3147015.235887</v>
      </c>
      <c r="BH23" s="60" t="n">
        <f aca="false">BH22*12</f>
        <v>3273347.50156083</v>
      </c>
      <c r="BI23" s="60" t="n">
        <f aca="false">BI22*12</f>
        <v>3399201.88050415</v>
      </c>
      <c r="BJ23" s="60" t="n">
        <f aca="false">BJ22*12</f>
        <v>3524521.08157168</v>
      </c>
      <c r="BK23" s="60" t="n">
        <f aca="false">BK22*12</f>
        <v>3649250.82745251</v>
      </c>
      <c r="BL23" s="60" t="n">
        <f aca="false">BL22*12</f>
        <v>3773339.73508825</v>
      </c>
      <c r="BM23" s="60" t="n">
        <f aca="false">BM22*12</f>
        <v>3896739.20052775</v>
      </c>
      <c r="BN23" s="60" t="n">
        <f aca="false">BN22*12</f>
        <v>4019403.28805602</v>
      </c>
    </row>
    <row r="24" customFormat="false" ht="15" hidden="false" customHeight="false" outlineLevel="0" collapsed="false">
      <c r="A24" s="4" t="s">
        <v>819</v>
      </c>
      <c r="B24" s="91" t="n">
        <f aca="false">IFERROR(B6/B18,0)</f>
        <v>0.753027716234016</v>
      </c>
      <c r="C24" s="92" t="n">
        <f aca="false">IFERROR(C6/C18,0)</f>
        <v>0</v>
      </c>
      <c r="D24" s="92" t="n">
        <f aca="false">IFERROR(D6/D18,0)</f>
        <v>0.768655572950414</v>
      </c>
      <c r="E24" s="92" t="n">
        <f aca="false">IFERROR(E6/E18,0)</f>
        <v>0.768817390403934</v>
      </c>
      <c r="F24" s="92" t="n">
        <f aca="false">IFERROR(F6/F18,0)</f>
        <v>0.714167720166647</v>
      </c>
      <c r="G24" s="92" t="n">
        <f aca="false">IFERROR(G6/G18,0)</f>
        <v>0.731556325568711</v>
      </c>
      <c r="H24" s="92" t="n">
        <f aca="false">IFERROR(H6/H18,0)</f>
        <v>0.741419692685181</v>
      </c>
      <c r="I24" s="92" t="n">
        <f aca="false">IFERROR(I6/I18,0)</f>
        <v>0.74782215123672</v>
      </c>
      <c r="J24" s="92" t="n">
        <f aca="false">IFERROR(J6/J18,0)</f>
        <v>0.752348557300647</v>
      </c>
      <c r="K24" s="92" t="n">
        <f aca="false">IFERROR(K6/K18,0)</f>
        <v>0.755744813065578</v>
      </c>
      <c r="L24" s="92" t="n">
        <f aca="false">IFERROR(L6/L18,0)</f>
        <v>0.758408085962789</v>
      </c>
      <c r="M24" s="92" t="n">
        <f aca="false">IFERROR(M6/M18,0)</f>
        <v>0.760569261880274</v>
      </c>
      <c r="N24" s="92" t="n">
        <f aca="false">IFERROR(N6/N18,0)</f>
        <v>0.76237170197187</v>
      </c>
      <c r="O24" s="91" t="n">
        <f aca="false">IFERROR(O6/O18,0)</f>
        <v>0.718935005646797</v>
      </c>
      <c r="P24" s="92" t="n">
        <f aca="false">IFERROR(P6/P18,0)</f>
        <v>0.740607185209245</v>
      </c>
      <c r="Q24" s="92" t="n">
        <f aca="false">IFERROR(Q6/Q18,0)</f>
        <v>0.728646046491963</v>
      </c>
      <c r="R24" s="92" t="n">
        <f aca="false">IFERROR(R6/R18,0)</f>
        <v>0.731957234070966</v>
      </c>
      <c r="S24" s="92" t="n">
        <f aca="false">IFERROR(S6/S18,0)</f>
        <v>0.734900540924243</v>
      </c>
      <c r="T24" s="92" t="n">
        <f aca="false">IFERROR(T6/T18,0)</f>
        <v>0.737627675264365</v>
      </c>
      <c r="U24" s="92" t="n">
        <f aca="false">IFERROR(U6/U18,0)</f>
        <v>0.739842656996855</v>
      </c>
      <c r="V24" s="92" t="n">
        <f aca="false">IFERROR(V6/V18,0)</f>
        <v>0.706508650638405</v>
      </c>
      <c r="W24" s="92" t="n">
        <f aca="false">IFERROR(W6/W18,0)</f>
        <v>0.70812581592751</v>
      </c>
      <c r="X24" s="92" t="n">
        <f aca="false">IFERROR(X6/X18,0)</f>
        <v>0.709565782102168</v>
      </c>
      <c r="Y24" s="92" t="n">
        <f aca="false">IFERROR(Y6/Y18,0)</f>
        <v>0.710869455758697</v>
      </c>
      <c r="Z24" s="92" t="n">
        <f aca="false">IFERROR(Z6/Z18,0)</f>
        <v>0.712066073057741</v>
      </c>
      <c r="AA24" s="92" t="n">
        <f aca="false">IFERROR(AA6/AA18,0)</f>
        <v>0.713177075838899</v>
      </c>
      <c r="AB24" s="91" t="n">
        <f aca="false">IFERROR(AB6/AB18,0)</f>
        <v>0.688344292997599</v>
      </c>
      <c r="AC24" s="92" t="n">
        <f aca="false">IFERROR(AC6/AC18,0)</f>
        <v>0.685498684857552</v>
      </c>
      <c r="AD24" s="92" t="n">
        <f aca="false">IFERROR(AD6/AD18,0)</f>
        <v>0.681806033700192</v>
      </c>
      <c r="AE24" s="92" t="n">
        <f aca="false">IFERROR(AE6/AE18,0)</f>
        <v>0.682897661362532</v>
      </c>
      <c r="AF24" s="92" t="n">
        <f aca="false">IFERROR(AF6/AF18,0)</f>
        <v>0.684127635443262</v>
      </c>
      <c r="AG24" s="92" t="n">
        <f aca="false">IFERROR(AG6/AG18,0)</f>
        <v>0.685469943325124</v>
      </c>
      <c r="AH24" s="92" t="n">
        <f aca="false">IFERROR(AH6/AH18,0)</f>
        <v>0.686723153875537</v>
      </c>
      <c r="AI24" s="92" t="n">
        <f aca="false">IFERROR(AI6/AI18,0)</f>
        <v>0.687906171470815</v>
      </c>
      <c r="AJ24" s="92" t="n">
        <f aca="false">IFERROR(AJ6/AJ18,0)</f>
        <v>0.689032876539215</v>
      </c>
      <c r="AK24" s="92" t="n">
        <f aca="false">IFERROR(AK6/AK18,0)</f>
        <v>0.690113683823554</v>
      </c>
      <c r="AL24" s="92" t="n">
        <f aca="false">IFERROR(AL6/AL18,0)</f>
        <v>0.69115655484913</v>
      </c>
      <c r="AM24" s="92" t="n">
        <f aca="false">IFERROR(AM6/AM18,0)</f>
        <v>0.692167675298825</v>
      </c>
      <c r="AN24" s="92" t="n">
        <f aca="false">IFERROR(AN6/AN18,0)</f>
        <v>0.693151919898809</v>
      </c>
      <c r="AO24" s="91" t="n">
        <f aca="false">IFERROR(AO6/AO18,0)</f>
        <v>0.675117000585504</v>
      </c>
      <c r="AP24" s="92" t="n">
        <f aca="false">IFERROR(AP6/AP18,0)</f>
        <v>0.6724552235032</v>
      </c>
      <c r="AQ24" s="92" t="n">
        <f aca="false">IFERROR(AQ6/AQ18,0)</f>
        <v>0.671234153584312</v>
      </c>
      <c r="AR24" s="92" t="n">
        <f aca="false">IFERROR(AR6/AR18,0)</f>
        <v>0.671823311196314</v>
      </c>
      <c r="AS24" s="92" t="n">
        <f aca="false">IFERROR(AS6/AS18,0)</f>
        <v>0.672512224417506</v>
      </c>
      <c r="AT24" s="92" t="n">
        <f aca="false">IFERROR(AT6/AT18,0)</f>
        <v>0.67328685490862</v>
      </c>
      <c r="AU24" s="92" t="n">
        <f aca="false">IFERROR(AU6/AU18,0)</f>
        <v>0.674065816781465</v>
      </c>
      <c r="AV24" s="92" t="n">
        <f aca="false">IFERROR(AV6/AV18,0)</f>
        <v>0.674848272121093</v>
      </c>
      <c r="AW24" s="92" t="n">
        <f aca="false">IFERROR(AW6/AW18,0)</f>
        <v>0.675633537525741</v>
      </c>
      <c r="AX24" s="92" t="n">
        <f aca="false">IFERROR(AX6/AX18,0)</f>
        <v>0.676421048094833</v>
      </c>
      <c r="AY24" s="92" t="n">
        <f aca="false">IFERROR(AY6/AY18,0)</f>
        <v>0.677210331086195</v>
      </c>
      <c r="AZ24" s="92" t="n">
        <f aca="false">IFERROR(AZ6/AZ18,0)</f>
        <v>0.678000986342138</v>
      </c>
      <c r="BA24" s="92" t="n">
        <f aca="false">IFERROR(BA6/BA18,0)</f>
        <v>0.678792671537637</v>
      </c>
      <c r="BB24" s="91" t="n">
        <f aca="false">IFERROR(BB6/BB18,0)</f>
        <v>0.66705509116086</v>
      </c>
      <c r="BC24" s="92" t="n">
        <f aca="false">IFERROR(BC6/BC18,0)</f>
        <v>0.663529649118568</v>
      </c>
      <c r="BD24" s="92" t="n">
        <f aca="false">IFERROR(BD6/BD18,0)</f>
        <v>0.663586745919755</v>
      </c>
      <c r="BE24" s="92" t="n">
        <f aca="false">IFERROR(BE6/BE18,0)</f>
        <v>0.664194526075126</v>
      </c>
      <c r="BF24" s="92" t="n">
        <f aca="false">IFERROR(BF6/BF18,0)</f>
        <v>0.664855192698836</v>
      </c>
      <c r="BG24" s="92" t="n">
        <f aca="false">IFERROR(BG6/BG18,0)</f>
        <v>0.665564226354436</v>
      </c>
      <c r="BH24" s="92" t="n">
        <f aca="false">IFERROR(BH6/BH18,0)</f>
        <v>0.666280848493794</v>
      </c>
      <c r="BI24" s="92" t="n">
        <f aca="false">IFERROR(BI6/BI18,0)</f>
        <v>0.667004193114543</v>
      </c>
      <c r="BJ24" s="92" t="n">
        <f aca="false">IFERROR(BJ6/BJ18,0)</f>
        <v>0.667733502740508</v>
      </c>
      <c r="BK24" s="92" t="n">
        <f aca="false">IFERROR(BK6/BK18,0)</f>
        <v>0.66846811070841</v>
      </c>
      <c r="BL24" s="92" t="n">
        <f aca="false">IFERROR(BL6/BL18,0)</f>
        <v>0.66920742687593</v>
      </c>
      <c r="BM24" s="92" t="n">
        <f aca="false">IFERROR(BM6/BM18,0)</f>
        <v>0.669950925999485</v>
      </c>
      <c r="BN24" s="92" t="n">
        <f aca="false">IFERROR(BN6/BN18,0)</f>
        <v>0.670698138213656</v>
      </c>
    </row>
    <row r="25" customFormat="false" ht="15" hidden="false" customHeight="false" outlineLevel="0" collapsed="false">
      <c r="A25" s="4" t="s">
        <v>820</v>
      </c>
      <c r="B25" s="91" t="n">
        <f aca="false">IFERROR(B11/B18,0)</f>
        <v>0.214880267051113</v>
      </c>
      <c r="C25" s="92" t="n">
        <f aca="false">IFERROR(C11/C18,0)</f>
        <v>0</v>
      </c>
      <c r="D25" s="92" t="n">
        <f aca="false">IFERROR(D11/D18,0)</f>
        <v>0.231344427049586</v>
      </c>
      <c r="E25" s="92" t="n">
        <f aca="false">IFERROR(E11/E18,0)</f>
        <v>0.231182609596066</v>
      </c>
      <c r="F25" s="92" t="n">
        <f aca="false">IFERROR(F11/F18,0)</f>
        <v>0.211480710235004</v>
      </c>
      <c r="G25" s="92" t="n">
        <f aca="false">IFERROR(G11/G18,0)</f>
        <v>0.212993839388236</v>
      </c>
      <c r="H25" s="92" t="n">
        <f aca="false">IFERROR(H11/H18,0)</f>
        <v>0.213788760285796</v>
      </c>
      <c r="I25" s="92" t="n">
        <f aca="false">IFERROR(I11/I18,0)</f>
        <v>0.214248230885337</v>
      </c>
      <c r="J25" s="92" t="n">
        <f aca="false">IFERROR(J11/J18,0)</f>
        <v>0.214521849187246</v>
      </c>
      <c r="K25" s="92" t="n">
        <f aca="false">IFERROR(K11/K18,0)</f>
        <v>0.214680291775067</v>
      </c>
      <c r="L25" s="92" t="n">
        <f aca="false">IFERROR(L11/L18,0)</f>
        <v>0.214761406648367</v>
      </c>
      <c r="M25" s="92" t="n">
        <f aca="false">IFERROR(M11/M18,0)</f>
        <v>0.214787370942391</v>
      </c>
      <c r="N25" s="92" t="n">
        <f aca="false">IFERROR(N11/N18,0)</f>
        <v>0.214772099123044</v>
      </c>
      <c r="O25" s="91" t="n">
        <f aca="false">IFERROR(O11/O18,0)</f>
        <v>0.259690064139542</v>
      </c>
      <c r="P25" s="92" t="n">
        <f aca="false">IFERROR(P11/P18,0)</f>
        <v>0.236208866664152</v>
      </c>
      <c r="Q25" s="92" t="n">
        <f aca="false">IFERROR(Q11/Q18,0)</f>
        <v>0.232778299296187</v>
      </c>
      <c r="R25" s="92" t="n">
        <f aca="false">IFERROR(R11/R18,0)</f>
        <v>0.234753034914612</v>
      </c>
      <c r="S25" s="92" t="n">
        <f aca="false">IFERROR(S11/S18,0)</f>
        <v>0.235690878586719</v>
      </c>
      <c r="T25" s="92" t="n">
        <f aca="false">IFERROR(T11/T18,0)</f>
        <v>0.235985831251332</v>
      </c>
      <c r="U25" s="92" t="n">
        <f aca="false">IFERROR(U11/U18,0)</f>
        <v>0.236145419235999</v>
      </c>
      <c r="V25" s="92" t="n">
        <f aca="false">IFERROR(V11/V18,0)</f>
        <v>0.272446421391852</v>
      </c>
      <c r="W25" s="92" t="n">
        <f aca="false">IFERROR(W11/W18,0)</f>
        <v>0.272336871934693</v>
      </c>
      <c r="X25" s="92" t="n">
        <f aca="false">IFERROR(X11/X18,0)</f>
        <v>0.272165338675919</v>
      </c>
      <c r="Y25" s="92" t="n">
        <f aca="false">IFERROR(Y11/Y18,0)</f>
        <v>0.27194520637217</v>
      </c>
      <c r="Z25" s="92" t="n">
        <f aca="false">IFERROR(Z11/Z18,0)</f>
        <v>0.271686133547904</v>
      </c>
      <c r="AA25" s="92" t="n">
        <f aca="false">IFERROR(AA11/AA18,0)</f>
        <v>0.27139528307915</v>
      </c>
      <c r="AB25" s="91" t="n">
        <f aca="false">IFERROR(AB11/AB18,0)</f>
        <v>0.295018246802812</v>
      </c>
      <c r="AC25" s="92" t="n">
        <f aca="false">IFERROR(AC11/AC18,0)</f>
        <v>0.297190623107112</v>
      </c>
      <c r="AD25" s="92" t="n">
        <f aca="false">IFERROR(AD11/AD18,0)</f>
        <v>0.295302012535257</v>
      </c>
      <c r="AE25" s="92" t="n">
        <f aca="false">IFERROR(AE11/AE18,0)</f>
        <v>0.295900247066996</v>
      </c>
      <c r="AF25" s="92" t="n">
        <f aca="false">IFERROR(AF11/AF18,0)</f>
        <v>0.296077476349791</v>
      </c>
      <c r="AG25" s="92" t="n">
        <f aca="false">IFERROR(AG11/AG18,0)</f>
        <v>0.295946402183017</v>
      </c>
      <c r="AH25" s="92" t="n">
        <f aca="false">IFERROR(AH11/AH18,0)</f>
        <v>0.295730206476649</v>
      </c>
      <c r="AI25" s="92" t="n">
        <f aca="false">IFERROR(AI11/AI18,0)</f>
        <v>0.295446432195456</v>
      </c>
      <c r="AJ25" s="92" t="n">
        <f aca="false">IFERROR(AJ11/AJ18,0)</f>
        <v>0.29510804864692</v>
      </c>
      <c r="AK25" s="92" t="n">
        <f aca="false">IFERROR(AK11/AK18,0)</f>
        <v>0.294724864582923</v>
      </c>
      <c r="AL25" s="92" t="n">
        <f aca="false">IFERROR(AL11/AL18,0)</f>
        <v>0.294304446869253</v>
      </c>
      <c r="AM25" s="92" t="n">
        <f aca="false">IFERROR(AM11/AM18,0)</f>
        <v>0.293852735535552</v>
      </c>
      <c r="AN25" s="92" t="n">
        <f aca="false">IFERROR(AN11/AN18,0)</f>
        <v>0.293374466243975</v>
      </c>
      <c r="AO25" s="91" t="n">
        <f aca="false">IFERROR(AO11/AO18,0)</f>
        <v>0.311969530191667</v>
      </c>
      <c r="AP25" s="92" t="n">
        <f aca="false">IFERROR(AP11/AP18,0)</f>
        <v>0.313832845384476</v>
      </c>
      <c r="AQ25" s="92" t="n">
        <f aca="false">IFERROR(AQ11/AQ18,0)</f>
        <v>0.31290484777216</v>
      </c>
      <c r="AR25" s="92" t="n">
        <f aca="false">IFERROR(AR11/AR18,0)</f>
        <v>0.313047341228689</v>
      </c>
      <c r="AS25" s="92" t="n">
        <f aca="false">IFERROR(AS11/AS18,0)</f>
        <v>0.313007460366749</v>
      </c>
      <c r="AT25" s="92" t="n">
        <f aca="false">IFERROR(AT11/AT18,0)</f>
        <v>0.312820365805735</v>
      </c>
      <c r="AU25" s="92" t="n">
        <f aca="false">IFERROR(AU11/AU18,0)</f>
        <v>0.312570228597032</v>
      </c>
      <c r="AV25" s="92" t="n">
        <f aca="false">IFERROR(AV11/AV18,0)</f>
        <v>0.312266740748625</v>
      </c>
      <c r="AW25" s="92" t="n">
        <f aca="false">IFERROR(AW11/AW18,0)</f>
        <v>0.311917713580974</v>
      </c>
      <c r="AX25" s="92" t="n">
        <f aca="false">IFERROR(AX11/AX18,0)</f>
        <v>0.311529517143526</v>
      </c>
      <c r="AY25" s="92" t="n">
        <f aca="false">IFERROR(AY11/AY18,0)</f>
        <v>0.31110740168157</v>
      </c>
      <c r="AZ25" s="92" t="n">
        <f aca="false">IFERROR(AZ11/AZ18,0)</f>
        <v>0.310655736530866</v>
      </c>
      <c r="BA25" s="92" t="n">
        <f aca="false">IFERROR(BA11/BA18,0)</f>
        <v>0.3101781901863</v>
      </c>
      <c r="BB25" s="91" t="n">
        <f aca="false">IFERROR(BB11/BB18,0)</f>
        <v>0.32286210552074</v>
      </c>
      <c r="BC25" s="92" t="n">
        <f aca="false">IFERROR(BC11/BC18,0)</f>
        <v>0.325613992666001</v>
      </c>
      <c r="BD25" s="92" t="n">
        <f aca="false">IFERROR(BD11/BD18,0)</f>
        <v>0.324958019793749</v>
      </c>
      <c r="BE25" s="92" t="n">
        <f aca="false">IFERROR(BE11/BE18,0)</f>
        <v>0.324672853417677</v>
      </c>
      <c r="BF25" s="92" t="n">
        <f aca="false">IFERROR(BF11/BF18,0)</f>
        <v>0.324311417540006</v>
      </c>
      <c r="BG25" s="92" t="n">
        <f aca="false">IFERROR(BG11/BG18,0)</f>
        <v>0.323884608963301</v>
      </c>
      <c r="BH25" s="92" t="n">
        <f aca="false">IFERROR(BH11/BH18,0)</f>
        <v>0.323431829823325</v>
      </c>
      <c r="BI25" s="92" t="n">
        <f aca="false">IFERROR(BI11/BI18,0)</f>
        <v>0.322955812598476</v>
      </c>
      <c r="BJ25" s="92" t="n">
        <f aca="false">IFERROR(BJ11/BJ18,0)</f>
        <v>0.322458928310891</v>
      </c>
      <c r="BK25" s="92" t="n">
        <f aca="false">IFERROR(BK11/BK18,0)</f>
        <v>0.321943246304291</v>
      </c>
      <c r="BL25" s="92" t="n">
        <f aca="false">IFERROR(BL11/BL18,0)</f>
        <v>0.321410582421604</v>
      </c>
      <c r="BM25" s="92" t="n">
        <f aca="false">IFERROR(BM11/BM18,0)</f>
        <v>0.320862538136539</v>
      </c>
      <c r="BN25" s="92" t="n">
        <f aca="false">IFERROR(BN11/BN18,0)</f>
        <v>0.320300532568977</v>
      </c>
    </row>
    <row r="26" customFormat="false" ht="15" hidden="false" customHeight="false" outlineLevel="0" collapsed="false">
      <c r="A26" s="4" t="s">
        <v>821</v>
      </c>
      <c r="B26" s="81" t="n">
        <f aca="false">IFERROR(B18/12/Acquisitions!B125,0)</f>
        <v>38.5412634358777</v>
      </c>
      <c r="C26" s="82" t="n">
        <f aca="false">IFERROR(C18/Acquisitions!C125,0)</f>
        <v>0</v>
      </c>
      <c r="D26" s="82" t="n">
        <f aca="false">IFERROR(D18/Acquisitions!D125,0)</f>
        <v>36.2062766097516</v>
      </c>
      <c r="E26" s="82" t="n">
        <f aca="false">IFERROR(E18/Acquisitions!E125,0)</f>
        <v>36.1521469977283</v>
      </c>
      <c r="F26" s="82" t="n">
        <f aca="false">IFERROR(F18/Acquisitions!F125,0)</f>
        <v>39.4450207323551</v>
      </c>
      <c r="G26" s="82" t="n">
        <f aca="false">IFERROR(G18/Acquisitions!G125,0)</f>
        <v>39.089905689665</v>
      </c>
      <c r="H26" s="82" t="n">
        <f aca="false">IFERROR(H18/Acquisitions!H125,0)</f>
        <v>38.8843468391579</v>
      </c>
      <c r="I26" s="82" t="n">
        <f aca="false">IFERROR(I18/Acquisitions!I125,0)</f>
        <v>38.7463107722759</v>
      </c>
      <c r="J26" s="82" t="n">
        <f aca="false">IFERROR(J18/Acquisitions!J125,0)</f>
        <v>38.6443179670792</v>
      </c>
      <c r="K26" s="82" t="n">
        <f aca="false">IFERROR(K18/Acquisitions!K125,0)</f>
        <v>38.5636650809681</v>
      </c>
      <c r="L26" s="82" t="n">
        <f aca="false">IFERROR(L18/Acquisitions!L125,0)</f>
        <v>38.4965415370573</v>
      </c>
      <c r="M26" s="82" t="n">
        <f aca="false">IFERROR(M18/Acquisitions!M125,0)</f>
        <v>38.4383997434815</v>
      </c>
      <c r="N26" s="82" t="n">
        <f aca="false">IFERROR(N18/Acquisitions!N125,0)</f>
        <v>38.3864025728815</v>
      </c>
      <c r="O26" s="81" t="n">
        <f aca="false">IFERROR(O18/12/Acquisitions!O125,0)</f>
        <v>42.9573335611771</v>
      </c>
      <c r="P26" s="82" t="n">
        <f aca="false">IFERROR(P18/Acquisitions!P125,0)</f>
        <v>42.1882167083503</v>
      </c>
      <c r="Q26" s="82" t="n">
        <f aca="false">IFERROR(Q18/Acquisitions!Q125,0)</f>
        <v>42.6857437637414</v>
      </c>
      <c r="R26" s="82" t="n">
        <f aca="false">IFERROR(R18/Acquisitions!R125,0)</f>
        <v>42.2183235795014</v>
      </c>
      <c r="S26" s="82" t="n">
        <f aca="false">IFERROR(S18/Acquisitions!S125,0)</f>
        <v>41.9502000257081</v>
      </c>
      <c r="T26" s="82" t="n">
        <f aca="false">IFERROR(T18/Acquisitions!T125,0)</f>
        <v>41.8019344636932</v>
      </c>
      <c r="U26" s="82" t="n">
        <f aca="false">IFERROR(U18/Acquisitions!U125,0)</f>
        <v>41.6845342901817</v>
      </c>
      <c r="V26" s="82" t="n">
        <f aca="false">IFERROR(V18/Acquisitions!V125,0)</f>
        <v>43.6599079452379</v>
      </c>
      <c r="W26" s="82" t="n">
        <f aca="false">IFERROR(W18/Acquisitions!W125,0)</f>
        <v>43.5690333142628</v>
      </c>
      <c r="X26" s="82" t="n">
        <f aca="false">IFERROR(X18/Acquisitions!X125,0)</f>
        <v>43.489405175641</v>
      </c>
      <c r="Y26" s="82" t="n">
        <f aca="false">IFERROR(Y18/Acquisitions!Y125,0)</f>
        <v>43.4182151086559</v>
      </c>
      <c r="Z26" s="82" t="n">
        <f aca="false">IFERROR(Z18/Acquisitions!Z125,0)</f>
        <v>43.353449952244</v>
      </c>
      <c r="AA26" s="82" t="n">
        <f aca="false">IFERROR(AA18/Acquisitions!AA125,0)</f>
        <v>43.2936264116953</v>
      </c>
      <c r="AB26" s="81" t="n">
        <f aca="false">IFERROR(AB18/12/Acquisitions!AB125,0)</f>
        <v>47.5915281316786</v>
      </c>
      <c r="AC26" s="82" t="n">
        <f aca="false">IFERROR(AC18/Acquisitions!AC125,0)</f>
        <v>48.1761071825392</v>
      </c>
      <c r="AD26" s="82" t="n">
        <f aca="false">IFERROR(AD18/Acquisitions!AD125,0)</f>
        <v>48.32194900703</v>
      </c>
      <c r="AE26" s="82" t="n">
        <f aca="false">IFERROR(AE18/Acquisitions!AE125,0)</f>
        <v>48.0632184716695</v>
      </c>
      <c r="AF26" s="82" t="n">
        <f aca="false">IFERROR(AF18/Acquisitions!AF125,0)</f>
        <v>47.8814787484152</v>
      </c>
      <c r="AG26" s="82" t="n">
        <f aca="false">IFERROR(AG18/Acquisitions!AG125,0)</f>
        <v>47.7551892421947</v>
      </c>
      <c r="AH26" s="82" t="n">
        <f aca="false">IFERROR(AH18/Acquisitions!AH125,0)</f>
        <v>47.6484055413402</v>
      </c>
      <c r="AI26" s="82" t="n">
        <f aca="false">IFERROR(AI18/Acquisitions!AI125,0)</f>
        <v>47.5566253252807</v>
      </c>
      <c r="AJ26" s="82" t="n">
        <f aca="false">IFERROR(AJ18/Acquisitions!AJ125,0)</f>
        <v>47.476557442314</v>
      </c>
      <c r="AK26" s="82" t="n">
        <f aca="false">IFERROR(AK18/Acquisitions!AK125,0)</f>
        <v>47.4057390242104</v>
      </c>
      <c r="AL26" s="82" t="n">
        <f aca="false">IFERROR(AL18/Acquisitions!AL125,0)</f>
        <v>47.3422894507629</v>
      </c>
      <c r="AM26" s="82" t="n">
        <f aca="false">IFERROR(AM18/Acquisitions!AM125,0)</f>
        <v>47.2847472826577</v>
      </c>
      <c r="AN26" s="82" t="n">
        <f aca="false">IFERROR(AN18/Acquisitions!AN125,0)</f>
        <v>47.2319592383674</v>
      </c>
      <c r="AO26" s="81" t="n">
        <f aca="false">IFERROR(AO18/12/Acquisitions!AO125,0)</f>
        <v>50.8433675966427</v>
      </c>
      <c r="AP26" s="82" t="n">
        <f aca="false">IFERROR(AP18/Acquisitions!AP125,0)</f>
        <v>51.6608960175085</v>
      </c>
      <c r="AQ26" s="82" t="n">
        <f aca="false">IFERROR(AQ18/Acquisitions!AQ125,0)</f>
        <v>51.6124530579938</v>
      </c>
      <c r="AR26" s="82" t="n">
        <f aca="false">IFERROR(AR18/Acquisitions!AR125,0)</f>
        <v>51.3906646568483</v>
      </c>
      <c r="AS26" s="82" t="n">
        <f aca="false">IFERROR(AS18/Acquisitions!AS125,0)</f>
        <v>51.2075009423607</v>
      </c>
      <c r="AT26" s="82" t="n">
        <f aca="false">IFERROR(AT18/Acquisitions!AT125,0)</f>
        <v>51.0550623609052</v>
      </c>
      <c r="AU26" s="82" t="n">
        <f aca="false">IFERROR(AU18/Acquisitions!AU125,0)</f>
        <v>50.9189380862826</v>
      </c>
      <c r="AV26" s="82" t="n">
        <f aca="false">IFERROR(AV18/Acquisitions!AV125,0)</f>
        <v>50.79624735134</v>
      </c>
      <c r="AW26" s="82" t="n">
        <f aca="false">IFERROR(AW18/Acquisitions!AW125,0)</f>
        <v>50.6846999418347</v>
      </c>
      <c r="AX26" s="82" t="n">
        <f aca="false">IFERROR(AX18/Acquisitions!AX125,0)</f>
        <v>50.582452452452</v>
      </c>
      <c r="AY26" s="82" t="n">
        <f aca="false">IFERROR(AY18/Acquisitions!AY125,0)</f>
        <v>50.4880046213351</v>
      </c>
      <c r="AZ26" s="82" t="n">
        <f aca="false">IFERROR(AZ18/Acquisitions!AZ125,0)</f>
        <v>50.4001232810618</v>
      </c>
      <c r="BA26" s="82" t="n">
        <f aca="false">IFERROR(BA18/Acquisitions!BA125,0)</f>
        <v>50.3177857045991</v>
      </c>
      <c r="BB26" s="81" t="n">
        <f aca="false">IFERROR(BB18/12/Acquisitions!BB125,0)</f>
        <v>53.5268216242552</v>
      </c>
      <c r="BC26" s="82" t="n">
        <f aca="false">IFERROR(BC18/Acquisitions!BC125,0)</f>
        <v>54.2183199203655</v>
      </c>
      <c r="BD26" s="82" t="n">
        <f aca="false">IFERROR(BD18/Acquisitions!BD125,0)</f>
        <v>54.1324936959219</v>
      </c>
      <c r="BE26" s="82" t="n">
        <f aca="false">IFERROR(BE18/Acquisitions!BE125,0)</f>
        <v>53.9790208258612</v>
      </c>
      <c r="BF26" s="82" t="n">
        <f aca="false">IFERROR(BF18/Acquisitions!BF125,0)</f>
        <v>53.841560223973</v>
      </c>
      <c r="BG26" s="82" t="n">
        <f aca="false">IFERROR(BG18/Acquisitions!BG125,0)</f>
        <v>53.7176988091178</v>
      </c>
      <c r="BH26" s="82" t="n">
        <f aca="false">IFERROR(BH18/Acquisitions!BH125,0)</f>
        <v>53.6009402517942</v>
      </c>
      <c r="BI26" s="82" t="n">
        <f aca="false">IFERROR(BI18/Acquisitions!BI125,0)</f>
        <v>53.4903687873804</v>
      </c>
      <c r="BJ26" s="82" t="n">
        <f aca="false">IFERROR(BJ18/Acquisitions!BJ125,0)</f>
        <v>53.3851991619056</v>
      </c>
      <c r="BK26" s="82" t="n">
        <f aca="false">IFERROR(BK18/Acquisitions!BK125,0)</f>
        <v>53.2847541244299</v>
      </c>
      <c r="BL26" s="82" t="n">
        <f aca="false">IFERROR(BL18/Acquisitions!BL125,0)</f>
        <v>53.188446456622</v>
      </c>
      <c r="BM26" s="82" t="n">
        <f aca="false">IFERROR(BM18/Acquisitions!BM125,0)</f>
        <v>53.0957645036417</v>
      </c>
      <c r="BN26" s="82" t="n">
        <f aca="false">IFERROR(BN18/Acquisitions!BN125,0)</f>
        <v>53.0062604325819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2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649</v>
      </c>
    </row>
    <row r="2" customFormat="false" ht="15" hidden="false" customHeight="false" outlineLevel="0" collapsed="false">
      <c r="A2" s="8" t="s">
        <v>822</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823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33.75" hidden="false" customHeight="true" outlineLevel="0" collapsed="false">
      <c r="A5" s="11" t="s">
        <v>824</v>
      </c>
      <c r="B5" s="12" t="s">
        <v>825</v>
      </c>
      <c r="C5" s="12" t="s">
        <v>826</v>
      </c>
      <c r="D5" s="12" t="s">
        <v>827</v>
      </c>
      <c r="E5" s="12" t="s">
        <v>347</v>
      </c>
      <c r="F5" s="12" t="s">
        <v>348</v>
      </c>
      <c r="G5" s="12" t="s">
        <v>349</v>
      </c>
      <c r="H5" s="12" t="s">
        <v>350</v>
      </c>
      <c r="I5" s="12" t="s">
        <v>828</v>
      </c>
      <c r="J5" s="12" t="s">
        <v>829</v>
      </c>
      <c r="K5" s="12" t="s">
        <v>830</v>
      </c>
      <c r="L5" s="12" t="s">
        <v>831</v>
      </c>
    </row>
    <row r="6" customFormat="false" ht="15" hidden="false" customHeight="false" outlineLevel="0" collapsed="false">
      <c r="A6" s="4" t="s">
        <v>832</v>
      </c>
      <c r="B6" s="38" t="s">
        <v>833</v>
      </c>
      <c r="C6" s="48" t="n">
        <v>1</v>
      </c>
      <c r="D6" s="32" t="n">
        <v>1</v>
      </c>
      <c r="E6" s="32" t="n">
        <v>1</v>
      </c>
      <c r="F6" s="32" t="n">
        <v>1</v>
      </c>
      <c r="G6" s="32" t="n">
        <v>1</v>
      </c>
      <c r="H6" s="32" t="n">
        <v>1</v>
      </c>
      <c r="I6" s="32" t="n">
        <v>150000</v>
      </c>
      <c r="J6" s="48" t="n">
        <v>1</v>
      </c>
      <c r="K6" s="48" t="n">
        <v>0</v>
      </c>
      <c r="L6" s="38"/>
    </row>
    <row r="7" customFormat="false" ht="15" hidden="false" customHeight="false" outlineLevel="0" collapsed="false">
      <c r="A7" s="4" t="s">
        <v>834</v>
      </c>
      <c r="B7" s="38" t="s">
        <v>833</v>
      </c>
      <c r="C7" s="48" t="n">
        <v>1</v>
      </c>
      <c r="D7" s="32" t="n">
        <v>1</v>
      </c>
      <c r="E7" s="32" t="n">
        <v>1</v>
      </c>
      <c r="F7" s="32" t="n">
        <v>1</v>
      </c>
      <c r="G7" s="32" t="n">
        <v>1</v>
      </c>
      <c r="H7" s="32" t="n">
        <v>1</v>
      </c>
      <c r="I7" s="32" t="n">
        <v>100000</v>
      </c>
      <c r="J7" s="48" t="n">
        <v>1</v>
      </c>
      <c r="K7" s="48" t="n">
        <v>1</v>
      </c>
      <c r="L7" s="38"/>
    </row>
    <row r="8" customFormat="false" ht="15" hidden="false" customHeight="false" outlineLevel="0" collapsed="false">
      <c r="A8" s="4" t="s">
        <v>835</v>
      </c>
      <c r="B8" s="38" t="s">
        <v>833</v>
      </c>
      <c r="C8" s="48" t="n">
        <v>1</v>
      </c>
      <c r="D8" s="32" t="n">
        <v>1</v>
      </c>
      <c r="E8" s="32" t="n">
        <v>1</v>
      </c>
      <c r="F8" s="32" t="n">
        <v>1</v>
      </c>
      <c r="G8" s="32" t="n">
        <v>1</v>
      </c>
      <c r="H8" s="32" t="n">
        <v>1</v>
      </c>
      <c r="I8" s="32" t="n">
        <v>80000</v>
      </c>
      <c r="J8" s="48" t="n">
        <v>1</v>
      </c>
      <c r="K8" s="48" t="n">
        <v>0</v>
      </c>
      <c r="L8" s="38"/>
    </row>
    <row r="9" customFormat="false" ht="15" hidden="false" customHeight="false" outlineLevel="0" collapsed="false">
      <c r="A9" s="4" t="s">
        <v>836</v>
      </c>
      <c r="B9" s="38" t="s">
        <v>837</v>
      </c>
      <c r="C9" s="48" t="n">
        <v>1</v>
      </c>
      <c r="D9" s="32" t="n">
        <v>1</v>
      </c>
      <c r="E9" s="32" t="n">
        <v>1</v>
      </c>
      <c r="F9" s="32" t="n">
        <v>2</v>
      </c>
      <c r="G9" s="32" t="n">
        <v>2</v>
      </c>
      <c r="H9" s="32" t="n">
        <v>3</v>
      </c>
      <c r="I9" s="32" t="n">
        <v>100000</v>
      </c>
      <c r="J9" s="48" t="n">
        <v>1</v>
      </c>
      <c r="K9" s="48" t="n">
        <v>0</v>
      </c>
      <c r="L9" s="38"/>
    </row>
    <row r="10" customFormat="false" ht="15" hidden="false" customHeight="false" outlineLevel="0" collapsed="false">
      <c r="A10" s="4" t="s">
        <v>838</v>
      </c>
      <c r="B10" s="38" t="s">
        <v>837</v>
      </c>
      <c r="C10" s="48" t="n">
        <v>1</v>
      </c>
      <c r="D10" s="32" t="n">
        <v>1</v>
      </c>
      <c r="E10" s="32" t="n">
        <v>1</v>
      </c>
      <c r="F10" s="32" t="n">
        <v>2</v>
      </c>
      <c r="G10" s="32" t="n">
        <v>2</v>
      </c>
      <c r="H10" s="32" t="n">
        <v>3</v>
      </c>
      <c r="I10" s="32" t="n">
        <v>30000</v>
      </c>
      <c r="J10" s="48" t="n">
        <v>1</v>
      </c>
      <c r="K10" s="48" t="n">
        <v>1</v>
      </c>
      <c r="L10" s="38"/>
    </row>
    <row r="11" customFormat="false" ht="15" hidden="false" customHeight="false" outlineLevel="0" collapsed="false">
      <c r="A11" s="4" t="s">
        <v>839</v>
      </c>
      <c r="B11" s="38" t="s">
        <v>840</v>
      </c>
      <c r="C11" s="48" t="n">
        <v>1</v>
      </c>
      <c r="D11" s="32" t="n">
        <v>1</v>
      </c>
      <c r="E11" s="32" t="n">
        <v>2</v>
      </c>
      <c r="F11" s="32" t="n">
        <v>2</v>
      </c>
      <c r="G11" s="32" t="n">
        <v>3</v>
      </c>
      <c r="H11" s="32" t="n">
        <v>4</v>
      </c>
      <c r="I11" s="32" t="n">
        <v>60000</v>
      </c>
      <c r="J11" s="48" t="n">
        <v>1</v>
      </c>
      <c r="K11" s="48" t="n">
        <v>1</v>
      </c>
      <c r="L11" s="38"/>
    </row>
    <row r="12" customFormat="false" ht="15" hidden="false" customHeight="false" outlineLevel="0" collapsed="false">
      <c r="A12" s="4" t="s">
        <v>841</v>
      </c>
      <c r="B12" s="38" t="s">
        <v>840</v>
      </c>
      <c r="C12" s="48" t="n">
        <v>1</v>
      </c>
      <c r="D12" s="32" t="n">
        <v>1</v>
      </c>
      <c r="E12" s="32" t="n">
        <v>2</v>
      </c>
      <c r="F12" s="32" t="n">
        <v>3</v>
      </c>
      <c r="G12" s="32" t="n">
        <v>4</v>
      </c>
      <c r="H12" s="32" t="n">
        <v>5</v>
      </c>
      <c r="I12" s="32" t="n">
        <v>40000</v>
      </c>
      <c r="J12" s="48" t="n">
        <v>1</v>
      </c>
      <c r="K12" s="48" t="n">
        <v>1</v>
      </c>
      <c r="L12" s="38"/>
    </row>
    <row r="13" customFormat="false" ht="15" hidden="false" customHeight="false" outlineLevel="0" collapsed="false">
      <c r="A13" s="4" t="s">
        <v>842</v>
      </c>
      <c r="B13" s="38" t="s">
        <v>840</v>
      </c>
      <c r="C13" s="48" t="n">
        <v>1</v>
      </c>
      <c r="D13" s="32" t="n">
        <v>1</v>
      </c>
      <c r="E13" s="32" t="n">
        <v>2</v>
      </c>
      <c r="F13" s="32" t="n">
        <v>2</v>
      </c>
      <c r="G13" s="32" t="n">
        <v>3</v>
      </c>
      <c r="H13" s="32" t="n">
        <v>4</v>
      </c>
      <c r="I13" s="32" t="n">
        <v>40000</v>
      </c>
      <c r="J13" s="48" t="n">
        <v>1</v>
      </c>
      <c r="K13" s="48" t="n">
        <v>1</v>
      </c>
      <c r="L13" s="38"/>
    </row>
    <row r="14" customFormat="false" ht="15" hidden="false" customHeight="false" outlineLevel="0" collapsed="false">
      <c r="A14" s="4" t="s">
        <v>843</v>
      </c>
      <c r="B14" s="38" t="s">
        <v>840</v>
      </c>
      <c r="C14" s="48" t="n">
        <v>1</v>
      </c>
      <c r="D14" s="32" t="n">
        <v>1</v>
      </c>
      <c r="E14" s="32" t="n">
        <v>1</v>
      </c>
      <c r="F14" s="32" t="n">
        <v>2</v>
      </c>
      <c r="G14" s="32" t="n">
        <v>2</v>
      </c>
      <c r="H14" s="32" t="n">
        <v>3</v>
      </c>
      <c r="I14" s="32" t="n">
        <v>40000</v>
      </c>
      <c r="J14" s="48" t="n">
        <v>1</v>
      </c>
      <c r="K14" s="48" t="n">
        <v>1</v>
      </c>
      <c r="L14" s="38"/>
    </row>
    <row r="15" customFormat="false" ht="15" hidden="false" customHeight="false" outlineLevel="0" collapsed="false">
      <c r="A15" s="4" t="s">
        <v>844</v>
      </c>
      <c r="B15" s="38" t="s">
        <v>840</v>
      </c>
      <c r="C15" s="48" t="n">
        <v>1</v>
      </c>
      <c r="D15" s="32" t="n">
        <v>1</v>
      </c>
      <c r="E15" s="32" t="n">
        <v>1</v>
      </c>
      <c r="F15" s="32" t="n">
        <v>2</v>
      </c>
      <c r="G15" s="32" t="n">
        <v>2</v>
      </c>
      <c r="H15" s="32" t="n">
        <v>2</v>
      </c>
      <c r="I15" s="32" t="n">
        <v>35000</v>
      </c>
      <c r="J15" s="48" t="n">
        <v>1</v>
      </c>
      <c r="K15" s="48" t="n">
        <v>1</v>
      </c>
      <c r="L15" s="38"/>
    </row>
    <row r="16" customFormat="false" ht="15" hidden="false" customHeight="false" outlineLevel="0" collapsed="false">
      <c r="A16" s="4" t="s">
        <v>845</v>
      </c>
      <c r="B16" s="38" t="s">
        <v>840</v>
      </c>
      <c r="C16" s="48" t="n">
        <v>1</v>
      </c>
      <c r="D16" s="32" t="n">
        <v>1</v>
      </c>
      <c r="E16" s="32" t="n">
        <v>1</v>
      </c>
      <c r="F16" s="32" t="n">
        <v>1</v>
      </c>
      <c r="G16" s="32" t="n">
        <v>2</v>
      </c>
      <c r="H16" s="32" t="n">
        <v>2</v>
      </c>
      <c r="I16" s="32" t="n">
        <v>25000</v>
      </c>
      <c r="J16" s="48" t="n">
        <v>1</v>
      </c>
      <c r="K16" s="48" t="n">
        <v>0</v>
      </c>
      <c r="L16" s="38"/>
    </row>
    <row r="17" customFormat="false" ht="15" hidden="false" customHeight="false" outlineLevel="0" collapsed="false">
      <c r="A17" s="4" t="s">
        <v>846</v>
      </c>
      <c r="B17" s="38" t="s">
        <v>840</v>
      </c>
      <c r="C17" s="48" t="n">
        <v>1</v>
      </c>
      <c r="D17" s="32" t="n">
        <v>1</v>
      </c>
      <c r="E17" s="32" t="n">
        <v>1</v>
      </c>
      <c r="F17" s="32" t="n">
        <v>2</v>
      </c>
      <c r="G17" s="32" t="n">
        <v>2</v>
      </c>
      <c r="H17" s="32" t="n">
        <v>3</v>
      </c>
      <c r="I17" s="32" t="n">
        <v>25000</v>
      </c>
      <c r="J17" s="48" t="n">
        <v>0</v>
      </c>
      <c r="K17" s="48" t="n">
        <v>1</v>
      </c>
      <c r="L17" s="38"/>
    </row>
    <row r="18" customFormat="false" ht="15" hidden="false" customHeight="false" outlineLevel="0" collapsed="false">
      <c r="A18" s="4" t="s">
        <v>847</v>
      </c>
      <c r="B18" s="38" t="s">
        <v>840</v>
      </c>
      <c r="C18" s="48" t="n">
        <v>13</v>
      </c>
      <c r="D18" s="32" t="n">
        <v>0</v>
      </c>
      <c r="E18" s="32" t="n">
        <v>1</v>
      </c>
      <c r="F18" s="32" t="n">
        <v>1</v>
      </c>
      <c r="G18" s="32" t="n">
        <v>2</v>
      </c>
      <c r="H18" s="32" t="n">
        <v>2</v>
      </c>
      <c r="I18" s="32" t="n">
        <v>45000</v>
      </c>
      <c r="J18" s="48" t="n">
        <v>1</v>
      </c>
      <c r="K18" s="48" t="n">
        <v>1</v>
      </c>
      <c r="L18" s="38"/>
    </row>
    <row r="19" customFormat="false" ht="15" hidden="false" customHeight="false" outlineLevel="0" collapsed="false">
      <c r="A19" s="4" t="s">
        <v>848</v>
      </c>
      <c r="B19" s="38" t="s">
        <v>849</v>
      </c>
      <c r="C19" s="48" t="n">
        <v>13</v>
      </c>
      <c r="D19" s="32" t="n">
        <v>0</v>
      </c>
      <c r="E19" s="32" t="n">
        <v>1</v>
      </c>
      <c r="F19" s="32" t="n">
        <v>1</v>
      </c>
      <c r="G19" s="32" t="n">
        <v>1</v>
      </c>
      <c r="H19" s="32" t="n">
        <v>1</v>
      </c>
      <c r="I19" s="32" t="n">
        <v>70000</v>
      </c>
      <c r="J19" s="48" t="n">
        <v>1</v>
      </c>
      <c r="K19" s="48" t="n">
        <v>0</v>
      </c>
      <c r="L19" s="38"/>
    </row>
    <row r="20" customFormat="false" ht="15" hidden="false" customHeight="false" outlineLevel="0" collapsed="false">
      <c r="A20" s="4" t="s">
        <v>850</v>
      </c>
      <c r="B20" s="38" t="s">
        <v>849</v>
      </c>
      <c r="C20" s="48" t="n">
        <v>1</v>
      </c>
      <c r="D20" s="32" t="n">
        <v>1</v>
      </c>
      <c r="E20" s="32" t="n">
        <v>1</v>
      </c>
      <c r="F20" s="32" t="n">
        <v>2</v>
      </c>
      <c r="G20" s="32" t="n">
        <v>2</v>
      </c>
      <c r="H20" s="32" t="n">
        <v>3</v>
      </c>
      <c r="I20" s="32" t="n">
        <v>25000</v>
      </c>
      <c r="J20" s="48" t="n">
        <v>1</v>
      </c>
      <c r="K20" s="48" t="n">
        <v>0</v>
      </c>
      <c r="L20" s="38" t="s">
        <v>851</v>
      </c>
    </row>
    <row r="21" customFormat="false" ht="15" hidden="false" customHeight="false" outlineLevel="0" collapsed="false">
      <c r="A21" s="4" t="s">
        <v>852</v>
      </c>
      <c r="B21" s="38" t="s">
        <v>849</v>
      </c>
      <c r="C21" s="48" t="n">
        <v>13</v>
      </c>
      <c r="D21" s="32" t="n">
        <v>0</v>
      </c>
      <c r="E21" s="32" t="n">
        <v>1</v>
      </c>
      <c r="F21" s="32" t="n">
        <v>1</v>
      </c>
      <c r="G21" s="32" t="n">
        <v>2</v>
      </c>
      <c r="H21" s="32" t="n">
        <v>2</v>
      </c>
      <c r="I21" s="32" t="n">
        <v>50000</v>
      </c>
      <c r="J21" s="48" t="n">
        <v>1</v>
      </c>
      <c r="K21" s="48" t="n">
        <v>0</v>
      </c>
      <c r="L21" s="38" t="s">
        <v>851</v>
      </c>
    </row>
    <row r="22" customFormat="false" ht="15" hidden="false" customHeight="false" outlineLevel="0" collapsed="false">
      <c r="A22" s="4" t="s">
        <v>853</v>
      </c>
      <c r="B22" s="38" t="s">
        <v>849</v>
      </c>
      <c r="C22" s="48" t="n">
        <v>13</v>
      </c>
      <c r="D22" s="32" t="n">
        <v>0</v>
      </c>
      <c r="E22" s="32" t="n">
        <v>2</v>
      </c>
      <c r="F22" s="32" t="n">
        <v>3</v>
      </c>
      <c r="G22" s="32" t="n">
        <v>4</v>
      </c>
      <c r="H22" s="32" t="n">
        <v>5</v>
      </c>
      <c r="I22" s="32" t="n">
        <v>18000</v>
      </c>
      <c r="J22" s="48" t="n">
        <v>1</v>
      </c>
      <c r="K22" s="48" t="n">
        <v>0</v>
      </c>
      <c r="L22" s="38"/>
    </row>
    <row r="23" customFormat="false" ht="15" hidden="false" customHeight="false" outlineLevel="0" collapsed="false">
      <c r="A23" s="4" t="s">
        <v>854</v>
      </c>
      <c r="B23" s="38" t="s">
        <v>855</v>
      </c>
      <c r="C23" s="48" t="n">
        <v>1</v>
      </c>
      <c r="D23" s="32" t="n">
        <v>1</v>
      </c>
      <c r="E23" s="32" t="n">
        <v>1</v>
      </c>
      <c r="F23" s="32" t="n">
        <v>2</v>
      </c>
      <c r="G23" s="32" t="n">
        <v>2</v>
      </c>
      <c r="H23" s="32" t="n">
        <v>3</v>
      </c>
      <c r="I23" s="32" t="n">
        <v>35000</v>
      </c>
      <c r="J23" s="48" t="n">
        <v>1</v>
      </c>
      <c r="K23" s="48" t="n">
        <v>0</v>
      </c>
      <c r="L23" s="38"/>
    </row>
    <row r="24" customFormat="false" ht="15" hidden="false" customHeight="false" outlineLevel="0" collapsed="false">
      <c r="A24" s="4" t="s">
        <v>856</v>
      </c>
      <c r="B24" s="38" t="s">
        <v>857</v>
      </c>
      <c r="C24" s="48" t="n">
        <v>1</v>
      </c>
      <c r="D24" s="32" t="n">
        <v>1</v>
      </c>
      <c r="E24" s="32" t="n">
        <v>1</v>
      </c>
      <c r="F24" s="32" t="n">
        <v>1</v>
      </c>
      <c r="G24" s="32" t="n">
        <v>1</v>
      </c>
      <c r="H24" s="32" t="n">
        <v>1</v>
      </c>
      <c r="I24" s="32" t="n">
        <v>40000</v>
      </c>
      <c r="J24" s="48" t="n">
        <v>1</v>
      </c>
      <c r="K24" s="48" t="n">
        <v>0</v>
      </c>
      <c r="L24" s="38"/>
    </row>
    <row r="25" customFormat="false" ht="15" hidden="false" customHeight="false" outlineLevel="0" collapsed="false">
      <c r="A25" s="4" t="s">
        <v>858</v>
      </c>
      <c r="B25" s="38" t="s">
        <v>857</v>
      </c>
      <c r="C25" s="48" t="n">
        <v>1</v>
      </c>
      <c r="D25" s="32" t="n">
        <v>3</v>
      </c>
      <c r="E25" s="32" t="n">
        <v>3</v>
      </c>
      <c r="F25" s="32" t="n">
        <v>4</v>
      </c>
      <c r="G25" s="32" t="n">
        <v>5</v>
      </c>
      <c r="H25" s="32" t="n">
        <v>6</v>
      </c>
      <c r="I25" s="32" t="n">
        <v>25000</v>
      </c>
      <c r="J25" s="48" t="n">
        <v>1</v>
      </c>
      <c r="K25" s="48" t="n">
        <v>1</v>
      </c>
      <c r="L25" s="38"/>
    </row>
    <row r="26" customFormat="false" ht="15" hidden="false" customHeight="false" outlineLevel="0" collapsed="false">
      <c r="A26" s="4" t="s">
        <v>859</v>
      </c>
      <c r="B26" s="38" t="s">
        <v>857</v>
      </c>
      <c r="C26" s="48" t="n">
        <v>13</v>
      </c>
      <c r="D26" s="32" t="n">
        <v>0</v>
      </c>
      <c r="E26" s="32" t="n">
        <v>1</v>
      </c>
      <c r="F26" s="32" t="n">
        <v>1</v>
      </c>
      <c r="G26" s="32" t="n">
        <v>2</v>
      </c>
      <c r="H26" s="32" t="n">
        <v>2</v>
      </c>
      <c r="I26" s="32" t="n">
        <v>30000</v>
      </c>
      <c r="J26" s="48" t="n">
        <v>1</v>
      </c>
      <c r="K26" s="48" t="n">
        <v>0</v>
      </c>
      <c r="L26" s="38"/>
    </row>
    <row r="27" customFormat="false" ht="15" hidden="false" customHeight="false" outlineLevel="0" collapsed="false">
      <c r="A27" s="4" t="s">
        <v>860</v>
      </c>
      <c r="B27" s="38" t="s">
        <v>861</v>
      </c>
      <c r="C27" s="48" t="n">
        <v>1</v>
      </c>
      <c r="D27" s="32" t="n">
        <v>1</v>
      </c>
      <c r="E27" s="32" t="n">
        <v>1</v>
      </c>
      <c r="F27" s="32" t="n">
        <v>1</v>
      </c>
      <c r="G27" s="32" t="n">
        <v>1</v>
      </c>
      <c r="H27" s="32" t="n">
        <v>1</v>
      </c>
      <c r="I27" s="32" t="n">
        <v>35000</v>
      </c>
      <c r="J27" s="48" t="n">
        <v>1</v>
      </c>
      <c r="K27" s="48" t="n">
        <v>0</v>
      </c>
      <c r="L27" s="38" t="s">
        <v>862</v>
      </c>
    </row>
    <row r="28" customFormat="false" ht="15" hidden="false" customHeight="false" outlineLevel="0" collapsed="false">
      <c r="A28" s="4" t="s">
        <v>863</v>
      </c>
      <c r="B28" s="38" t="s">
        <v>861</v>
      </c>
      <c r="C28" s="48" t="n">
        <v>13</v>
      </c>
      <c r="D28" s="32" t="n">
        <v>0</v>
      </c>
      <c r="E28" s="32" t="n">
        <v>2</v>
      </c>
      <c r="F28" s="32" t="n">
        <v>5</v>
      </c>
      <c r="G28" s="32" t="n">
        <v>10</v>
      </c>
      <c r="H28" s="32" t="n">
        <v>19</v>
      </c>
      <c r="I28" s="32" t="n">
        <v>25000</v>
      </c>
      <c r="J28" s="48" t="n">
        <v>1</v>
      </c>
      <c r="K28" s="48" t="n">
        <v>0</v>
      </c>
      <c r="L28" s="38" t="s">
        <v>862</v>
      </c>
    </row>
    <row r="29" customFormat="false" ht="15" hidden="false" customHeight="false" outlineLevel="0" collapsed="false">
      <c r="A29" s="4" t="s">
        <v>864</v>
      </c>
      <c r="B29" s="38" t="s">
        <v>861</v>
      </c>
      <c r="C29" s="48" t="n">
        <v>1</v>
      </c>
      <c r="D29" s="32" t="n">
        <v>1</v>
      </c>
      <c r="E29" s="32" t="n">
        <v>2</v>
      </c>
      <c r="F29" s="32" t="n">
        <v>4</v>
      </c>
      <c r="G29" s="32" t="n">
        <v>6</v>
      </c>
      <c r="H29" s="32" t="n">
        <v>8</v>
      </c>
      <c r="I29" s="32" t="n">
        <v>15000</v>
      </c>
      <c r="J29" s="48" t="n">
        <v>1</v>
      </c>
      <c r="K29" s="48" t="n">
        <v>0</v>
      </c>
      <c r="L29" s="38" t="s">
        <v>865</v>
      </c>
    </row>
    <row r="30" customFormat="false" ht="15" hidden="false" customHeight="false" outlineLevel="0" collapsed="false">
      <c r="A30" s="4" t="s">
        <v>866</v>
      </c>
      <c r="B30" s="38" t="s">
        <v>861</v>
      </c>
      <c r="C30" s="48" t="n">
        <v>1</v>
      </c>
      <c r="D30" s="32" t="n">
        <v>1</v>
      </c>
      <c r="E30" s="32" t="n">
        <v>4</v>
      </c>
      <c r="F30" s="32" t="n">
        <v>8</v>
      </c>
      <c r="G30" s="32" t="n">
        <v>15</v>
      </c>
      <c r="H30" s="32" t="n">
        <v>24</v>
      </c>
      <c r="I30" s="32" t="n">
        <v>15000</v>
      </c>
      <c r="J30" s="48" t="n">
        <v>1</v>
      </c>
      <c r="K30" s="48" t="n">
        <v>0</v>
      </c>
      <c r="L30" s="38" t="s">
        <v>867</v>
      </c>
    </row>
    <row r="31" customFormat="false" ht="15" hidden="false" customHeight="false" outlineLevel="0" collapsed="false">
      <c r="A31" s="4" t="s">
        <v>868</v>
      </c>
      <c r="B31" s="38" t="s">
        <v>869</v>
      </c>
      <c r="C31" s="48" t="n">
        <v>1</v>
      </c>
      <c r="D31" s="32" t="n">
        <v>3</v>
      </c>
      <c r="E31" s="32" t="n">
        <v>3</v>
      </c>
      <c r="F31" s="32" t="n">
        <v>3</v>
      </c>
      <c r="G31" s="32" t="n">
        <v>4</v>
      </c>
      <c r="H31" s="32" t="n">
        <v>4</v>
      </c>
      <c r="I31" s="32" t="n">
        <v>25000</v>
      </c>
      <c r="J31" s="48" t="n">
        <v>1</v>
      </c>
      <c r="K31" s="48" t="n">
        <v>0</v>
      </c>
      <c r="L31" s="38"/>
    </row>
    <row r="32" customFormat="false" ht="15" hidden="false" customHeight="false" outlineLevel="0" collapsed="false">
      <c r="A32" s="4" t="s">
        <v>870</v>
      </c>
      <c r="B32" s="38" t="s">
        <v>869</v>
      </c>
      <c r="C32" s="48" t="n">
        <v>13</v>
      </c>
      <c r="D32" s="32" t="n">
        <v>0</v>
      </c>
      <c r="E32" s="32" t="n">
        <v>1</v>
      </c>
      <c r="F32" s="32" t="n">
        <v>1</v>
      </c>
      <c r="G32" s="32" t="n">
        <v>1</v>
      </c>
      <c r="H32" s="32" t="n">
        <v>1</v>
      </c>
      <c r="I32" s="32" t="n">
        <v>50000</v>
      </c>
      <c r="J32" s="48" t="n">
        <v>1</v>
      </c>
      <c r="K32" s="48" t="n">
        <v>0</v>
      </c>
      <c r="L32" s="38"/>
    </row>
    <row r="33" customFormat="false" ht="15" hidden="false" customHeight="false" outlineLevel="0" collapsed="false">
      <c r="A33" s="4" t="s">
        <v>871</v>
      </c>
      <c r="B33" s="38" t="s">
        <v>869</v>
      </c>
      <c r="C33" s="48" t="n">
        <v>25</v>
      </c>
      <c r="D33" s="32" t="n">
        <v>0</v>
      </c>
      <c r="E33" s="32" t="n">
        <v>0</v>
      </c>
      <c r="F33" s="32" t="n">
        <v>1</v>
      </c>
      <c r="G33" s="32" t="n">
        <v>1</v>
      </c>
      <c r="H33" s="32" t="n">
        <v>1</v>
      </c>
      <c r="I33" s="32" t="n">
        <v>40000</v>
      </c>
      <c r="J33" s="48" t="n">
        <v>1</v>
      </c>
      <c r="K33" s="48" t="n">
        <v>0</v>
      </c>
      <c r="L33" s="38"/>
    </row>
    <row r="34" customFormat="false" ht="15" hidden="false" customHeight="false" outlineLevel="0" collapsed="false">
      <c r="A34" s="13" t="s">
        <v>872</v>
      </c>
      <c r="D34" s="93" t="n">
        <f aca="false">SUM(D6:D33)</f>
        <v>24</v>
      </c>
      <c r="E34" s="93" t="n">
        <f aca="false">SUM(E6:E33)</f>
        <v>40</v>
      </c>
      <c r="F34" s="93" t="n">
        <f aca="false">SUM(F6:F33)</f>
        <v>60</v>
      </c>
      <c r="G34" s="93" t="n">
        <f aca="false">SUM(G6:G33)</f>
        <v>84</v>
      </c>
      <c r="H34" s="93" t="n">
        <f aca="false">SUM(H6:H33)</f>
        <v>115</v>
      </c>
    </row>
    <row r="36" customFormat="false" ht="15" hidden="false" customHeight="false" outlineLevel="0" collapsed="false">
      <c r="A36" s="4" t="s">
        <v>873</v>
      </c>
      <c r="C36" s="44" t="n">
        <v>0.1875</v>
      </c>
      <c r="D36" s="33" t="s">
        <v>874</v>
      </c>
    </row>
    <row r="37" customFormat="false" ht="15" hidden="false" customHeight="false" outlineLevel="0" collapsed="false">
      <c r="A37" s="4" t="s">
        <v>875</v>
      </c>
      <c r="C37" s="41" t="n">
        <v>0.12</v>
      </c>
      <c r="D37" s="33" t="s">
        <v>876</v>
      </c>
    </row>
    <row r="38" customFormat="false" ht="15" hidden="false" customHeight="false" outlineLevel="0" collapsed="false">
      <c r="A38" s="4" t="s">
        <v>877</v>
      </c>
      <c r="C38" s="32" t="n">
        <v>19300</v>
      </c>
      <c r="D38" s="33" t="s">
        <v>878</v>
      </c>
    </row>
    <row r="39" customFormat="false" ht="15" hidden="false" customHeight="false" outlineLevel="0" collapsed="false">
      <c r="A39" s="4" t="s">
        <v>879</v>
      </c>
      <c r="C39" s="32" t="n">
        <v>3200</v>
      </c>
    </row>
    <row r="40" customFormat="false" ht="15" hidden="false" customHeight="false" outlineLevel="0" collapsed="false">
      <c r="A40" s="4" t="s">
        <v>880</v>
      </c>
      <c r="C40" s="41" t="n">
        <v>0.15</v>
      </c>
    </row>
    <row r="41" customFormat="false" ht="15" hidden="false" customHeight="false" outlineLevel="0" collapsed="false">
      <c r="A41" s="29" t="s">
        <v>881</v>
      </c>
    </row>
    <row r="43" customFormat="false" ht="15" hidden="false" customHeight="false" outlineLevel="0" collapsed="false">
      <c r="A43" s="9" t="s">
        <v>882</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row>
    <row r="44" customFormat="false" ht="15" hidden="false" customHeight="false" outlineLevel="0" collapsed="false">
      <c r="A44" s="56" t="s">
        <v>824</v>
      </c>
      <c r="B44" s="57" t="s">
        <v>87</v>
      </c>
      <c r="C44" s="58" t="s">
        <v>562</v>
      </c>
      <c r="D44" s="58" t="s">
        <v>563</v>
      </c>
      <c r="E44" s="58" t="s">
        <v>564</v>
      </c>
      <c r="F44" s="58" t="s">
        <v>565</v>
      </c>
      <c r="G44" s="58" t="s">
        <v>566</v>
      </c>
      <c r="H44" s="58" t="s">
        <v>567</v>
      </c>
      <c r="I44" s="58" t="s">
        <v>568</v>
      </c>
      <c r="J44" s="58" t="s">
        <v>569</v>
      </c>
      <c r="K44" s="58" t="s">
        <v>570</v>
      </c>
      <c r="L44" s="58" t="s">
        <v>571</v>
      </c>
      <c r="M44" s="58" t="s">
        <v>572</v>
      </c>
      <c r="N44" s="58" t="s">
        <v>573</v>
      </c>
      <c r="O44" s="57" t="s">
        <v>88</v>
      </c>
      <c r="P44" s="58" t="s">
        <v>574</v>
      </c>
      <c r="Q44" s="58" t="s">
        <v>575</v>
      </c>
      <c r="R44" s="58" t="s">
        <v>576</v>
      </c>
      <c r="S44" s="58" t="s">
        <v>577</v>
      </c>
      <c r="T44" s="58" t="s">
        <v>578</v>
      </c>
      <c r="U44" s="58" t="s">
        <v>579</v>
      </c>
      <c r="V44" s="58" t="s">
        <v>580</v>
      </c>
      <c r="W44" s="58" t="s">
        <v>581</v>
      </c>
      <c r="X44" s="58" t="s">
        <v>582</v>
      </c>
      <c r="Y44" s="58" t="s">
        <v>583</v>
      </c>
      <c r="Z44" s="58" t="s">
        <v>584</v>
      </c>
      <c r="AA44" s="58" t="s">
        <v>585</v>
      </c>
      <c r="AB44" s="57" t="s">
        <v>89</v>
      </c>
      <c r="AC44" s="58" t="s">
        <v>586</v>
      </c>
      <c r="AD44" s="58" t="s">
        <v>587</v>
      </c>
      <c r="AE44" s="58" t="s">
        <v>588</v>
      </c>
      <c r="AF44" s="58" t="s">
        <v>589</v>
      </c>
      <c r="AG44" s="58" t="s">
        <v>590</v>
      </c>
      <c r="AH44" s="58" t="s">
        <v>591</v>
      </c>
      <c r="AI44" s="58" t="s">
        <v>592</v>
      </c>
      <c r="AJ44" s="58" t="s">
        <v>593</v>
      </c>
      <c r="AK44" s="58" t="s">
        <v>594</v>
      </c>
      <c r="AL44" s="58" t="s">
        <v>595</v>
      </c>
      <c r="AM44" s="58" t="s">
        <v>596</v>
      </c>
      <c r="AN44" s="58" t="s">
        <v>597</v>
      </c>
      <c r="AO44" s="57" t="s">
        <v>90</v>
      </c>
      <c r="AP44" s="58" t="s">
        <v>598</v>
      </c>
      <c r="AQ44" s="58" t="s">
        <v>599</v>
      </c>
      <c r="AR44" s="58" t="s">
        <v>600</v>
      </c>
      <c r="AS44" s="58" t="s">
        <v>601</v>
      </c>
      <c r="AT44" s="58" t="s">
        <v>602</v>
      </c>
      <c r="AU44" s="58" t="s">
        <v>603</v>
      </c>
      <c r="AV44" s="58" t="s">
        <v>604</v>
      </c>
      <c r="AW44" s="58" t="s">
        <v>605</v>
      </c>
      <c r="AX44" s="58" t="s">
        <v>606</v>
      </c>
      <c r="AY44" s="58" t="s">
        <v>607</v>
      </c>
      <c r="AZ44" s="58" t="s">
        <v>608</v>
      </c>
      <c r="BA44" s="58" t="s">
        <v>609</v>
      </c>
      <c r="BB44" s="57" t="s">
        <v>91</v>
      </c>
      <c r="BC44" s="58" t="s">
        <v>610</v>
      </c>
      <c r="BD44" s="58" t="s">
        <v>611</v>
      </c>
      <c r="BE44" s="58" t="s">
        <v>612</v>
      </c>
      <c r="BF44" s="58" t="s">
        <v>613</v>
      </c>
      <c r="BG44" s="58" t="s">
        <v>614</v>
      </c>
      <c r="BH44" s="58" t="s">
        <v>615</v>
      </c>
      <c r="BI44" s="58" t="s">
        <v>616</v>
      </c>
      <c r="BJ44" s="58" t="s">
        <v>617</v>
      </c>
      <c r="BK44" s="58" t="s">
        <v>618</v>
      </c>
      <c r="BL44" s="58" t="s">
        <v>619</v>
      </c>
      <c r="BM44" s="58" t="s">
        <v>620</v>
      </c>
      <c r="BN44" s="58" t="s">
        <v>621</v>
      </c>
    </row>
    <row r="45" customFormat="false" ht="15" hidden="false" customHeight="false" outlineLevel="0" collapsed="false">
      <c r="A45" s="4" t="s">
        <v>832</v>
      </c>
      <c r="B45" s="69" t="n">
        <f aca="false">N45</f>
        <v>1</v>
      </c>
      <c r="C45" s="72" t="n">
        <f aca="false">IF(1&lt;$C$6,0,$D$6)</f>
        <v>1</v>
      </c>
      <c r="D45" s="72" t="n">
        <f aca="false">IF(2&lt;$C$6,0,$D$6)</f>
        <v>1</v>
      </c>
      <c r="E45" s="72" t="n">
        <f aca="false">IF(3&lt;$C$6,0,$D$6)</f>
        <v>1</v>
      </c>
      <c r="F45" s="72" t="n">
        <f aca="false">IF(4&lt;$C$6,0,$D$6)</f>
        <v>1</v>
      </c>
      <c r="G45" s="72" t="n">
        <f aca="false">IF(5&lt;$C$6,0,$D$6)</f>
        <v>1</v>
      </c>
      <c r="H45" s="72" t="n">
        <f aca="false">IF(6&lt;$C$6,0,$D$6)</f>
        <v>1</v>
      </c>
      <c r="I45" s="72" t="n">
        <f aca="false">IF(7&lt;$C$6,0,$D$6)</f>
        <v>1</v>
      </c>
      <c r="J45" s="72" t="n">
        <f aca="false">IF(8&lt;$C$6,0,$D$6)</f>
        <v>1</v>
      </c>
      <c r="K45" s="72" t="n">
        <f aca="false">IF(9&lt;$C$6,0,$D$6)</f>
        <v>1</v>
      </c>
      <c r="L45" s="72" t="n">
        <f aca="false">IF(10&lt;$C$6,0,$D$6)</f>
        <v>1</v>
      </c>
      <c r="M45" s="72" t="n">
        <f aca="false">IF(11&lt;$C$6,0,$D$6)</f>
        <v>1</v>
      </c>
      <c r="N45" s="72" t="n">
        <f aca="false">IF(12&lt;$C$6,0,$D$6)</f>
        <v>1</v>
      </c>
      <c r="O45" s="69" t="n">
        <f aca="false">AA45</f>
        <v>1</v>
      </c>
      <c r="P45" s="72" t="n">
        <f aca="false">IF(13&lt;$C$6,0,MIN($E$6,ROUNDUP($D$6+($E$6-$D$6)*1/12,0)))</f>
        <v>1</v>
      </c>
      <c r="Q45" s="72" t="n">
        <f aca="false">IF(14&lt;$C$6,0,MIN($E$6,ROUNDUP($D$6+($E$6-$D$6)*2/12,0)))</f>
        <v>1</v>
      </c>
      <c r="R45" s="72" t="n">
        <f aca="false">IF(15&lt;$C$6,0,MIN($E$6,ROUNDUP($D$6+($E$6-$D$6)*3/12,0)))</f>
        <v>1</v>
      </c>
      <c r="S45" s="72" t="n">
        <f aca="false">IF(16&lt;$C$6,0,MIN($E$6,ROUNDUP($D$6+($E$6-$D$6)*4/12,0)))</f>
        <v>1</v>
      </c>
      <c r="T45" s="72" t="n">
        <f aca="false">IF(17&lt;$C$6,0,MIN($E$6,ROUNDUP($D$6+($E$6-$D$6)*5/12,0)))</f>
        <v>1</v>
      </c>
      <c r="U45" s="72" t="n">
        <f aca="false">IF(18&lt;$C$6,0,MIN($E$6,ROUNDUP($D$6+($E$6-$D$6)*6/12,0)))</f>
        <v>1</v>
      </c>
      <c r="V45" s="72" t="n">
        <f aca="false">IF(19&lt;$C$6,0,MIN($E$6,ROUNDUP($D$6+($E$6-$D$6)*7/12,0)))</f>
        <v>1</v>
      </c>
      <c r="W45" s="72" t="n">
        <f aca="false">IF(20&lt;$C$6,0,MIN($E$6,ROUNDUP($D$6+($E$6-$D$6)*8/12,0)))</f>
        <v>1</v>
      </c>
      <c r="X45" s="72" t="n">
        <f aca="false">IF(21&lt;$C$6,0,MIN($E$6,ROUNDUP($D$6+($E$6-$D$6)*9/12,0)))</f>
        <v>1</v>
      </c>
      <c r="Y45" s="72" t="n">
        <f aca="false">IF(22&lt;$C$6,0,MIN($E$6,ROUNDUP($D$6+($E$6-$D$6)*10/12,0)))</f>
        <v>1</v>
      </c>
      <c r="Z45" s="72" t="n">
        <f aca="false">IF(23&lt;$C$6,0,MIN($E$6,ROUNDUP($D$6+($E$6-$D$6)*11/12,0)))</f>
        <v>1</v>
      </c>
      <c r="AA45" s="72" t="n">
        <f aca="false">IF(24&lt;$C$6,0,MIN($E$6,ROUNDUP($D$6+($E$6-$D$6)*12/12,0)))</f>
        <v>1</v>
      </c>
      <c r="AB45" s="69" t="n">
        <f aca="false">AN45</f>
        <v>1</v>
      </c>
      <c r="AC45" s="72" t="n">
        <f aca="false">IF(25&lt;$C$6,0,MIN($F$6,ROUNDUP($E$6+($F$6-$E$6)*1/12,0)))</f>
        <v>1</v>
      </c>
      <c r="AD45" s="72" t="n">
        <f aca="false">IF(26&lt;$C$6,0,MIN($F$6,ROUNDUP($E$6+($F$6-$E$6)*2/12,0)))</f>
        <v>1</v>
      </c>
      <c r="AE45" s="72" t="n">
        <f aca="false">IF(27&lt;$C$6,0,MIN($F$6,ROUNDUP($E$6+($F$6-$E$6)*3/12,0)))</f>
        <v>1</v>
      </c>
      <c r="AF45" s="72" t="n">
        <f aca="false">IF(28&lt;$C$6,0,MIN($F$6,ROUNDUP($E$6+($F$6-$E$6)*4/12,0)))</f>
        <v>1</v>
      </c>
      <c r="AG45" s="72" t="n">
        <f aca="false">IF(29&lt;$C$6,0,MIN($F$6,ROUNDUP($E$6+($F$6-$E$6)*5/12,0)))</f>
        <v>1</v>
      </c>
      <c r="AH45" s="72" t="n">
        <f aca="false">IF(30&lt;$C$6,0,MIN($F$6,ROUNDUP($E$6+($F$6-$E$6)*6/12,0)))</f>
        <v>1</v>
      </c>
      <c r="AI45" s="72" t="n">
        <f aca="false">IF(31&lt;$C$6,0,MIN($F$6,ROUNDUP($E$6+($F$6-$E$6)*7/12,0)))</f>
        <v>1</v>
      </c>
      <c r="AJ45" s="72" t="n">
        <f aca="false">IF(32&lt;$C$6,0,MIN($F$6,ROUNDUP($E$6+($F$6-$E$6)*8/12,0)))</f>
        <v>1</v>
      </c>
      <c r="AK45" s="72" t="n">
        <f aca="false">IF(33&lt;$C$6,0,MIN($F$6,ROUNDUP($E$6+($F$6-$E$6)*9/12,0)))</f>
        <v>1</v>
      </c>
      <c r="AL45" s="72" t="n">
        <f aca="false">IF(34&lt;$C$6,0,MIN($F$6,ROUNDUP($E$6+($F$6-$E$6)*10/12,0)))</f>
        <v>1</v>
      </c>
      <c r="AM45" s="72" t="n">
        <f aca="false">IF(35&lt;$C$6,0,MIN($F$6,ROUNDUP($E$6+($F$6-$E$6)*11/12,0)))</f>
        <v>1</v>
      </c>
      <c r="AN45" s="72" t="n">
        <f aca="false">IF(36&lt;$C$6,0,MIN($F$6,ROUNDUP($E$6+($F$6-$E$6)*12/12,0)))</f>
        <v>1</v>
      </c>
      <c r="AO45" s="69" t="n">
        <f aca="false">BA45</f>
        <v>1</v>
      </c>
      <c r="AP45" s="72" t="n">
        <f aca="false">IF(37&lt;$C$6,0,MIN($G$6,ROUNDUP($F$6+($G$6-$F$6)*1/12,0)))</f>
        <v>1</v>
      </c>
      <c r="AQ45" s="72" t="n">
        <f aca="false">IF(38&lt;$C$6,0,MIN($G$6,ROUNDUP($F$6+($G$6-$F$6)*2/12,0)))</f>
        <v>1</v>
      </c>
      <c r="AR45" s="72" t="n">
        <f aca="false">IF(39&lt;$C$6,0,MIN($G$6,ROUNDUP($F$6+($G$6-$F$6)*3/12,0)))</f>
        <v>1</v>
      </c>
      <c r="AS45" s="72" t="n">
        <f aca="false">IF(40&lt;$C$6,0,MIN($G$6,ROUNDUP($F$6+($G$6-$F$6)*4/12,0)))</f>
        <v>1</v>
      </c>
      <c r="AT45" s="72" t="n">
        <f aca="false">IF(41&lt;$C$6,0,MIN($G$6,ROUNDUP($F$6+($G$6-$F$6)*5/12,0)))</f>
        <v>1</v>
      </c>
      <c r="AU45" s="72" t="n">
        <f aca="false">IF(42&lt;$C$6,0,MIN($G$6,ROUNDUP($F$6+($G$6-$F$6)*6/12,0)))</f>
        <v>1</v>
      </c>
      <c r="AV45" s="72" t="n">
        <f aca="false">IF(43&lt;$C$6,0,MIN($G$6,ROUNDUP($F$6+($G$6-$F$6)*7/12,0)))</f>
        <v>1</v>
      </c>
      <c r="AW45" s="72" t="n">
        <f aca="false">IF(44&lt;$C$6,0,MIN($G$6,ROUNDUP($F$6+($G$6-$F$6)*8/12,0)))</f>
        <v>1</v>
      </c>
      <c r="AX45" s="72" t="n">
        <f aca="false">IF(45&lt;$C$6,0,MIN($G$6,ROUNDUP($F$6+($G$6-$F$6)*9/12,0)))</f>
        <v>1</v>
      </c>
      <c r="AY45" s="72" t="n">
        <f aca="false">IF(46&lt;$C$6,0,MIN($G$6,ROUNDUP($F$6+($G$6-$F$6)*10/12,0)))</f>
        <v>1</v>
      </c>
      <c r="AZ45" s="72" t="n">
        <f aca="false">IF(47&lt;$C$6,0,MIN($G$6,ROUNDUP($F$6+($G$6-$F$6)*11/12,0)))</f>
        <v>1</v>
      </c>
      <c r="BA45" s="72" t="n">
        <f aca="false">IF(48&lt;$C$6,0,MIN($G$6,ROUNDUP($F$6+($G$6-$F$6)*12/12,0)))</f>
        <v>1</v>
      </c>
      <c r="BB45" s="69" t="n">
        <f aca="false">BN45</f>
        <v>1</v>
      </c>
      <c r="BC45" s="72" t="n">
        <f aca="false">IF(49&lt;$C$6,0,MIN($H$6,ROUNDUP($G$6+($H$6-$G$6)*1/12,0)))</f>
        <v>1</v>
      </c>
      <c r="BD45" s="72" t="n">
        <f aca="false">IF(50&lt;$C$6,0,MIN($H$6,ROUNDUP($G$6+($H$6-$G$6)*2/12,0)))</f>
        <v>1</v>
      </c>
      <c r="BE45" s="72" t="n">
        <f aca="false">IF(51&lt;$C$6,0,MIN($H$6,ROUNDUP($G$6+($H$6-$G$6)*3/12,0)))</f>
        <v>1</v>
      </c>
      <c r="BF45" s="72" t="n">
        <f aca="false">IF(52&lt;$C$6,0,MIN($H$6,ROUNDUP($G$6+($H$6-$G$6)*4/12,0)))</f>
        <v>1</v>
      </c>
      <c r="BG45" s="72" t="n">
        <f aca="false">IF(53&lt;$C$6,0,MIN($H$6,ROUNDUP($G$6+($H$6-$G$6)*5/12,0)))</f>
        <v>1</v>
      </c>
      <c r="BH45" s="72" t="n">
        <f aca="false">IF(54&lt;$C$6,0,MIN($H$6,ROUNDUP($G$6+($H$6-$G$6)*6/12,0)))</f>
        <v>1</v>
      </c>
      <c r="BI45" s="72" t="n">
        <f aca="false">IF(55&lt;$C$6,0,MIN($H$6,ROUNDUP($G$6+($H$6-$G$6)*7/12,0)))</f>
        <v>1</v>
      </c>
      <c r="BJ45" s="72" t="n">
        <f aca="false">IF(56&lt;$C$6,0,MIN($H$6,ROUNDUP($G$6+($H$6-$G$6)*8/12,0)))</f>
        <v>1</v>
      </c>
      <c r="BK45" s="72" t="n">
        <f aca="false">IF(57&lt;$C$6,0,MIN($H$6,ROUNDUP($G$6+($H$6-$G$6)*9/12,0)))</f>
        <v>1</v>
      </c>
      <c r="BL45" s="72" t="n">
        <f aca="false">IF(58&lt;$C$6,0,MIN($H$6,ROUNDUP($G$6+($H$6-$G$6)*10/12,0)))</f>
        <v>1</v>
      </c>
      <c r="BM45" s="72" t="n">
        <f aca="false">IF(59&lt;$C$6,0,MIN($H$6,ROUNDUP($G$6+($H$6-$G$6)*11/12,0)))</f>
        <v>1</v>
      </c>
      <c r="BN45" s="72" t="n">
        <f aca="false">IF(60&lt;$C$6,0,MIN($H$6,ROUNDUP($G$6+($H$6-$G$6)*12/12,0)))</f>
        <v>1</v>
      </c>
    </row>
    <row r="46" customFormat="false" ht="15" hidden="false" customHeight="false" outlineLevel="0" collapsed="false">
      <c r="A46" s="4" t="s">
        <v>834</v>
      </c>
      <c r="B46" s="69" t="n">
        <f aca="false">N46</f>
        <v>1</v>
      </c>
      <c r="C46" s="72" t="n">
        <f aca="false">IF(1&lt;$C$7,0,$D$7)</f>
        <v>1</v>
      </c>
      <c r="D46" s="72" t="n">
        <f aca="false">IF(2&lt;$C$7,0,$D$7)</f>
        <v>1</v>
      </c>
      <c r="E46" s="72" t="n">
        <f aca="false">IF(3&lt;$C$7,0,$D$7)</f>
        <v>1</v>
      </c>
      <c r="F46" s="72" t="n">
        <f aca="false">IF(4&lt;$C$7,0,$D$7)</f>
        <v>1</v>
      </c>
      <c r="G46" s="72" t="n">
        <f aca="false">IF(5&lt;$C$7,0,$D$7)</f>
        <v>1</v>
      </c>
      <c r="H46" s="72" t="n">
        <f aca="false">IF(6&lt;$C$7,0,$D$7)</f>
        <v>1</v>
      </c>
      <c r="I46" s="72" t="n">
        <f aca="false">IF(7&lt;$C$7,0,$D$7)</f>
        <v>1</v>
      </c>
      <c r="J46" s="72" t="n">
        <f aca="false">IF(8&lt;$C$7,0,$D$7)</f>
        <v>1</v>
      </c>
      <c r="K46" s="72" t="n">
        <f aca="false">IF(9&lt;$C$7,0,$D$7)</f>
        <v>1</v>
      </c>
      <c r="L46" s="72" t="n">
        <f aca="false">IF(10&lt;$C$7,0,$D$7)</f>
        <v>1</v>
      </c>
      <c r="M46" s="72" t="n">
        <f aca="false">IF(11&lt;$C$7,0,$D$7)</f>
        <v>1</v>
      </c>
      <c r="N46" s="72" t="n">
        <f aca="false">IF(12&lt;$C$7,0,$D$7)</f>
        <v>1</v>
      </c>
      <c r="O46" s="69" t="n">
        <f aca="false">AA46</f>
        <v>1</v>
      </c>
      <c r="P46" s="72" t="n">
        <f aca="false">IF(13&lt;$C$7,0,MIN($E$7,ROUNDUP($D$7+($E$7-$D$7)*1/12,0)))</f>
        <v>1</v>
      </c>
      <c r="Q46" s="72" t="n">
        <f aca="false">IF(14&lt;$C$7,0,MIN($E$7,ROUNDUP($D$7+($E$7-$D$7)*2/12,0)))</f>
        <v>1</v>
      </c>
      <c r="R46" s="72" t="n">
        <f aca="false">IF(15&lt;$C$7,0,MIN($E$7,ROUNDUP($D$7+($E$7-$D$7)*3/12,0)))</f>
        <v>1</v>
      </c>
      <c r="S46" s="72" t="n">
        <f aca="false">IF(16&lt;$C$7,0,MIN($E$7,ROUNDUP($D$7+($E$7-$D$7)*4/12,0)))</f>
        <v>1</v>
      </c>
      <c r="T46" s="72" t="n">
        <f aca="false">IF(17&lt;$C$7,0,MIN($E$7,ROUNDUP($D$7+($E$7-$D$7)*5/12,0)))</f>
        <v>1</v>
      </c>
      <c r="U46" s="72" t="n">
        <f aca="false">IF(18&lt;$C$7,0,MIN($E$7,ROUNDUP($D$7+($E$7-$D$7)*6/12,0)))</f>
        <v>1</v>
      </c>
      <c r="V46" s="72" t="n">
        <f aca="false">IF(19&lt;$C$7,0,MIN($E$7,ROUNDUP($D$7+($E$7-$D$7)*7/12,0)))</f>
        <v>1</v>
      </c>
      <c r="W46" s="72" t="n">
        <f aca="false">IF(20&lt;$C$7,0,MIN($E$7,ROUNDUP($D$7+($E$7-$D$7)*8/12,0)))</f>
        <v>1</v>
      </c>
      <c r="X46" s="72" t="n">
        <f aca="false">IF(21&lt;$C$7,0,MIN($E$7,ROUNDUP($D$7+($E$7-$D$7)*9/12,0)))</f>
        <v>1</v>
      </c>
      <c r="Y46" s="72" t="n">
        <f aca="false">IF(22&lt;$C$7,0,MIN($E$7,ROUNDUP($D$7+($E$7-$D$7)*10/12,0)))</f>
        <v>1</v>
      </c>
      <c r="Z46" s="72" t="n">
        <f aca="false">IF(23&lt;$C$7,0,MIN($E$7,ROUNDUP($D$7+($E$7-$D$7)*11/12,0)))</f>
        <v>1</v>
      </c>
      <c r="AA46" s="72" t="n">
        <f aca="false">IF(24&lt;$C$7,0,MIN($E$7,ROUNDUP($D$7+($E$7-$D$7)*12/12,0)))</f>
        <v>1</v>
      </c>
      <c r="AB46" s="69" t="n">
        <f aca="false">AN46</f>
        <v>1</v>
      </c>
      <c r="AC46" s="72" t="n">
        <f aca="false">IF(25&lt;$C$7,0,MIN($F$7,ROUNDUP($E$7+($F$7-$E$7)*1/12,0)))</f>
        <v>1</v>
      </c>
      <c r="AD46" s="72" t="n">
        <f aca="false">IF(26&lt;$C$7,0,MIN($F$7,ROUNDUP($E$7+($F$7-$E$7)*2/12,0)))</f>
        <v>1</v>
      </c>
      <c r="AE46" s="72" t="n">
        <f aca="false">IF(27&lt;$C$7,0,MIN($F$7,ROUNDUP($E$7+($F$7-$E$7)*3/12,0)))</f>
        <v>1</v>
      </c>
      <c r="AF46" s="72" t="n">
        <f aca="false">IF(28&lt;$C$7,0,MIN($F$7,ROUNDUP($E$7+($F$7-$E$7)*4/12,0)))</f>
        <v>1</v>
      </c>
      <c r="AG46" s="72" t="n">
        <f aca="false">IF(29&lt;$C$7,0,MIN($F$7,ROUNDUP($E$7+($F$7-$E$7)*5/12,0)))</f>
        <v>1</v>
      </c>
      <c r="AH46" s="72" t="n">
        <f aca="false">IF(30&lt;$C$7,0,MIN($F$7,ROUNDUP($E$7+($F$7-$E$7)*6/12,0)))</f>
        <v>1</v>
      </c>
      <c r="AI46" s="72" t="n">
        <f aca="false">IF(31&lt;$C$7,0,MIN($F$7,ROUNDUP($E$7+($F$7-$E$7)*7/12,0)))</f>
        <v>1</v>
      </c>
      <c r="AJ46" s="72" t="n">
        <f aca="false">IF(32&lt;$C$7,0,MIN($F$7,ROUNDUP($E$7+($F$7-$E$7)*8/12,0)))</f>
        <v>1</v>
      </c>
      <c r="AK46" s="72" t="n">
        <f aca="false">IF(33&lt;$C$7,0,MIN($F$7,ROUNDUP($E$7+($F$7-$E$7)*9/12,0)))</f>
        <v>1</v>
      </c>
      <c r="AL46" s="72" t="n">
        <f aca="false">IF(34&lt;$C$7,0,MIN($F$7,ROUNDUP($E$7+($F$7-$E$7)*10/12,0)))</f>
        <v>1</v>
      </c>
      <c r="AM46" s="72" t="n">
        <f aca="false">IF(35&lt;$C$7,0,MIN($F$7,ROUNDUP($E$7+($F$7-$E$7)*11/12,0)))</f>
        <v>1</v>
      </c>
      <c r="AN46" s="72" t="n">
        <f aca="false">IF(36&lt;$C$7,0,MIN($F$7,ROUNDUP($E$7+($F$7-$E$7)*12/12,0)))</f>
        <v>1</v>
      </c>
      <c r="AO46" s="69" t="n">
        <f aca="false">BA46</f>
        <v>1</v>
      </c>
      <c r="AP46" s="72" t="n">
        <f aca="false">IF(37&lt;$C$7,0,MIN($G$7,ROUNDUP($F$7+($G$7-$F$7)*1/12,0)))</f>
        <v>1</v>
      </c>
      <c r="AQ46" s="72" t="n">
        <f aca="false">IF(38&lt;$C$7,0,MIN($G$7,ROUNDUP($F$7+($G$7-$F$7)*2/12,0)))</f>
        <v>1</v>
      </c>
      <c r="AR46" s="72" t="n">
        <f aca="false">IF(39&lt;$C$7,0,MIN($G$7,ROUNDUP($F$7+($G$7-$F$7)*3/12,0)))</f>
        <v>1</v>
      </c>
      <c r="AS46" s="72" t="n">
        <f aca="false">IF(40&lt;$C$7,0,MIN($G$7,ROUNDUP($F$7+($G$7-$F$7)*4/12,0)))</f>
        <v>1</v>
      </c>
      <c r="AT46" s="72" t="n">
        <f aca="false">IF(41&lt;$C$7,0,MIN($G$7,ROUNDUP($F$7+($G$7-$F$7)*5/12,0)))</f>
        <v>1</v>
      </c>
      <c r="AU46" s="72" t="n">
        <f aca="false">IF(42&lt;$C$7,0,MIN($G$7,ROUNDUP($F$7+($G$7-$F$7)*6/12,0)))</f>
        <v>1</v>
      </c>
      <c r="AV46" s="72" t="n">
        <f aca="false">IF(43&lt;$C$7,0,MIN($G$7,ROUNDUP($F$7+($G$7-$F$7)*7/12,0)))</f>
        <v>1</v>
      </c>
      <c r="AW46" s="72" t="n">
        <f aca="false">IF(44&lt;$C$7,0,MIN($G$7,ROUNDUP($F$7+($G$7-$F$7)*8/12,0)))</f>
        <v>1</v>
      </c>
      <c r="AX46" s="72" t="n">
        <f aca="false">IF(45&lt;$C$7,0,MIN($G$7,ROUNDUP($F$7+($G$7-$F$7)*9/12,0)))</f>
        <v>1</v>
      </c>
      <c r="AY46" s="72" t="n">
        <f aca="false">IF(46&lt;$C$7,0,MIN($G$7,ROUNDUP($F$7+($G$7-$F$7)*10/12,0)))</f>
        <v>1</v>
      </c>
      <c r="AZ46" s="72" t="n">
        <f aca="false">IF(47&lt;$C$7,0,MIN($G$7,ROUNDUP($F$7+($G$7-$F$7)*11/12,0)))</f>
        <v>1</v>
      </c>
      <c r="BA46" s="72" t="n">
        <f aca="false">IF(48&lt;$C$7,0,MIN($G$7,ROUNDUP($F$7+($G$7-$F$7)*12/12,0)))</f>
        <v>1</v>
      </c>
      <c r="BB46" s="69" t="n">
        <f aca="false">BN46</f>
        <v>1</v>
      </c>
      <c r="BC46" s="72" t="n">
        <f aca="false">IF(49&lt;$C$7,0,MIN($H$7,ROUNDUP($G$7+($H$7-$G$7)*1/12,0)))</f>
        <v>1</v>
      </c>
      <c r="BD46" s="72" t="n">
        <f aca="false">IF(50&lt;$C$7,0,MIN($H$7,ROUNDUP($G$7+($H$7-$G$7)*2/12,0)))</f>
        <v>1</v>
      </c>
      <c r="BE46" s="72" t="n">
        <f aca="false">IF(51&lt;$C$7,0,MIN($H$7,ROUNDUP($G$7+($H$7-$G$7)*3/12,0)))</f>
        <v>1</v>
      </c>
      <c r="BF46" s="72" t="n">
        <f aca="false">IF(52&lt;$C$7,0,MIN($H$7,ROUNDUP($G$7+($H$7-$G$7)*4/12,0)))</f>
        <v>1</v>
      </c>
      <c r="BG46" s="72" t="n">
        <f aca="false">IF(53&lt;$C$7,0,MIN($H$7,ROUNDUP($G$7+($H$7-$G$7)*5/12,0)))</f>
        <v>1</v>
      </c>
      <c r="BH46" s="72" t="n">
        <f aca="false">IF(54&lt;$C$7,0,MIN($H$7,ROUNDUP($G$7+($H$7-$G$7)*6/12,0)))</f>
        <v>1</v>
      </c>
      <c r="BI46" s="72" t="n">
        <f aca="false">IF(55&lt;$C$7,0,MIN($H$7,ROUNDUP($G$7+($H$7-$G$7)*7/12,0)))</f>
        <v>1</v>
      </c>
      <c r="BJ46" s="72" t="n">
        <f aca="false">IF(56&lt;$C$7,0,MIN($H$7,ROUNDUP($G$7+($H$7-$G$7)*8/12,0)))</f>
        <v>1</v>
      </c>
      <c r="BK46" s="72" t="n">
        <f aca="false">IF(57&lt;$C$7,0,MIN($H$7,ROUNDUP($G$7+($H$7-$G$7)*9/12,0)))</f>
        <v>1</v>
      </c>
      <c r="BL46" s="72" t="n">
        <f aca="false">IF(58&lt;$C$7,0,MIN($H$7,ROUNDUP($G$7+($H$7-$G$7)*10/12,0)))</f>
        <v>1</v>
      </c>
      <c r="BM46" s="72" t="n">
        <f aca="false">IF(59&lt;$C$7,0,MIN($H$7,ROUNDUP($G$7+($H$7-$G$7)*11/12,0)))</f>
        <v>1</v>
      </c>
      <c r="BN46" s="72" t="n">
        <f aca="false">IF(60&lt;$C$7,0,MIN($H$7,ROUNDUP($G$7+($H$7-$G$7)*12/12,0)))</f>
        <v>1</v>
      </c>
    </row>
    <row r="47" customFormat="false" ht="15" hidden="false" customHeight="false" outlineLevel="0" collapsed="false">
      <c r="A47" s="4" t="s">
        <v>835</v>
      </c>
      <c r="B47" s="69" t="n">
        <f aca="false">N47</f>
        <v>1</v>
      </c>
      <c r="C47" s="72" t="n">
        <f aca="false">IF(1&lt;$C$8,0,$D$8)</f>
        <v>1</v>
      </c>
      <c r="D47" s="72" t="n">
        <f aca="false">IF(2&lt;$C$8,0,$D$8)</f>
        <v>1</v>
      </c>
      <c r="E47" s="72" t="n">
        <f aca="false">IF(3&lt;$C$8,0,$D$8)</f>
        <v>1</v>
      </c>
      <c r="F47" s="72" t="n">
        <f aca="false">IF(4&lt;$C$8,0,$D$8)</f>
        <v>1</v>
      </c>
      <c r="G47" s="72" t="n">
        <f aca="false">IF(5&lt;$C$8,0,$D$8)</f>
        <v>1</v>
      </c>
      <c r="H47" s="72" t="n">
        <f aca="false">IF(6&lt;$C$8,0,$D$8)</f>
        <v>1</v>
      </c>
      <c r="I47" s="72" t="n">
        <f aca="false">IF(7&lt;$C$8,0,$D$8)</f>
        <v>1</v>
      </c>
      <c r="J47" s="72" t="n">
        <f aca="false">IF(8&lt;$C$8,0,$D$8)</f>
        <v>1</v>
      </c>
      <c r="K47" s="72" t="n">
        <f aca="false">IF(9&lt;$C$8,0,$D$8)</f>
        <v>1</v>
      </c>
      <c r="L47" s="72" t="n">
        <f aca="false">IF(10&lt;$C$8,0,$D$8)</f>
        <v>1</v>
      </c>
      <c r="M47" s="72" t="n">
        <f aca="false">IF(11&lt;$C$8,0,$D$8)</f>
        <v>1</v>
      </c>
      <c r="N47" s="72" t="n">
        <f aca="false">IF(12&lt;$C$8,0,$D$8)</f>
        <v>1</v>
      </c>
      <c r="O47" s="69" t="n">
        <f aca="false">AA47</f>
        <v>1</v>
      </c>
      <c r="P47" s="72" t="n">
        <f aca="false">IF(13&lt;$C$8,0,MIN($E$8,ROUNDUP($D$8+($E$8-$D$8)*1/12,0)))</f>
        <v>1</v>
      </c>
      <c r="Q47" s="72" t="n">
        <f aca="false">IF(14&lt;$C$8,0,MIN($E$8,ROUNDUP($D$8+($E$8-$D$8)*2/12,0)))</f>
        <v>1</v>
      </c>
      <c r="R47" s="72" t="n">
        <f aca="false">IF(15&lt;$C$8,0,MIN($E$8,ROUNDUP($D$8+($E$8-$D$8)*3/12,0)))</f>
        <v>1</v>
      </c>
      <c r="S47" s="72" t="n">
        <f aca="false">IF(16&lt;$C$8,0,MIN($E$8,ROUNDUP($D$8+($E$8-$D$8)*4/12,0)))</f>
        <v>1</v>
      </c>
      <c r="T47" s="72" t="n">
        <f aca="false">IF(17&lt;$C$8,0,MIN($E$8,ROUNDUP($D$8+($E$8-$D$8)*5/12,0)))</f>
        <v>1</v>
      </c>
      <c r="U47" s="72" t="n">
        <f aca="false">IF(18&lt;$C$8,0,MIN($E$8,ROUNDUP($D$8+($E$8-$D$8)*6/12,0)))</f>
        <v>1</v>
      </c>
      <c r="V47" s="72" t="n">
        <f aca="false">IF(19&lt;$C$8,0,MIN($E$8,ROUNDUP($D$8+($E$8-$D$8)*7/12,0)))</f>
        <v>1</v>
      </c>
      <c r="W47" s="72" t="n">
        <f aca="false">IF(20&lt;$C$8,0,MIN($E$8,ROUNDUP($D$8+($E$8-$D$8)*8/12,0)))</f>
        <v>1</v>
      </c>
      <c r="X47" s="72" t="n">
        <f aca="false">IF(21&lt;$C$8,0,MIN($E$8,ROUNDUP($D$8+($E$8-$D$8)*9/12,0)))</f>
        <v>1</v>
      </c>
      <c r="Y47" s="72" t="n">
        <f aca="false">IF(22&lt;$C$8,0,MIN($E$8,ROUNDUP($D$8+($E$8-$D$8)*10/12,0)))</f>
        <v>1</v>
      </c>
      <c r="Z47" s="72" t="n">
        <f aca="false">IF(23&lt;$C$8,0,MIN($E$8,ROUNDUP($D$8+($E$8-$D$8)*11/12,0)))</f>
        <v>1</v>
      </c>
      <c r="AA47" s="72" t="n">
        <f aca="false">IF(24&lt;$C$8,0,MIN($E$8,ROUNDUP($D$8+($E$8-$D$8)*12/12,0)))</f>
        <v>1</v>
      </c>
      <c r="AB47" s="69" t="n">
        <f aca="false">AN47</f>
        <v>1</v>
      </c>
      <c r="AC47" s="72" t="n">
        <f aca="false">IF(25&lt;$C$8,0,MIN($F$8,ROUNDUP($E$8+($F$8-$E$8)*1/12,0)))</f>
        <v>1</v>
      </c>
      <c r="AD47" s="72" t="n">
        <f aca="false">IF(26&lt;$C$8,0,MIN($F$8,ROUNDUP($E$8+($F$8-$E$8)*2/12,0)))</f>
        <v>1</v>
      </c>
      <c r="AE47" s="72" t="n">
        <f aca="false">IF(27&lt;$C$8,0,MIN($F$8,ROUNDUP($E$8+($F$8-$E$8)*3/12,0)))</f>
        <v>1</v>
      </c>
      <c r="AF47" s="72" t="n">
        <f aca="false">IF(28&lt;$C$8,0,MIN($F$8,ROUNDUP($E$8+($F$8-$E$8)*4/12,0)))</f>
        <v>1</v>
      </c>
      <c r="AG47" s="72" t="n">
        <f aca="false">IF(29&lt;$C$8,0,MIN($F$8,ROUNDUP($E$8+($F$8-$E$8)*5/12,0)))</f>
        <v>1</v>
      </c>
      <c r="AH47" s="72" t="n">
        <f aca="false">IF(30&lt;$C$8,0,MIN($F$8,ROUNDUP($E$8+($F$8-$E$8)*6/12,0)))</f>
        <v>1</v>
      </c>
      <c r="AI47" s="72" t="n">
        <f aca="false">IF(31&lt;$C$8,0,MIN($F$8,ROUNDUP($E$8+($F$8-$E$8)*7/12,0)))</f>
        <v>1</v>
      </c>
      <c r="AJ47" s="72" t="n">
        <f aca="false">IF(32&lt;$C$8,0,MIN($F$8,ROUNDUP($E$8+($F$8-$E$8)*8/12,0)))</f>
        <v>1</v>
      </c>
      <c r="AK47" s="72" t="n">
        <f aca="false">IF(33&lt;$C$8,0,MIN($F$8,ROUNDUP($E$8+($F$8-$E$8)*9/12,0)))</f>
        <v>1</v>
      </c>
      <c r="AL47" s="72" t="n">
        <f aca="false">IF(34&lt;$C$8,0,MIN($F$8,ROUNDUP($E$8+($F$8-$E$8)*10/12,0)))</f>
        <v>1</v>
      </c>
      <c r="AM47" s="72" t="n">
        <f aca="false">IF(35&lt;$C$8,0,MIN($F$8,ROUNDUP($E$8+($F$8-$E$8)*11/12,0)))</f>
        <v>1</v>
      </c>
      <c r="AN47" s="72" t="n">
        <f aca="false">IF(36&lt;$C$8,0,MIN($F$8,ROUNDUP($E$8+($F$8-$E$8)*12/12,0)))</f>
        <v>1</v>
      </c>
      <c r="AO47" s="69" t="n">
        <f aca="false">BA47</f>
        <v>1</v>
      </c>
      <c r="AP47" s="72" t="n">
        <f aca="false">IF(37&lt;$C$8,0,MIN($G$8,ROUNDUP($F$8+($G$8-$F$8)*1/12,0)))</f>
        <v>1</v>
      </c>
      <c r="AQ47" s="72" t="n">
        <f aca="false">IF(38&lt;$C$8,0,MIN($G$8,ROUNDUP($F$8+($G$8-$F$8)*2/12,0)))</f>
        <v>1</v>
      </c>
      <c r="AR47" s="72" t="n">
        <f aca="false">IF(39&lt;$C$8,0,MIN($G$8,ROUNDUP($F$8+($G$8-$F$8)*3/12,0)))</f>
        <v>1</v>
      </c>
      <c r="AS47" s="72" t="n">
        <f aca="false">IF(40&lt;$C$8,0,MIN($G$8,ROUNDUP($F$8+($G$8-$F$8)*4/12,0)))</f>
        <v>1</v>
      </c>
      <c r="AT47" s="72" t="n">
        <f aca="false">IF(41&lt;$C$8,0,MIN($G$8,ROUNDUP($F$8+($G$8-$F$8)*5/12,0)))</f>
        <v>1</v>
      </c>
      <c r="AU47" s="72" t="n">
        <f aca="false">IF(42&lt;$C$8,0,MIN($G$8,ROUNDUP($F$8+($G$8-$F$8)*6/12,0)))</f>
        <v>1</v>
      </c>
      <c r="AV47" s="72" t="n">
        <f aca="false">IF(43&lt;$C$8,0,MIN($G$8,ROUNDUP($F$8+($G$8-$F$8)*7/12,0)))</f>
        <v>1</v>
      </c>
      <c r="AW47" s="72" t="n">
        <f aca="false">IF(44&lt;$C$8,0,MIN($G$8,ROUNDUP($F$8+($G$8-$F$8)*8/12,0)))</f>
        <v>1</v>
      </c>
      <c r="AX47" s="72" t="n">
        <f aca="false">IF(45&lt;$C$8,0,MIN($G$8,ROUNDUP($F$8+($G$8-$F$8)*9/12,0)))</f>
        <v>1</v>
      </c>
      <c r="AY47" s="72" t="n">
        <f aca="false">IF(46&lt;$C$8,0,MIN($G$8,ROUNDUP($F$8+($G$8-$F$8)*10/12,0)))</f>
        <v>1</v>
      </c>
      <c r="AZ47" s="72" t="n">
        <f aca="false">IF(47&lt;$C$8,0,MIN($G$8,ROUNDUP($F$8+($G$8-$F$8)*11/12,0)))</f>
        <v>1</v>
      </c>
      <c r="BA47" s="72" t="n">
        <f aca="false">IF(48&lt;$C$8,0,MIN($G$8,ROUNDUP($F$8+($G$8-$F$8)*12/12,0)))</f>
        <v>1</v>
      </c>
      <c r="BB47" s="69" t="n">
        <f aca="false">BN47</f>
        <v>1</v>
      </c>
      <c r="BC47" s="72" t="n">
        <f aca="false">IF(49&lt;$C$8,0,MIN($H$8,ROUNDUP($G$8+($H$8-$G$8)*1/12,0)))</f>
        <v>1</v>
      </c>
      <c r="BD47" s="72" t="n">
        <f aca="false">IF(50&lt;$C$8,0,MIN($H$8,ROUNDUP($G$8+($H$8-$G$8)*2/12,0)))</f>
        <v>1</v>
      </c>
      <c r="BE47" s="72" t="n">
        <f aca="false">IF(51&lt;$C$8,0,MIN($H$8,ROUNDUP($G$8+($H$8-$G$8)*3/12,0)))</f>
        <v>1</v>
      </c>
      <c r="BF47" s="72" t="n">
        <f aca="false">IF(52&lt;$C$8,0,MIN($H$8,ROUNDUP($G$8+($H$8-$G$8)*4/12,0)))</f>
        <v>1</v>
      </c>
      <c r="BG47" s="72" t="n">
        <f aca="false">IF(53&lt;$C$8,0,MIN($H$8,ROUNDUP($G$8+($H$8-$G$8)*5/12,0)))</f>
        <v>1</v>
      </c>
      <c r="BH47" s="72" t="n">
        <f aca="false">IF(54&lt;$C$8,0,MIN($H$8,ROUNDUP($G$8+($H$8-$G$8)*6/12,0)))</f>
        <v>1</v>
      </c>
      <c r="BI47" s="72" t="n">
        <f aca="false">IF(55&lt;$C$8,0,MIN($H$8,ROUNDUP($G$8+($H$8-$G$8)*7/12,0)))</f>
        <v>1</v>
      </c>
      <c r="BJ47" s="72" t="n">
        <f aca="false">IF(56&lt;$C$8,0,MIN($H$8,ROUNDUP($G$8+($H$8-$G$8)*8/12,0)))</f>
        <v>1</v>
      </c>
      <c r="BK47" s="72" t="n">
        <f aca="false">IF(57&lt;$C$8,0,MIN($H$8,ROUNDUP($G$8+($H$8-$G$8)*9/12,0)))</f>
        <v>1</v>
      </c>
      <c r="BL47" s="72" t="n">
        <f aca="false">IF(58&lt;$C$8,0,MIN($H$8,ROUNDUP($G$8+($H$8-$G$8)*10/12,0)))</f>
        <v>1</v>
      </c>
      <c r="BM47" s="72" t="n">
        <f aca="false">IF(59&lt;$C$8,0,MIN($H$8,ROUNDUP($G$8+($H$8-$G$8)*11/12,0)))</f>
        <v>1</v>
      </c>
      <c r="BN47" s="72" t="n">
        <f aca="false">IF(60&lt;$C$8,0,MIN($H$8,ROUNDUP($G$8+($H$8-$G$8)*12/12,0)))</f>
        <v>1</v>
      </c>
    </row>
    <row r="48" customFormat="false" ht="15" hidden="false" customHeight="false" outlineLevel="0" collapsed="false">
      <c r="A48" s="4" t="s">
        <v>836</v>
      </c>
      <c r="B48" s="69" t="n">
        <f aca="false">N48</f>
        <v>1</v>
      </c>
      <c r="C48" s="72" t="n">
        <f aca="false">IF(1&lt;$C$9,0,$D$9)</f>
        <v>1</v>
      </c>
      <c r="D48" s="72" t="n">
        <f aca="false">IF(2&lt;$C$9,0,$D$9)</f>
        <v>1</v>
      </c>
      <c r="E48" s="72" t="n">
        <f aca="false">IF(3&lt;$C$9,0,$D$9)</f>
        <v>1</v>
      </c>
      <c r="F48" s="72" t="n">
        <f aca="false">IF(4&lt;$C$9,0,$D$9)</f>
        <v>1</v>
      </c>
      <c r="G48" s="72" t="n">
        <f aca="false">IF(5&lt;$C$9,0,$D$9)</f>
        <v>1</v>
      </c>
      <c r="H48" s="72" t="n">
        <f aca="false">IF(6&lt;$C$9,0,$D$9)</f>
        <v>1</v>
      </c>
      <c r="I48" s="72" t="n">
        <f aca="false">IF(7&lt;$C$9,0,$D$9)</f>
        <v>1</v>
      </c>
      <c r="J48" s="72" t="n">
        <f aca="false">IF(8&lt;$C$9,0,$D$9)</f>
        <v>1</v>
      </c>
      <c r="K48" s="72" t="n">
        <f aca="false">IF(9&lt;$C$9,0,$D$9)</f>
        <v>1</v>
      </c>
      <c r="L48" s="72" t="n">
        <f aca="false">IF(10&lt;$C$9,0,$D$9)</f>
        <v>1</v>
      </c>
      <c r="M48" s="72" t="n">
        <f aca="false">IF(11&lt;$C$9,0,$D$9)</f>
        <v>1</v>
      </c>
      <c r="N48" s="72" t="n">
        <f aca="false">IF(12&lt;$C$9,0,$D$9)</f>
        <v>1</v>
      </c>
      <c r="O48" s="69" t="n">
        <f aca="false">AA48</f>
        <v>1</v>
      </c>
      <c r="P48" s="72" t="n">
        <f aca="false">IF(13&lt;$C$9,0,MIN($E$9,ROUNDUP($D$9+($E$9-$D$9)*1/12,0)))</f>
        <v>1</v>
      </c>
      <c r="Q48" s="72" t="n">
        <f aca="false">IF(14&lt;$C$9,0,MIN($E$9,ROUNDUP($D$9+($E$9-$D$9)*2/12,0)))</f>
        <v>1</v>
      </c>
      <c r="R48" s="72" t="n">
        <f aca="false">IF(15&lt;$C$9,0,MIN($E$9,ROUNDUP($D$9+($E$9-$D$9)*3/12,0)))</f>
        <v>1</v>
      </c>
      <c r="S48" s="72" t="n">
        <f aca="false">IF(16&lt;$C$9,0,MIN($E$9,ROUNDUP($D$9+($E$9-$D$9)*4/12,0)))</f>
        <v>1</v>
      </c>
      <c r="T48" s="72" t="n">
        <f aca="false">IF(17&lt;$C$9,0,MIN($E$9,ROUNDUP($D$9+($E$9-$D$9)*5/12,0)))</f>
        <v>1</v>
      </c>
      <c r="U48" s="72" t="n">
        <f aca="false">IF(18&lt;$C$9,0,MIN($E$9,ROUNDUP($D$9+($E$9-$D$9)*6/12,0)))</f>
        <v>1</v>
      </c>
      <c r="V48" s="72" t="n">
        <f aca="false">IF(19&lt;$C$9,0,MIN($E$9,ROUNDUP($D$9+($E$9-$D$9)*7/12,0)))</f>
        <v>1</v>
      </c>
      <c r="W48" s="72" t="n">
        <f aca="false">IF(20&lt;$C$9,0,MIN($E$9,ROUNDUP($D$9+($E$9-$D$9)*8/12,0)))</f>
        <v>1</v>
      </c>
      <c r="X48" s="72" t="n">
        <f aca="false">IF(21&lt;$C$9,0,MIN($E$9,ROUNDUP($D$9+($E$9-$D$9)*9/12,0)))</f>
        <v>1</v>
      </c>
      <c r="Y48" s="72" t="n">
        <f aca="false">IF(22&lt;$C$9,0,MIN($E$9,ROUNDUP($D$9+($E$9-$D$9)*10/12,0)))</f>
        <v>1</v>
      </c>
      <c r="Z48" s="72" t="n">
        <f aca="false">IF(23&lt;$C$9,0,MIN($E$9,ROUNDUP($D$9+($E$9-$D$9)*11/12,0)))</f>
        <v>1</v>
      </c>
      <c r="AA48" s="72" t="n">
        <f aca="false">IF(24&lt;$C$9,0,MIN($E$9,ROUNDUP($D$9+($E$9-$D$9)*12/12,0)))</f>
        <v>1</v>
      </c>
      <c r="AB48" s="69" t="n">
        <f aca="false">AN48</f>
        <v>2</v>
      </c>
      <c r="AC48" s="72" t="n">
        <f aca="false">IF(25&lt;$C$9,0,MIN($F$9,ROUNDUP($E$9+($F$9-$E$9)*1/12,0)))</f>
        <v>2</v>
      </c>
      <c r="AD48" s="72" t="n">
        <f aca="false">IF(26&lt;$C$9,0,MIN($F$9,ROUNDUP($E$9+($F$9-$E$9)*2/12,0)))</f>
        <v>2</v>
      </c>
      <c r="AE48" s="72" t="n">
        <f aca="false">IF(27&lt;$C$9,0,MIN($F$9,ROUNDUP($E$9+($F$9-$E$9)*3/12,0)))</f>
        <v>2</v>
      </c>
      <c r="AF48" s="72" t="n">
        <f aca="false">IF(28&lt;$C$9,0,MIN($F$9,ROUNDUP($E$9+($F$9-$E$9)*4/12,0)))</f>
        <v>2</v>
      </c>
      <c r="AG48" s="72" t="n">
        <f aca="false">IF(29&lt;$C$9,0,MIN($F$9,ROUNDUP($E$9+($F$9-$E$9)*5/12,0)))</f>
        <v>2</v>
      </c>
      <c r="AH48" s="72" t="n">
        <f aca="false">IF(30&lt;$C$9,0,MIN($F$9,ROUNDUP($E$9+($F$9-$E$9)*6/12,0)))</f>
        <v>2</v>
      </c>
      <c r="AI48" s="72" t="n">
        <f aca="false">IF(31&lt;$C$9,0,MIN($F$9,ROUNDUP($E$9+($F$9-$E$9)*7/12,0)))</f>
        <v>2</v>
      </c>
      <c r="AJ48" s="72" t="n">
        <f aca="false">IF(32&lt;$C$9,0,MIN($F$9,ROUNDUP($E$9+($F$9-$E$9)*8/12,0)))</f>
        <v>2</v>
      </c>
      <c r="AK48" s="72" t="n">
        <f aca="false">IF(33&lt;$C$9,0,MIN($F$9,ROUNDUP($E$9+($F$9-$E$9)*9/12,0)))</f>
        <v>2</v>
      </c>
      <c r="AL48" s="72" t="n">
        <f aca="false">IF(34&lt;$C$9,0,MIN($F$9,ROUNDUP($E$9+($F$9-$E$9)*10/12,0)))</f>
        <v>2</v>
      </c>
      <c r="AM48" s="72" t="n">
        <f aca="false">IF(35&lt;$C$9,0,MIN($F$9,ROUNDUP($E$9+($F$9-$E$9)*11/12,0)))</f>
        <v>2</v>
      </c>
      <c r="AN48" s="72" t="n">
        <f aca="false">IF(36&lt;$C$9,0,MIN($F$9,ROUNDUP($E$9+($F$9-$E$9)*12/12,0)))</f>
        <v>2</v>
      </c>
      <c r="AO48" s="69" t="n">
        <f aca="false">BA48</f>
        <v>2</v>
      </c>
      <c r="AP48" s="72" t="n">
        <f aca="false">IF(37&lt;$C$9,0,MIN($G$9,ROUNDUP($F$9+($G$9-$F$9)*1/12,0)))</f>
        <v>2</v>
      </c>
      <c r="AQ48" s="72" t="n">
        <f aca="false">IF(38&lt;$C$9,0,MIN($G$9,ROUNDUP($F$9+($G$9-$F$9)*2/12,0)))</f>
        <v>2</v>
      </c>
      <c r="AR48" s="72" t="n">
        <f aca="false">IF(39&lt;$C$9,0,MIN($G$9,ROUNDUP($F$9+($G$9-$F$9)*3/12,0)))</f>
        <v>2</v>
      </c>
      <c r="AS48" s="72" t="n">
        <f aca="false">IF(40&lt;$C$9,0,MIN($G$9,ROUNDUP($F$9+($G$9-$F$9)*4/12,0)))</f>
        <v>2</v>
      </c>
      <c r="AT48" s="72" t="n">
        <f aca="false">IF(41&lt;$C$9,0,MIN($G$9,ROUNDUP($F$9+($G$9-$F$9)*5/12,0)))</f>
        <v>2</v>
      </c>
      <c r="AU48" s="72" t="n">
        <f aca="false">IF(42&lt;$C$9,0,MIN($G$9,ROUNDUP($F$9+($G$9-$F$9)*6/12,0)))</f>
        <v>2</v>
      </c>
      <c r="AV48" s="72" t="n">
        <f aca="false">IF(43&lt;$C$9,0,MIN($G$9,ROUNDUP($F$9+($G$9-$F$9)*7/12,0)))</f>
        <v>2</v>
      </c>
      <c r="AW48" s="72" t="n">
        <f aca="false">IF(44&lt;$C$9,0,MIN($G$9,ROUNDUP($F$9+($G$9-$F$9)*8/12,0)))</f>
        <v>2</v>
      </c>
      <c r="AX48" s="72" t="n">
        <f aca="false">IF(45&lt;$C$9,0,MIN($G$9,ROUNDUP($F$9+($G$9-$F$9)*9/12,0)))</f>
        <v>2</v>
      </c>
      <c r="AY48" s="72" t="n">
        <f aca="false">IF(46&lt;$C$9,0,MIN($G$9,ROUNDUP($F$9+($G$9-$F$9)*10/12,0)))</f>
        <v>2</v>
      </c>
      <c r="AZ48" s="72" t="n">
        <f aca="false">IF(47&lt;$C$9,0,MIN($G$9,ROUNDUP($F$9+($G$9-$F$9)*11/12,0)))</f>
        <v>2</v>
      </c>
      <c r="BA48" s="72" t="n">
        <f aca="false">IF(48&lt;$C$9,0,MIN($G$9,ROUNDUP($F$9+($G$9-$F$9)*12/12,0)))</f>
        <v>2</v>
      </c>
      <c r="BB48" s="69" t="n">
        <f aca="false">BN48</f>
        <v>3</v>
      </c>
      <c r="BC48" s="72" t="n">
        <f aca="false">IF(49&lt;$C$9,0,MIN($H$9,ROUNDUP($G$9+($H$9-$G$9)*1/12,0)))</f>
        <v>3</v>
      </c>
      <c r="BD48" s="72" t="n">
        <f aca="false">IF(50&lt;$C$9,0,MIN($H$9,ROUNDUP($G$9+($H$9-$G$9)*2/12,0)))</f>
        <v>3</v>
      </c>
      <c r="BE48" s="72" t="n">
        <f aca="false">IF(51&lt;$C$9,0,MIN($H$9,ROUNDUP($G$9+($H$9-$G$9)*3/12,0)))</f>
        <v>3</v>
      </c>
      <c r="BF48" s="72" t="n">
        <f aca="false">IF(52&lt;$C$9,0,MIN($H$9,ROUNDUP($G$9+($H$9-$G$9)*4/12,0)))</f>
        <v>3</v>
      </c>
      <c r="BG48" s="72" t="n">
        <f aca="false">IF(53&lt;$C$9,0,MIN($H$9,ROUNDUP($G$9+($H$9-$G$9)*5/12,0)))</f>
        <v>3</v>
      </c>
      <c r="BH48" s="72" t="n">
        <f aca="false">IF(54&lt;$C$9,0,MIN($H$9,ROUNDUP($G$9+($H$9-$G$9)*6/12,0)))</f>
        <v>3</v>
      </c>
      <c r="BI48" s="72" t="n">
        <f aca="false">IF(55&lt;$C$9,0,MIN($H$9,ROUNDUP($G$9+($H$9-$G$9)*7/12,0)))</f>
        <v>3</v>
      </c>
      <c r="BJ48" s="72" t="n">
        <f aca="false">IF(56&lt;$C$9,0,MIN($H$9,ROUNDUP($G$9+($H$9-$G$9)*8/12,0)))</f>
        <v>3</v>
      </c>
      <c r="BK48" s="72" t="n">
        <f aca="false">IF(57&lt;$C$9,0,MIN($H$9,ROUNDUP($G$9+($H$9-$G$9)*9/12,0)))</f>
        <v>3</v>
      </c>
      <c r="BL48" s="72" t="n">
        <f aca="false">IF(58&lt;$C$9,0,MIN($H$9,ROUNDUP($G$9+($H$9-$G$9)*10/12,0)))</f>
        <v>3</v>
      </c>
      <c r="BM48" s="72" t="n">
        <f aca="false">IF(59&lt;$C$9,0,MIN($H$9,ROUNDUP($G$9+($H$9-$G$9)*11/12,0)))</f>
        <v>3</v>
      </c>
      <c r="BN48" s="72" t="n">
        <f aca="false">IF(60&lt;$C$9,0,MIN($H$9,ROUNDUP($G$9+($H$9-$G$9)*12/12,0)))</f>
        <v>3</v>
      </c>
    </row>
    <row r="49" customFormat="false" ht="15" hidden="false" customHeight="false" outlineLevel="0" collapsed="false">
      <c r="A49" s="4" t="s">
        <v>838</v>
      </c>
      <c r="B49" s="69" t="n">
        <f aca="false">N49</f>
        <v>1</v>
      </c>
      <c r="C49" s="72" t="n">
        <f aca="false">IF(1&lt;$C$10,0,$D$10)</f>
        <v>1</v>
      </c>
      <c r="D49" s="72" t="n">
        <f aca="false">IF(2&lt;$C$10,0,$D$10)</f>
        <v>1</v>
      </c>
      <c r="E49" s="72" t="n">
        <f aca="false">IF(3&lt;$C$10,0,$D$10)</f>
        <v>1</v>
      </c>
      <c r="F49" s="72" t="n">
        <f aca="false">IF(4&lt;$C$10,0,$D$10)</f>
        <v>1</v>
      </c>
      <c r="G49" s="72" t="n">
        <f aca="false">IF(5&lt;$C$10,0,$D$10)</f>
        <v>1</v>
      </c>
      <c r="H49" s="72" t="n">
        <f aca="false">IF(6&lt;$C$10,0,$D$10)</f>
        <v>1</v>
      </c>
      <c r="I49" s="72" t="n">
        <f aca="false">IF(7&lt;$C$10,0,$D$10)</f>
        <v>1</v>
      </c>
      <c r="J49" s="72" t="n">
        <f aca="false">IF(8&lt;$C$10,0,$D$10)</f>
        <v>1</v>
      </c>
      <c r="K49" s="72" t="n">
        <f aca="false">IF(9&lt;$C$10,0,$D$10)</f>
        <v>1</v>
      </c>
      <c r="L49" s="72" t="n">
        <f aca="false">IF(10&lt;$C$10,0,$D$10)</f>
        <v>1</v>
      </c>
      <c r="M49" s="72" t="n">
        <f aca="false">IF(11&lt;$C$10,0,$D$10)</f>
        <v>1</v>
      </c>
      <c r="N49" s="72" t="n">
        <f aca="false">IF(12&lt;$C$10,0,$D$10)</f>
        <v>1</v>
      </c>
      <c r="O49" s="69" t="n">
        <f aca="false">AA49</f>
        <v>1</v>
      </c>
      <c r="P49" s="72" t="n">
        <f aca="false">IF(13&lt;$C$10,0,MIN($E$10,ROUNDUP($D$10+($E$10-$D$10)*1/12,0)))</f>
        <v>1</v>
      </c>
      <c r="Q49" s="72" t="n">
        <f aca="false">IF(14&lt;$C$10,0,MIN($E$10,ROUNDUP($D$10+($E$10-$D$10)*2/12,0)))</f>
        <v>1</v>
      </c>
      <c r="R49" s="72" t="n">
        <f aca="false">IF(15&lt;$C$10,0,MIN($E$10,ROUNDUP($D$10+($E$10-$D$10)*3/12,0)))</f>
        <v>1</v>
      </c>
      <c r="S49" s="72" t="n">
        <f aca="false">IF(16&lt;$C$10,0,MIN($E$10,ROUNDUP($D$10+($E$10-$D$10)*4/12,0)))</f>
        <v>1</v>
      </c>
      <c r="T49" s="72" t="n">
        <f aca="false">IF(17&lt;$C$10,0,MIN($E$10,ROUNDUP($D$10+($E$10-$D$10)*5/12,0)))</f>
        <v>1</v>
      </c>
      <c r="U49" s="72" t="n">
        <f aca="false">IF(18&lt;$C$10,0,MIN($E$10,ROUNDUP($D$10+($E$10-$D$10)*6/12,0)))</f>
        <v>1</v>
      </c>
      <c r="V49" s="72" t="n">
        <f aca="false">IF(19&lt;$C$10,0,MIN($E$10,ROUNDUP($D$10+($E$10-$D$10)*7/12,0)))</f>
        <v>1</v>
      </c>
      <c r="W49" s="72" t="n">
        <f aca="false">IF(20&lt;$C$10,0,MIN($E$10,ROUNDUP($D$10+($E$10-$D$10)*8/12,0)))</f>
        <v>1</v>
      </c>
      <c r="X49" s="72" t="n">
        <f aca="false">IF(21&lt;$C$10,0,MIN($E$10,ROUNDUP($D$10+($E$10-$D$10)*9/12,0)))</f>
        <v>1</v>
      </c>
      <c r="Y49" s="72" t="n">
        <f aca="false">IF(22&lt;$C$10,0,MIN($E$10,ROUNDUP($D$10+($E$10-$D$10)*10/12,0)))</f>
        <v>1</v>
      </c>
      <c r="Z49" s="72" t="n">
        <f aca="false">IF(23&lt;$C$10,0,MIN($E$10,ROUNDUP($D$10+($E$10-$D$10)*11/12,0)))</f>
        <v>1</v>
      </c>
      <c r="AA49" s="72" t="n">
        <f aca="false">IF(24&lt;$C$10,0,MIN($E$10,ROUNDUP($D$10+($E$10-$D$10)*12/12,0)))</f>
        <v>1</v>
      </c>
      <c r="AB49" s="69" t="n">
        <f aca="false">AN49</f>
        <v>2</v>
      </c>
      <c r="AC49" s="72" t="n">
        <f aca="false">IF(25&lt;$C$10,0,MIN($F$10,ROUNDUP($E$10+($F$10-$E$10)*1/12,0)))</f>
        <v>2</v>
      </c>
      <c r="AD49" s="72" t="n">
        <f aca="false">IF(26&lt;$C$10,0,MIN($F$10,ROUNDUP($E$10+($F$10-$E$10)*2/12,0)))</f>
        <v>2</v>
      </c>
      <c r="AE49" s="72" t="n">
        <f aca="false">IF(27&lt;$C$10,0,MIN($F$10,ROUNDUP($E$10+($F$10-$E$10)*3/12,0)))</f>
        <v>2</v>
      </c>
      <c r="AF49" s="72" t="n">
        <f aca="false">IF(28&lt;$C$10,0,MIN($F$10,ROUNDUP($E$10+($F$10-$E$10)*4/12,0)))</f>
        <v>2</v>
      </c>
      <c r="AG49" s="72" t="n">
        <f aca="false">IF(29&lt;$C$10,0,MIN($F$10,ROUNDUP($E$10+($F$10-$E$10)*5/12,0)))</f>
        <v>2</v>
      </c>
      <c r="AH49" s="72" t="n">
        <f aca="false">IF(30&lt;$C$10,0,MIN($F$10,ROUNDUP($E$10+($F$10-$E$10)*6/12,0)))</f>
        <v>2</v>
      </c>
      <c r="AI49" s="72" t="n">
        <f aca="false">IF(31&lt;$C$10,0,MIN($F$10,ROUNDUP($E$10+($F$10-$E$10)*7/12,0)))</f>
        <v>2</v>
      </c>
      <c r="AJ49" s="72" t="n">
        <f aca="false">IF(32&lt;$C$10,0,MIN($F$10,ROUNDUP($E$10+($F$10-$E$10)*8/12,0)))</f>
        <v>2</v>
      </c>
      <c r="AK49" s="72" t="n">
        <f aca="false">IF(33&lt;$C$10,0,MIN($F$10,ROUNDUP($E$10+($F$10-$E$10)*9/12,0)))</f>
        <v>2</v>
      </c>
      <c r="AL49" s="72" t="n">
        <f aca="false">IF(34&lt;$C$10,0,MIN($F$10,ROUNDUP($E$10+($F$10-$E$10)*10/12,0)))</f>
        <v>2</v>
      </c>
      <c r="AM49" s="72" t="n">
        <f aca="false">IF(35&lt;$C$10,0,MIN($F$10,ROUNDUP($E$10+($F$10-$E$10)*11/12,0)))</f>
        <v>2</v>
      </c>
      <c r="AN49" s="72" t="n">
        <f aca="false">IF(36&lt;$C$10,0,MIN($F$10,ROUNDUP($E$10+($F$10-$E$10)*12/12,0)))</f>
        <v>2</v>
      </c>
      <c r="AO49" s="69" t="n">
        <f aca="false">BA49</f>
        <v>2</v>
      </c>
      <c r="AP49" s="72" t="n">
        <f aca="false">IF(37&lt;$C$10,0,MIN($G$10,ROUNDUP($F$10+($G$10-$F$10)*1/12,0)))</f>
        <v>2</v>
      </c>
      <c r="AQ49" s="72" t="n">
        <f aca="false">IF(38&lt;$C$10,0,MIN($G$10,ROUNDUP($F$10+($G$10-$F$10)*2/12,0)))</f>
        <v>2</v>
      </c>
      <c r="AR49" s="72" t="n">
        <f aca="false">IF(39&lt;$C$10,0,MIN($G$10,ROUNDUP($F$10+($G$10-$F$10)*3/12,0)))</f>
        <v>2</v>
      </c>
      <c r="AS49" s="72" t="n">
        <f aca="false">IF(40&lt;$C$10,0,MIN($G$10,ROUNDUP($F$10+($G$10-$F$10)*4/12,0)))</f>
        <v>2</v>
      </c>
      <c r="AT49" s="72" t="n">
        <f aca="false">IF(41&lt;$C$10,0,MIN($G$10,ROUNDUP($F$10+($G$10-$F$10)*5/12,0)))</f>
        <v>2</v>
      </c>
      <c r="AU49" s="72" t="n">
        <f aca="false">IF(42&lt;$C$10,0,MIN($G$10,ROUNDUP($F$10+($G$10-$F$10)*6/12,0)))</f>
        <v>2</v>
      </c>
      <c r="AV49" s="72" t="n">
        <f aca="false">IF(43&lt;$C$10,0,MIN($G$10,ROUNDUP($F$10+($G$10-$F$10)*7/12,0)))</f>
        <v>2</v>
      </c>
      <c r="AW49" s="72" t="n">
        <f aca="false">IF(44&lt;$C$10,0,MIN($G$10,ROUNDUP($F$10+($G$10-$F$10)*8/12,0)))</f>
        <v>2</v>
      </c>
      <c r="AX49" s="72" t="n">
        <f aca="false">IF(45&lt;$C$10,0,MIN($G$10,ROUNDUP($F$10+($G$10-$F$10)*9/12,0)))</f>
        <v>2</v>
      </c>
      <c r="AY49" s="72" t="n">
        <f aca="false">IF(46&lt;$C$10,0,MIN($G$10,ROUNDUP($F$10+($G$10-$F$10)*10/12,0)))</f>
        <v>2</v>
      </c>
      <c r="AZ49" s="72" t="n">
        <f aca="false">IF(47&lt;$C$10,0,MIN($G$10,ROUNDUP($F$10+($G$10-$F$10)*11/12,0)))</f>
        <v>2</v>
      </c>
      <c r="BA49" s="72" t="n">
        <f aca="false">IF(48&lt;$C$10,0,MIN($G$10,ROUNDUP($F$10+($G$10-$F$10)*12/12,0)))</f>
        <v>2</v>
      </c>
      <c r="BB49" s="69" t="n">
        <f aca="false">BN49</f>
        <v>3</v>
      </c>
      <c r="BC49" s="72" t="n">
        <f aca="false">IF(49&lt;$C$10,0,MIN($H$10,ROUNDUP($G$10+($H$10-$G$10)*1/12,0)))</f>
        <v>3</v>
      </c>
      <c r="BD49" s="72" t="n">
        <f aca="false">IF(50&lt;$C$10,0,MIN($H$10,ROUNDUP($G$10+($H$10-$G$10)*2/12,0)))</f>
        <v>3</v>
      </c>
      <c r="BE49" s="72" t="n">
        <f aca="false">IF(51&lt;$C$10,0,MIN($H$10,ROUNDUP($G$10+($H$10-$G$10)*3/12,0)))</f>
        <v>3</v>
      </c>
      <c r="BF49" s="72" t="n">
        <f aca="false">IF(52&lt;$C$10,0,MIN($H$10,ROUNDUP($G$10+($H$10-$G$10)*4/12,0)))</f>
        <v>3</v>
      </c>
      <c r="BG49" s="72" t="n">
        <f aca="false">IF(53&lt;$C$10,0,MIN($H$10,ROUNDUP($G$10+($H$10-$G$10)*5/12,0)))</f>
        <v>3</v>
      </c>
      <c r="BH49" s="72" t="n">
        <f aca="false">IF(54&lt;$C$10,0,MIN($H$10,ROUNDUP($G$10+($H$10-$G$10)*6/12,0)))</f>
        <v>3</v>
      </c>
      <c r="BI49" s="72" t="n">
        <f aca="false">IF(55&lt;$C$10,0,MIN($H$10,ROUNDUP($G$10+($H$10-$G$10)*7/12,0)))</f>
        <v>3</v>
      </c>
      <c r="BJ49" s="72" t="n">
        <f aca="false">IF(56&lt;$C$10,0,MIN($H$10,ROUNDUP($G$10+($H$10-$G$10)*8/12,0)))</f>
        <v>3</v>
      </c>
      <c r="BK49" s="72" t="n">
        <f aca="false">IF(57&lt;$C$10,0,MIN($H$10,ROUNDUP($G$10+($H$10-$G$10)*9/12,0)))</f>
        <v>3</v>
      </c>
      <c r="BL49" s="72" t="n">
        <f aca="false">IF(58&lt;$C$10,0,MIN($H$10,ROUNDUP($G$10+($H$10-$G$10)*10/12,0)))</f>
        <v>3</v>
      </c>
      <c r="BM49" s="72" t="n">
        <f aca="false">IF(59&lt;$C$10,0,MIN($H$10,ROUNDUP($G$10+($H$10-$G$10)*11/12,0)))</f>
        <v>3</v>
      </c>
      <c r="BN49" s="72" t="n">
        <f aca="false">IF(60&lt;$C$10,0,MIN($H$10,ROUNDUP($G$10+($H$10-$G$10)*12/12,0)))</f>
        <v>3</v>
      </c>
    </row>
    <row r="50" customFormat="false" ht="15" hidden="false" customHeight="false" outlineLevel="0" collapsed="false">
      <c r="A50" s="4" t="s">
        <v>839</v>
      </c>
      <c r="B50" s="69" t="n">
        <f aca="false">N50</f>
        <v>1</v>
      </c>
      <c r="C50" s="72" t="n">
        <f aca="false">IF(1&lt;$C$11,0,$D$11)</f>
        <v>1</v>
      </c>
      <c r="D50" s="72" t="n">
        <f aca="false">IF(2&lt;$C$11,0,$D$11)</f>
        <v>1</v>
      </c>
      <c r="E50" s="72" t="n">
        <f aca="false">IF(3&lt;$C$11,0,$D$11)</f>
        <v>1</v>
      </c>
      <c r="F50" s="72" t="n">
        <f aca="false">IF(4&lt;$C$11,0,$D$11)</f>
        <v>1</v>
      </c>
      <c r="G50" s="72" t="n">
        <f aca="false">IF(5&lt;$C$11,0,$D$11)</f>
        <v>1</v>
      </c>
      <c r="H50" s="72" t="n">
        <f aca="false">IF(6&lt;$C$11,0,$D$11)</f>
        <v>1</v>
      </c>
      <c r="I50" s="72" t="n">
        <f aca="false">IF(7&lt;$C$11,0,$D$11)</f>
        <v>1</v>
      </c>
      <c r="J50" s="72" t="n">
        <f aca="false">IF(8&lt;$C$11,0,$D$11)</f>
        <v>1</v>
      </c>
      <c r="K50" s="72" t="n">
        <f aca="false">IF(9&lt;$C$11,0,$D$11)</f>
        <v>1</v>
      </c>
      <c r="L50" s="72" t="n">
        <f aca="false">IF(10&lt;$C$11,0,$D$11)</f>
        <v>1</v>
      </c>
      <c r="M50" s="72" t="n">
        <f aca="false">IF(11&lt;$C$11,0,$D$11)</f>
        <v>1</v>
      </c>
      <c r="N50" s="72" t="n">
        <f aca="false">IF(12&lt;$C$11,0,$D$11)</f>
        <v>1</v>
      </c>
      <c r="O50" s="69" t="n">
        <f aca="false">AA50</f>
        <v>2</v>
      </c>
      <c r="P50" s="72" t="n">
        <f aca="false">IF(13&lt;$C$11,0,MIN($E$11,ROUNDUP($D$11+($E$11-$D$11)*1/12,0)))</f>
        <v>2</v>
      </c>
      <c r="Q50" s="72" t="n">
        <f aca="false">IF(14&lt;$C$11,0,MIN($E$11,ROUNDUP($D$11+($E$11-$D$11)*2/12,0)))</f>
        <v>2</v>
      </c>
      <c r="R50" s="72" t="n">
        <f aca="false">IF(15&lt;$C$11,0,MIN($E$11,ROUNDUP($D$11+($E$11-$D$11)*3/12,0)))</f>
        <v>2</v>
      </c>
      <c r="S50" s="72" t="n">
        <f aca="false">IF(16&lt;$C$11,0,MIN($E$11,ROUNDUP($D$11+($E$11-$D$11)*4/12,0)))</f>
        <v>2</v>
      </c>
      <c r="T50" s="72" t="n">
        <f aca="false">IF(17&lt;$C$11,0,MIN($E$11,ROUNDUP($D$11+($E$11-$D$11)*5/12,0)))</f>
        <v>2</v>
      </c>
      <c r="U50" s="72" t="n">
        <f aca="false">IF(18&lt;$C$11,0,MIN($E$11,ROUNDUP($D$11+($E$11-$D$11)*6/12,0)))</f>
        <v>2</v>
      </c>
      <c r="V50" s="72" t="n">
        <f aca="false">IF(19&lt;$C$11,0,MIN($E$11,ROUNDUP($D$11+($E$11-$D$11)*7/12,0)))</f>
        <v>2</v>
      </c>
      <c r="W50" s="72" t="n">
        <f aca="false">IF(20&lt;$C$11,0,MIN($E$11,ROUNDUP($D$11+($E$11-$D$11)*8/12,0)))</f>
        <v>2</v>
      </c>
      <c r="X50" s="72" t="n">
        <f aca="false">IF(21&lt;$C$11,0,MIN($E$11,ROUNDUP($D$11+($E$11-$D$11)*9/12,0)))</f>
        <v>2</v>
      </c>
      <c r="Y50" s="72" t="n">
        <f aca="false">IF(22&lt;$C$11,0,MIN($E$11,ROUNDUP($D$11+($E$11-$D$11)*10/12,0)))</f>
        <v>2</v>
      </c>
      <c r="Z50" s="72" t="n">
        <f aca="false">IF(23&lt;$C$11,0,MIN($E$11,ROUNDUP($D$11+($E$11-$D$11)*11/12,0)))</f>
        <v>2</v>
      </c>
      <c r="AA50" s="72" t="n">
        <f aca="false">IF(24&lt;$C$11,0,MIN($E$11,ROUNDUP($D$11+($E$11-$D$11)*12/12,0)))</f>
        <v>2</v>
      </c>
      <c r="AB50" s="69" t="n">
        <f aca="false">AN50</f>
        <v>2</v>
      </c>
      <c r="AC50" s="72" t="n">
        <f aca="false">IF(25&lt;$C$11,0,MIN($F$11,ROUNDUP($E$11+($F$11-$E$11)*1/12,0)))</f>
        <v>2</v>
      </c>
      <c r="AD50" s="72" t="n">
        <f aca="false">IF(26&lt;$C$11,0,MIN($F$11,ROUNDUP($E$11+($F$11-$E$11)*2/12,0)))</f>
        <v>2</v>
      </c>
      <c r="AE50" s="72" t="n">
        <f aca="false">IF(27&lt;$C$11,0,MIN($F$11,ROUNDUP($E$11+($F$11-$E$11)*3/12,0)))</f>
        <v>2</v>
      </c>
      <c r="AF50" s="72" t="n">
        <f aca="false">IF(28&lt;$C$11,0,MIN($F$11,ROUNDUP($E$11+($F$11-$E$11)*4/12,0)))</f>
        <v>2</v>
      </c>
      <c r="AG50" s="72" t="n">
        <f aca="false">IF(29&lt;$C$11,0,MIN($F$11,ROUNDUP($E$11+($F$11-$E$11)*5/12,0)))</f>
        <v>2</v>
      </c>
      <c r="AH50" s="72" t="n">
        <f aca="false">IF(30&lt;$C$11,0,MIN($F$11,ROUNDUP($E$11+($F$11-$E$11)*6/12,0)))</f>
        <v>2</v>
      </c>
      <c r="AI50" s="72" t="n">
        <f aca="false">IF(31&lt;$C$11,0,MIN($F$11,ROUNDUP($E$11+($F$11-$E$11)*7/12,0)))</f>
        <v>2</v>
      </c>
      <c r="AJ50" s="72" t="n">
        <f aca="false">IF(32&lt;$C$11,0,MIN($F$11,ROUNDUP($E$11+($F$11-$E$11)*8/12,0)))</f>
        <v>2</v>
      </c>
      <c r="AK50" s="72" t="n">
        <f aca="false">IF(33&lt;$C$11,0,MIN($F$11,ROUNDUP($E$11+($F$11-$E$11)*9/12,0)))</f>
        <v>2</v>
      </c>
      <c r="AL50" s="72" t="n">
        <f aca="false">IF(34&lt;$C$11,0,MIN($F$11,ROUNDUP($E$11+($F$11-$E$11)*10/12,0)))</f>
        <v>2</v>
      </c>
      <c r="AM50" s="72" t="n">
        <f aca="false">IF(35&lt;$C$11,0,MIN($F$11,ROUNDUP($E$11+($F$11-$E$11)*11/12,0)))</f>
        <v>2</v>
      </c>
      <c r="AN50" s="72" t="n">
        <f aca="false">IF(36&lt;$C$11,0,MIN($F$11,ROUNDUP($E$11+($F$11-$E$11)*12/12,0)))</f>
        <v>2</v>
      </c>
      <c r="AO50" s="69" t="n">
        <f aca="false">BA50</f>
        <v>3</v>
      </c>
      <c r="AP50" s="72" t="n">
        <f aca="false">IF(37&lt;$C$11,0,MIN($G$11,ROUNDUP($F$11+($G$11-$F$11)*1/12,0)))</f>
        <v>3</v>
      </c>
      <c r="AQ50" s="72" t="n">
        <f aca="false">IF(38&lt;$C$11,0,MIN($G$11,ROUNDUP($F$11+($G$11-$F$11)*2/12,0)))</f>
        <v>3</v>
      </c>
      <c r="AR50" s="72" t="n">
        <f aca="false">IF(39&lt;$C$11,0,MIN($G$11,ROUNDUP($F$11+($G$11-$F$11)*3/12,0)))</f>
        <v>3</v>
      </c>
      <c r="AS50" s="72" t="n">
        <f aca="false">IF(40&lt;$C$11,0,MIN($G$11,ROUNDUP($F$11+($G$11-$F$11)*4/12,0)))</f>
        <v>3</v>
      </c>
      <c r="AT50" s="72" t="n">
        <f aca="false">IF(41&lt;$C$11,0,MIN($G$11,ROUNDUP($F$11+($G$11-$F$11)*5/12,0)))</f>
        <v>3</v>
      </c>
      <c r="AU50" s="72" t="n">
        <f aca="false">IF(42&lt;$C$11,0,MIN($G$11,ROUNDUP($F$11+($G$11-$F$11)*6/12,0)))</f>
        <v>3</v>
      </c>
      <c r="AV50" s="72" t="n">
        <f aca="false">IF(43&lt;$C$11,0,MIN($G$11,ROUNDUP($F$11+($G$11-$F$11)*7/12,0)))</f>
        <v>3</v>
      </c>
      <c r="AW50" s="72" t="n">
        <f aca="false">IF(44&lt;$C$11,0,MIN($G$11,ROUNDUP($F$11+($G$11-$F$11)*8/12,0)))</f>
        <v>3</v>
      </c>
      <c r="AX50" s="72" t="n">
        <f aca="false">IF(45&lt;$C$11,0,MIN($G$11,ROUNDUP($F$11+($G$11-$F$11)*9/12,0)))</f>
        <v>3</v>
      </c>
      <c r="AY50" s="72" t="n">
        <f aca="false">IF(46&lt;$C$11,0,MIN($G$11,ROUNDUP($F$11+($G$11-$F$11)*10/12,0)))</f>
        <v>3</v>
      </c>
      <c r="AZ50" s="72" t="n">
        <f aca="false">IF(47&lt;$C$11,0,MIN($G$11,ROUNDUP($F$11+($G$11-$F$11)*11/12,0)))</f>
        <v>3</v>
      </c>
      <c r="BA50" s="72" t="n">
        <f aca="false">IF(48&lt;$C$11,0,MIN($G$11,ROUNDUP($F$11+($G$11-$F$11)*12/12,0)))</f>
        <v>3</v>
      </c>
      <c r="BB50" s="69" t="n">
        <f aca="false">BN50</f>
        <v>4</v>
      </c>
      <c r="BC50" s="72" t="n">
        <f aca="false">IF(49&lt;$C$11,0,MIN($H$11,ROUNDUP($G$11+($H$11-$G$11)*1/12,0)))</f>
        <v>4</v>
      </c>
      <c r="BD50" s="72" t="n">
        <f aca="false">IF(50&lt;$C$11,0,MIN($H$11,ROUNDUP($G$11+($H$11-$G$11)*2/12,0)))</f>
        <v>4</v>
      </c>
      <c r="BE50" s="72" t="n">
        <f aca="false">IF(51&lt;$C$11,0,MIN($H$11,ROUNDUP($G$11+($H$11-$G$11)*3/12,0)))</f>
        <v>4</v>
      </c>
      <c r="BF50" s="72" t="n">
        <f aca="false">IF(52&lt;$C$11,0,MIN($H$11,ROUNDUP($G$11+($H$11-$G$11)*4/12,0)))</f>
        <v>4</v>
      </c>
      <c r="BG50" s="72" t="n">
        <f aca="false">IF(53&lt;$C$11,0,MIN($H$11,ROUNDUP($G$11+($H$11-$G$11)*5/12,0)))</f>
        <v>4</v>
      </c>
      <c r="BH50" s="72" t="n">
        <f aca="false">IF(54&lt;$C$11,0,MIN($H$11,ROUNDUP($G$11+($H$11-$G$11)*6/12,0)))</f>
        <v>4</v>
      </c>
      <c r="BI50" s="72" t="n">
        <f aca="false">IF(55&lt;$C$11,0,MIN($H$11,ROUNDUP($G$11+($H$11-$G$11)*7/12,0)))</f>
        <v>4</v>
      </c>
      <c r="BJ50" s="72" t="n">
        <f aca="false">IF(56&lt;$C$11,0,MIN($H$11,ROUNDUP($G$11+($H$11-$G$11)*8/12,0)))</f>
        <v>4</v>
      </c>
      <c r="BK50" s="72" t="n">
        <f aca="false">IF(57&lt;$C$11,0,MIN($H$11,ROUNDUP($G$11+($H$11-$G$11)*9/12,0)))</f>
        <v>4</v>
      </c>
      <c r="BL50" s="72" t="n">
        <f aca="false">IF(58&lt;$C$11,0,MIN($H$11,ROUNDUP($G$11+($H$11-$G$11)*10/12,0)))</f>
        <v>4</v>
      </c>
      <c r="BM50" s="72" t="n">
        <f aca="false">IF(59&lt;$C$11,0,MIN($H$11,ROUNDUP($G$11+($H$11-$G$11)*11/12,0)))</f>
        <v>4</v>
      </c>
      <c r="BN50" s="72" t="n">
        <f aca="false">IF(60&lt;$C$11,0,MIN($H$11,ROUNDUP($G$11+($H$11-$G$11)*12/12,0)))</f>
        <v>4</v>
      </c>
    </row>
    <row r="51" customFormat="false" ht="15" hidden="false" customHeight="false" outlineLevel="0" collapsed="false">
      <c r="A51" s="4" t="s">
        <v>841</v>
      </c>
      <c r="B51" s="69" t="n">
        <f aca="false">N51</f>
        <v>1</v>
      </c>
      <c r="C51" s="72" t="n">
        <f aca="false">IF(1&lt;$C$12,0,$D$12)</f>
        <v>1</v>
      </c>
      <c r="D51" s="72" t="n">
        <f aca="false">IF(2&lt;$C$12,0,$D$12)</f>
        <v>1</v>
      </c>
      <c r="E51" s="72" t="n">
        <f aca="false">IF(3&lt;$C$12,0,$D$12)</f>
        <v>1</v>
      </c>
      <c r="F51" s="72" t="n">
        <f aca="false">IF(4&lt;$C$12,0,$D$12)</f>
        <v>1</v>
      </c>
      <c r="G51" s="72" t="n">
        <f aca="false">IF(5&lt;$C$12,0,$D$12)</f>
        <v>1</v>
      </c>
      <c r="H51" s="72" t="n">
        <f aca="false">IF(6&lt;$C$12,0,$D$12)</f>
        <v>1</v>
      </c>
      <c r="I51" s="72" t="n">
        <f aca="false">IF(7&lt;$C$12,0,$D$12)</f>
        <v>1</v>
      </c>
      <c r="J51" s="72" t="n">
        <f aca="false">IF(8&lt;$C$12,0,$D$12)</f>
        <v>1</v>
      </c>
      <c r="K51" s="72" t="n">
        <f aca="false">IF(9&lt;$C$12,0,$D$12)</f>
        <v>1</v>
      </c>
      <c r="L51" s="72" t="n">
        <f aca="false">IF(10&lt;$C$12,0,$D$12)</f>
        <v>1</v>
      </c>
      <c r="M51" s="72" t="n">
        <f aca="false">IF(11&lt;$C$12,0,$D$12)</f>
        <v>1</v>
      </c>
      <c r="N51" s="72" t="n">
        <f aca="false">IF(12&lt;$C$12,0,$D$12)</f>
        <v>1</v>
      </c>
      <c r="O51" s="69" t="n">
        <f aca="false">AA51</f>
        <v>2</v>
      </c>
      <c r="P51" s="72" t="n">
        <f aca="false">IF(13&lt;$C$12,0,MIN($E$12,ROUNDUP($D$12+($E$12-$D$12)*1/12,0)))</f>
        <v>2</v>
      </c>
      <c r="Q51" s="72" t="n">
        <f aca="false">IF(14&lt;$C$12,0,MIN($E$12,ROUNDUP($D$12+($E$12-$D$12)*2/12,0)))</f>
        <v>2</v>
      </c>
      <c r="R51" s="72" t="n">
        <f aca="false">IF(15&lt;$C$12,0,MIN($E$12,ROUNDUP($D$12+($E$12-$D$12)*3/12,0)))</f>
        <v>2</v>
      </c>
      <c r="S51" s="72" t="n">
        <f aca="false">IF(16&lt;$C$12,0,MIN($E$12,ROUNDUP($D$12+($E$12-$D$12)*4/12,0)))</f>
        <v>2</v>
      </c>
      <c r="T51" s="72" t="n">
        <f aca="false">IF(17&lt;$C$12,0,MIN($E$12,ROUNDUP($D$12+($E$12-$D$12)*5/12,0)))</f>
        <v>2</v>
      </c>
      <c r="U51" s="72" t="n">
        <f aca="false">IF(18&lt;$C$12,0,MIN($E$12,ROUNDUP($D$12+($E$12-$D$12)*6/12,0)))</f>
        <v>2</v>
      </c>
      <c r="V51" s="72" t="n">
        <f aca="false">IF(19&lt;$C$12,0,MIN($E$12,ROUNDUP($D$12+($E$12-$D$12)*7/12,0)))</f>
        <v>2</v>
      </c>
      <c r="W51" s="72" t="n">
        <f aca="false">IF(20&lt;$C$12,0,MIN($E$12,ROUNDUP($D$12+($E$12-$D$12)*8/12,0)))</f>
        <v>2</v>
      </c>
      <c r="X51" s="72" t="n">
        <f aca="false">IF(21&lt;$C$12,0,MIN($E$12,ROUNDUP($D$12+($E$12-$D$12)*9/12,0)))</f>
        <v>2</v>
      </c>
      <c r="Y51" s="72" t="n">
        <f aca="false">IF(22&lt;$C$12,0,MIN($E$12,ROUNDUP($D$12+($E$12-$D$12)*10/12,0)))</f>
        <v>2</v>
      </c>
      <c r="Z51" s="72" t="n">
        <f aca="false">IF(23&lt;$C$12,0,MIN($E$12,ROUNDUP($D$12+($E$12-$D$12)*11/12,0)))</f>
        <v>2</v>
      </c>
      <c r="AA51" s="72" t="n">
        <f aca="false">IF(24&lt;$C$12,0,MIN($E$12,ROUNDUP($D$12+($E$12-$D$12)*12/12,0)))</f>
        <v>2</v>
      </c>
      <c r="AB51" s="69" t="n">
        <f aca="false">AN51</f>
        <v>3</v>
      </c>
      <c r="AC51" s="72" t="n">
        <f aca="false">IF(25&lt;$C$12,0,MIN($F$12,ROUNDUP($E$12+($F$12-$E$12)*1/12,0)))</f>
        <v>3</v>
      </c>
      <c r="AD51" s="72" t="n">
        <f aca="false">IF(26&lt;$C$12,0,MIN($F$12,ROUNDUP($E$12+($F$12-$E$12)*2/12,0)))</f>
        <v>3</v>
      </c>
      <c r="AE51" s="72" t="n">
        <f aca="false">IF(27&lt;$C$12,0,MIN($F$12,ROUNDUP($E$12+($F$12-$E$12)*3/12,0)))</f>
        <v>3</v>
      </c>
      <c r="AF51" s="72" t="n">
        <f aca="false">IF(28&lt;$C$12,0,MIN($F$12,ROUNDUP($E$12+($F$12-$E$12)*4/12,0)))</f>
        <v>3</v>
      </c>
      <c r="AG51" s="72" t="n">
        <f aca="false">IF(29&lt;$C$12,0,MIN($F$12,ROUNDUP($E$12+($F$12-$E$12)*5/12,0)))</f>
        <v>3</v>
      </c>
      <c r="AH51" s="72" t="n">
        <f aca="false">IF(30&lt;$C$12,0,MIN($F$12,ROUNDUP($E$12+($F$12-$E$12)*6/12,0)))</f>
        <v>3</v>
      </c>
      <c r="AI51" s="72" t="n">
        <f aca="false">IF(31&lt;$C$12,0,MIN($F$12,ROUNDUP($E$12+($F$12-$E$12)*7/12,0)))</f>
        <v>3</v>
      </c>
      <c r="AJ51" s="72" t="n">
        <f aca="false">IF(32&lt;$C$12,0,MIN($F$12,ROUNDUP($E$12+($F$12-$E$12)*8/12,0)))</f>
        <v>3</v>
      </c>
      <c r="AK51" s="72" t="n">
        <f aca="false">IF(33&lt;$C$12,0,MIN($F$12,ROUNDUP($E$12+($F$12-$E$12)*9/12,0)))</f>
        <v>3</v>
      </c>
      <c r="AL51" s="72" t="n">
        <f aca="false">IF(34&lt;$C$12,0,MIN($F$12,ROUNDUP($E$12+($F$12-$E$12)*10/12,0)))</f>
        <v>3</v>
      </c>
      <c r="AM51" s="72" t="n">
        <f aca="false">IF(35&lt;$C$12,0,MIN($F$12,ROUNDUP($E$12+($F$12-$E$12)*11/12,0)))</f>
        <v>3</v>
      </c>
      <c r="AN51" s="72" t="n">
        <f aca="false">IF(36&lt;$C$12,0,MIN($F$12,ROUNDUP($E$12+($F$12-$E$12)*12/12,0)))</f>
        <v>3</v>
      </c>
      <c r="AO51" s="69" t="n">
        <f aca="false">BA51</f>
        <v>4</v>
      </c>
      <c r="AP51" s="72" t="n">
        <f aca="false">IF(37&lt;$C$12,0,MIN($G$12,ROUNDUP($F$12+($G$12-$F$12)*1/12,0)))</f>
        <v>4</v>
      </c>
      <c r="AQ51" s="72" t="n">
        <f aca="false">IF(38&lt;$C$12,0,MIN($G$12,ROUNDUP($F$12+($G$12-$F$12)*2/12,0)))</f>
        <v>4</v>
      </c>
      <c r="AR51" s="72" t="n">
        <f aca="false">IF(39&lt;$C$12,0,MIN($G$12,ROUNDUP($F$12+($G$12-$F$12)*3/12,0)))</f>
        <v>4</v>
      </c>
      <c r="AS51" s="72" t="n">
        <f aca="false">IF(40&lt;$C$12,0,MIN($G$12,ROUNDUP($F$12+($G$12-$F$12)*4/12,0)))</f>
        <v>4</v>
      </c>
      <c r="AT51" s="72" t="n">
        <f aca="false">IF(41&lt;$C$12,0,MIN($G$12,ROUNDUP($F$12+($G$12-$F$12)*5/12,0)))</f>
        <v>4</v>
      </c>
      <c r="AU51" s="72" t="n">
        <f aca="false">IF(42&lt;$C$12,0,MIN($G$12,ROUNDUP($F$12+($G$12-$F$12)*6/12,0)))</f>
        <v>4</v>
      </c>
      <c r="AV51" s="72" t="n">
        <f aca="false">IF(43&lt;$C$12,0,MIN($G$12,ROUNDUP($F$12+($G$12-$F$12)*7/12,0)))</f>
        <v>4</v>
      </c>
      <c r="AW51" s="72" t="n">
        <f aca="false">IF(44&lt;$C$12,0,MIN($G$12,ROUNDUP($F$12+($G$12-$F$12)*8/12,0)))</f>
        <v>4</v>
      </c>
      <c r="AX51" s="72" t="n">
        <f aca="false">IF(45&lt;$C$12,0,MIN($G$12,ROUNDUP($F$12+($G$12-$F$12)*9/12,0)))</f>
        <v>4</v>
      </c>
      <c r="AY51" s="72" t="n">
        <f aca="false">IF(46&lt;$C$12,0,MIN($G$12,ROUNDUP($F$12+($G$12-$F$12)*10/12,0)))</f>
        <v>4</v>
      </c>
      <c r="AZ51" s="72" t="n">
        <f aca="false">IF(47&lt;$C$12,0,MIN($G$12,ROUNDUP($F$12+($G$12-$F$12)*11/12,0)))</f>
        <v>4</v>
      </c>
      <c r="BA51" s="72" t="n">
        <f aca="false">IF(48&lt;$C$12,0,MIN($G$12,ROUNDUP($F$12+($G$12-$F$12)*12/12,0)))</f>
        <v>4</v>
      </c>
      <c r="BB51" s="69" t="n">
        <f aca="false">BN51</f>
        <v>5</v>
      </c>
      <c r="BC51" s="72" t="n">
        <f aca="false">IF(49&lt;$C$12,0,MIN($H$12,ROUNDUP($G$12+($H$12-$G$12)*1/12,0)))</f>
        <v>5</v>
      </c>
      <c r="BD51" s="72" t="n">
        <f aca="false">IF(50&lt;$C$12,0,MIN($H$12,ROUNDUP($G$12+($H$12-$G$12)*2/12,0)))</f>
        <v>5</v>
      </c>
      <c r="BE51" s="72" t="n">
        <f aca="false">IF(51&lt;$C$12,0,MIN($H$12,ROUNDUP($G$12+($H$12-$G$12)*3/12,0)))</f>
        <v>5</v>
      </c>
      <c r="BF51" s="72" t="n">
        <f aca="false">IF(52&lt;$C$12,0,MIN($H$12,ROUNDUP($G$12+($H$12-$G$12)*4/12,0)))</f>
        <v>5</v>
      </c>
      <c r="BG51" s="72" t="n">
        <f aca="false">IF(53&lt;$C$12,0,MIN($H$12,ROUNDUP($G$12+($H$12-$G$12)*5/12,0)))</f>
        <v>5</v>
      </c>
      <c r="BH51" s="72" t="n">
        <f aca="false">IF(54&lt;$C$12,0,MIN($H$12,ROUNDUP($G$12+($H$12-$G$12)*6/12,0)))</f>
        <v>5</v>
      </c>
      <c r="BI51" s="72" t="n">
        <f aca="false">IF(55&lt;$C$12,0,MIN($H$12,ROUNDUP($G$12+($H$12-$G$12)*7/12,0)))</f>
        <v>5</v>
      </c>
      <c r="BJ51" s="72" t="n">
        <f aca="false">IF(56&lt;$C$12,0,MIN($H$12,ROUNDUP($G$12+($H$12-$G$12)*8/12,0)))</f>
        <v>5</v>
      </c>
      <c r="BK51" s="72" t="n">
        <f aca="false">IF(57&lt;$C$12,0,MIN($H$12,ROUNDUP($G$12+($H$12-$G$12)*9/12,0)))</f>
        <v>5</v>
      </c>
      <c r="BL51" s="72" t="n">
        <f aca="false">IF(58&lt;$C$12,0,MIN($H$12,ROUNDUP($G$12+($H$12-$G$12)*10/12,0)))</f>
        <v>5</v>
      </c>
      <c r="BM51" s="72" t="n">
        <f aca="false">IF(59&lt;$C$12,0,MIN($H$12,ROUNDUP($G$12+($H$12-$G$12)*11/12,0)))</f>
        <v>5</v>
      </c>
      <c r="BN51" s="72" t="n">
        <f aca="false">IF(60&lt;$C$12,0,MIN($H$12,ROUNDUP($G$12+($H$12-$G$12)*12/12,0)))</f>
        <v>5</v>
      </c>
    </row>
    <row r="52" customFormat="false" ht="15" hidden="false" customHeight="false" outlineLevel="0" collapsed="false">
      <c r="A52" s="4" t="s">
        <v>842</v>
      </c>
      <c r="B52" s="69" t="n">
        <f aca="false">N52</f>
        <v>1</v>
      </c>
      <c r="C52" s="72" t="n">
        <f aca="false">IF(1&lt;$C$13,0,$D$13)</f>
        <v>1</v>
      </c>
      <c r="D52" s="72" t="n">
        <f aca="false">IF(2&lt;$C$13,0,$D$13)</f>
        <v>1</v>
      </c>
      <c r="E52" s="72" t="n">
        <f aca="false">IF(3&lt;$C$13,0,$D$13)</f>
        <v>1</v>
      </c>
      <c r="F52" s="72" t="n">
        <f aca="false">IF(4&lt;$C$13,0,$D$13)</f>
        <v>1</v>
      </c>
      <c r="G52" s="72" t="n">
        <f aca="false">IF(5&lt;$C$13,0,$D$13)</f>
        <v>1</v>
      </c>
      <c r="H52" s="72" t="n">
        <f aca="false">IF(6&lt;$C$13,0,$D$13)</f>
        <v>1</v>
      </c>
      <c r="I52" s="72" t="n">
        <f aca="false">IF(7&lt;$C$13,0,$D$13)</f>
        <v>1</v>
      </c>
      <c r="J52" s="72" t="n">
        <f aca="false">IF(8&lt;$C$13,0,$D$13)</f>
        <v>1</v>
      </c>
      <c r="K52" s="72" t="n">
        <f aca="false">IF(9&lt;$C$13,0,$D$13)</f>
        <v>1</v>
      </c>
      <c r="L52" s="72" t="n">
        <f aca="false">IF(10&lt;$C$13,0,$D$13)</f>
        <v>1</v>
      </c>
      <c r="M52" s="72" t="n">
        <f aca="false">IF(11&lt;$C$13,0,$D$13)</f>
        <v>1</v>
      </c>
      <c r="N52" s="72" t="n">
        <f aca="false">IF(12&lt;$C$13,0,$D$13)</f>
        <v>1</v>
      </c>
      <c r="O52" s="69" t="n">
        <f aca="false">AA52</f>
        <v>2</v>
      </c>
      <c r="P52" s="72" t="n">
        <f aca="false">IF(13&lt;$C$13,0,MIN($E$13,ROUNDUP($D$13+($E$13-$D$13)*1/12,0)))</f>
        <v>2</v>
      </c>
      <c r="Q52" s="72" t="n">
        <f aca="false">IF(14&lt;$C$13,0,MIN($E$13,ROUNDUP($D$13+($E$13-$D$13)*2/12,0)))</f>
        <v>2</v>
      </c>
      <c r="R52" s="72" t="n">
        <f aca="false">IF(15&lt;$C$13,0,MIN($E$13,ROUNDUP($D$13+($E$13-$D$13)*3/12,0)))</f>
        <v>2</v>
      </c>
      <c r="S52" s="72" t="n">
        <f aca="false">IF(16&lt;$C$13,0,MIN($E$13,ROUNDUP($D$13+($E$13-$D$13)*4/12,0)))</f>
        <v>2</v>
      </c>
      <c r="T52" s="72" t="n">
        <f aca="false">IF(17&lt;$C$13,0,MIN($E$13,ROUNDUP($D$13+($E$13-$D$13)*5/12,0)))</f>
        <v>2</v>
      </c>
      <c r="U52" s="72" t="n">
        <f aca="false">IF(18&lt;$C$13,0,MIN($E$13,ROUNDUP($D$13+($E$13-$D$13)*6/12,0)))</f>
        <v>2</v>
      </c>
      <c r="V52" s="72" t="n">
        <f aca="false">IF(19&lt;$C$13,0,MIN($E$13,ROUNDUP($D$13+($E$13-$D$13)*7/12,0)))</f>
        <v>2</v>
      </c>
      <c r="W52" s="72" t="n">
        <f aca="false">IF(20&lt;$C$13,0,MIN($E$13,ROUNDUP($D$13+($E$13-$D$13)*8/12,0)))</f>
        <v>2</v>
      </c>
      <c r="X52" s="72" t="n">
        <f aca="false">IF(21&lt;$C$13,0,MIN($E$13,ROUNDUP($D$13+($E$13-$D$13)*9/12,0)))</f>
        <v>2</v>
      </c>
      <c r="Y52" s="72" t="n">
        <f aca="false">IF(22&lt;$C$13,0,MIN($E$13,ROUNDUP($D$13+($E$13-$D$13)*10/12,0)))</f>
        <v>2</v>
      </c>
      <c r="Z52" s="72" t="n">
        <f aca="false">IF(23&lt;$C$13,0,MIN($E$13,ROUNDUP($D$13+($E$13-$D$13)*11/12,0)))</f>
        <v>2</v>
      </c>
      <c r="AA52" s="72" t="n">
        <f aca="false">IF(24&lt;$C$13,0,MIN($E$13,ROUNDUP($D$13+($E$13-$D$13)*12/12,0)))</f>
        <v>2</v>
      </c>
      <c r="AB52" s="69" t="n">
        <f aca="false">AN52</f>
        <v>2</v>
      </c>
      <c r="AC52" s="72" t="n">
        <f aca="false">IF(25&lt;$C$13,0,MIN($F$13,ROUNDUP($E$13+($F$13-$E$13)*1/12,0)))</f>
        <v>2</v>
      </c>
      <c r="AD52" s="72" t="n">
        <f aca="false">IF(26&lt;$C$13,0,MIN($F$13,ROUNDUP($E$13+($F$13-$E$13)*2/12,0)))</f>
        <v>2</v>
      </c>
      <c r="AE52" s="72" t="n">
        <f aca="false">IF(27&lt;$C$13,0,MIN($F$13,ROUNDUP($E$13+($F$13-$E$13)*3/12,0)))</f>
        <v>2</v>
      </c>
      <c r="AF52" s="72" t="n">
        <f aca="false">IF(28&lt;$C$13,0,MIN($F$13,ROUNDUP($E$13+($F$13-$E$13)*4/12,0)))</f>
        <v>2</v>
      </c>
      <c r="AG52" s="72" t="n">
        <f aca="false">IF(29&lt;$C$13,0,MIN($F$13,ROUNDUP($E$13+($F$13-$E$13)*5/12,0)))</f>
        <v>2</v>
      </c>
      <c r="AH52" s="72" t="n">
        <f aca="false">IF(30&lt;$C$13,0,MIN($F$13,ROUNDUP($E$13+($F$13-$E$13)*6/12,0)))</f>
        <v>2</v>
      </c>
      <c r="AI52" s="72" t="n">
        <f aca="false">IF(31&lt;$C$13,0,MIN($F$13,ROUNDUP($E$13+($F$13-$E$13)*7/12,0)))</f>
        <v>2</v>
      </c>
      <c r="AJ52" s="72" t="n">
        <f aca="false">IF(32&lt;$C$13,0,MIN($F$13,ROUNDUP($E$13+($F$13-$E$13)*8/12,0)))</f>
        <v>2</v>
      </c>
      <c r="AK52" s="72" t="n">
        <f aca="false">IF(33&lt;$C$13,0,MIN($F$13,ROUNDUP($E$13+($F$13-$E$13)*9/12,0)))</f>
        <v>2</v>
      </c>
      <c r="AL52" s="72" t="n">
        <f aca="false">IF(34&lt;$C$13,0,MIN($F$13,ROUNDUP($E$13+($F$13-$E$13)*10/12,0)))</f>
        <v>2</v>
      </c>
      <c r="AM52" s="72" t="n">
        <f aca="false">IF(35&lt;$C$13,0,MIN($F$13,ROUNDUP($E$13+($F$13-$E$13)*11/12,0)))</f>
        <v>2</v>
      </c>
      <c r="AN52" s="72" t="n">
        <f aca="false">IF(36&lt;$C$13,0,MIN($F$13,ROUNDUP($E$13+($F$13-$E$13)*12/12,0)))</f>
        <v>2</v>
      </c>
      <c r="AO52" s="69" t="n">
        <f aca="false">BA52</f>
        <v>3</v>
      </c>
      <c r="AP52" s="72" t="n">
        <f aca="false">IF(37&lt;$C$13,0,MIN($G$13,ROUNDUP($F$13+($G$13-$F$13)*1/12,0)))</f>
        <v>3</v>
      </c>
      <c r="AQ52" s="72" t="n">
        <f aca="false">IF(38&lt;$C$13,0,MIN($G$13,ROUNDUP($F$13+($G$13-$F$13)*2/12,0)))</f>
        <v>3</v>
      </c>
      <c r="AR52" s="72" t="n">
        <f aca="false">IF(39&lt;$C$13,0,MIN($G$13,ROUNDUP($F$13+($G$13-$F$13)*3/12,0)))</f>
        <v>3</v>
      </c>
      <c r="AS52" s="72" t="n">
        <f aca="false">IF(40&lt;$C$13,0,MIN($G$13,ROUNDUP($F$13+($G$13-$F$13)*4/12,0)))</f>
        <v>3</v>
      </c>
      <c r="AT52" s="72" t="n">
        <f aca="false">IF(41&lt;$C$13,0,MIN($G$13,ROUNDUP($F$13+($G$13-$F$13)*5/12,0)))</f>
        <v>3</v>
      </c>
      <c r="AU52" s="72" t="n">
        <f aca="false">IF(42&lt;$C$13,0,MIN($G$13,ROUNDUP($F$13+($G$13-$F$13)*6/12,0)))</f>
        <v>3</v>
      </c>
      <c r="AV52" s="72" t="n">
        <f aca="false">IF(43&lt;$C$13,0,MIN($G$13,ROUNDUP($F$13+($G$13-$F$13)*7/12,0)))</f>
        <v>3</v>
      </c>
      <c r="AW52" s="72" t="n">
        <f aca="false">IF(44&lt;$C$13,0,MIN($G$13,ROUNDUP($F$13+($G$13-$F$13)*8/12,0)))</f>
        <v>3</v>
      </c>
      <c r="AX52" s="72" t="n">
        <f aca="false">IF(45&lt;$C$13,0,MIN($G$13,ROUNDUP($F$13+($G$13-$F$13)*9/12,0)))</f>
        <v>3</v>
      </c>
      <c r="AY52" s="72" t="n">
        <f aca="false">IF(46&lt;$C$13,0,MIN($G$13,ROUNDUP($F$13+($G$13-$F$13)*10/12,0)))</f>
        <v>3</v>
      </c>
      <c r="AZ52" s="72" t="n">
        <f aca="false">IF(47&lt;$C$13,0,MIN($G$13,ROUNDUP($F$13+($G$13-$F$13)*11/12,0)))</f>
        <v>3</v>
      </c>
      <c r="BA52" s="72" t="n">
        <f aca="false">IF(48&lt;$C$13,0,MIN($G$13,ROUNDUP($F$13+($G$13-$F$13)*12/12,0)))</f>
        <v>3</v>
      </c>
      <c r="BB52" s="69" t="n">
        <f aca="false">BN52</f>
        <v>4</v>
      </c>
      <c r="BC52" s="72" t="n">
        <f aca="false">IF(49&lt;$C$13,0,MIN($H$13,ROUNDUP($G$13+($H$13-$G$13)*1/12,0)))</f>
        <v>4</v>
      </c>
      <c r="BD52" s="72" t="n">
        <f aca="false">IF(50&lt;$C$13,0,MIN($H$13,ROUNDUP($G$13+($H$13-$G$13)*2/12,0)))</f>
        <v>4</v>
      </c>
      <c r="BE52" s="72" t="n">
        <f aca="false">IF(51&lt;$C$13,0,MIN($H$13,ROUNDUP($G$13+($H$13-$G$13)*3/12,0)))</f>
        <v>4</v>
      </c>
      <c r="BF52" s="72" t="n">
        <f aca="false">IF(52&lt;$C$13,0,MIN($H$13,ROUNDUP($G$13+($H$13-$G$13)*4/12,0)))</f>
        <v>4</v>
      </c>
      <c r="BG52" s="72" t="n">
        <f aca="false">IF(53&lt;$C$13,0,MIN($H$13,ROUNDUP($G$13+($H$13-$G$13)*5/12,0)))</f>
        <v>4</v>
      </c>
      <c r="BH52" s="72" t="n">
        <f aca="false">IF(54&lt;$C$13,0,MIN($H$13,ROUNDUP($G$13+($H$13-$G$13)*6/12,0)))</f>
        <v>4</v>
      </c>
      <c r="BI52" s="72" t="n">
        <f aca="false">IF(55&lt;$C$13,0,MIN($H$13,ROUNDUP($G$13+($H$13-$G$13)*7/12,0)))</f>
        <v>4</v>
      </c>
      <c r="BJ52" s="72" t="n">
        <f aca="false">IF(56&lt;$C$13,0,MIN($H$13,ROUNDUP($G$13+($H$13-$G$13)*8/12,0)))</f>
        <v>4</v>
      </c>
      <c r="BK52" s="72" t="n">
        <f aca="false">IF(57&lt;$C$13,0,MIN($H$13,ROUNDUP($G$13+($H$13-$G$13)*9/12,0)))</f>
        <v>4</v>
      </c>
      <c r="BL52" s="72" t="n">
        <f aca="false">IF(58&lt;$C$13,0,MIN($H$13,ROUNDUP($G$13+($H$13-$G$13)*10/12,0)))</f>
        <v>4</v>
      </c>
      <c r="BM52" s="72" t="n">
        <f aca="false">IF(59&lt;$C$13,0,MIN($H$13,ROUNDUP($G$13+($H$13-$G$13)*11/12,0)))</f>
        <v>4</v>
      </c>
      <c r="BN52" s="72" t="n">
        <f aca="false">IF(60&lt;$C$13,0,MIN($H$13,ROUNDUP($G$13+($H$13-$G$13)*12/12,0)))</f>
        <v>4</v>
      </c>
    </row>
    <row r="53" customFormat="false" ht="15" hidden="false" customHeight="false" outlineLevel="0" collapsed="false">
      <c r="A53" s="4" t="s">
        <v>843</v>
      </c>
      <c r="B53" s="69" t="n">
        <f aca="false">N53</f>
        <v>1</v>
      </c>
      <c r="C53" s="72" t="n">
        <f aca="false">IF(1&lt;$C$14,0,$D$14)</f>
        <v>1</v>
      </c>
      <c r="D53" s="72" t="n">
        <f aca="false">IF(2&lt;$C$14,0,$D$14)</f>
        <v>1</v>
      </c>
      <c r="E53" s="72" t="n">
        <f aca="false">IF(3&lt;$C$14,0,$D$14)</f>
        <v>1</v>
      </c>
      <c r="F53" s="72" t="n">
        <f aca="false">IF(4&lt;$C$14,0,$D$14)</f>
        <v>1</v>
      </c>
      <c r="G53" s="72" t="n">
        <f aca="false">IF(5&lt;$C$14,0,$D$14)</f>
        <v>1</v>
      </c>
      <c r="H53" s="72" t="n">
        <f aca="false">IF(6&lt;$C$14,0,$D$14)</f>
        <v>1</v>
      </c>
      <c r="I53" s="72" t="n">
        <f aca="false">IF(7&lt;$C$14,0,$D$14)</f>
        <v>1</v>
      </c>
      <c r="J53" s="72" t="n">
        <f aca="false">IF(8&lt;$C$14,0,$D$14)</f>
        <v>1</v>
      </c>
      <c r="K53" s="72" t="n">
        <f aca="false">IF(9&lt;$C$14,0,$D$14)</f>
        <v>1</v>
      </c>
      <c r="L53" s="72" t="n">
        <f aca="false">IF(10&lt;$C$14,0,$D$14)</f>
        <v>1</v>
      </c>
      <c r="M53" s="72" t="n">
        <f aca="false">IF(11&lt;$C$14,0,$D$14)</f>
        <v>1</v>
      </c>
      <c r="N53" s="72" t="n">
        <f aca="false">IF(12&lt;$C$14,0,$D$14)</f>
        <v>1</v>
      </c>
      <c r="O53" s="69" t="n">
        <f aca="false">AA53</f>
        <v>1</v>
      </c>
      <c r="P53" s="72" t="n">
        <f aca="false">IF(13&lt;$C$14,0,MIN($E$14,ROUNDUP($D$14+($E$14-$D$14)*1/12,0)))</f>
        <v>1</v>
      </c>
      <c r="Q53" s="72" t="n">
        <f aca="false">IF(14&lt;$C$14,0,MIN($E$14,ROUNDUP($D$14+($E$14-$D$14)*2/12,0)))</f>
        <v>1</v>
      </c>
      <c r="R53" s="72" t="n">
        <f aca="false">IF(15&lt;$C$14,0,MIN($E$14,ROUNDUP($D$14+($E$14-$D$14)*3/12,0)))</f>
        <v>1</v>
      </c>
      <c r="S53" s="72" t="n">
        <f aca="false">IF(16&lt;$C$14,0,MIN($E$14,ROUNDUP($D$14+($E$14-$D$14)*4/12,0)))</f>
        <v>1</v>
      </c>
      <c r="T53" s="72" t="n">
        <f aca="false">IF(17&lt;$C$14,0,MIN($E$14,ROUNDUP($D$14+($E$14-$D$14)*5/12,0)))</f>
        <v>1</v>
      </c>
      <c r="U53" s="72" t="n">
        <f aca="false">IF(18&lt;$C$14,0,MIN($E$14,ROUNDUP($D$14+($E$14-$D$14)*6/12,0)))</f>
        <v>1</v>
      </c>
      <c r="V53" s="72" t="n">
        <f aca="false">IF(19&lt;$C$14,0,MIN($E$14,ROUNDUP($D$14+($E$14-$D$14)*7/12,0)))</f>
        <v>1</v>
      </c>
      <c r="W53" s="72" t="n">
        <f aca="false">IF(20&lt;$C$14,0,MIN($E$14,ROUNDUP($D$14+($E$14-$D$14)*8/12,0)))</f>
        <v>1</v>
      </c>
      <c r="X53" s="72" t="n">
        <f aca="false">IF(21&lt;$C$14,0,MIN($E$14,ROUNDUP($D$14+($E$14-$D$14)*9/12,0)))</f>
        <v>1</v>
      </c>
      <c r="Y53" s="72" t="n">
        <f aca="false">IF(22&lt;$C$14,0,MIN($E$14,ROUNDUP($D$14+($E$14-$D$14)*10/12,0)))</f>
        <v>1</v>
      </c>
      <c r="Z53" s="72" t="n">
        <f aca="false">IF(23&lt;$C$14,0,MIN($E$14,ROUNDUP($D$14+($E$14-$D$14)*11/12,0)))</f>
        <v>1</v>
      </c>
      <c r="AA53" s="72" t="n">
        <f aca="false">IF(24&lt;$C$14,0,MIN($E$14,ROUNDUP($D$14+($E$14-$D$14)*12/12,0)))</f>
        <v>1</v>
      </c>
      <c r="AB53" s="69" t="n">
        <f aca="false">AN53</f>
        <v>2</v>
      </c>
      <c r="AC53" s="72" t="n">
        <f aca="false">IF(25&lt;$C$14,0,MIN($F$14,ROUNDUP($E$14+($F$14-$E$14)*1/12,0)))</f>
        <v>2</v>
      </c>
      <c r="AD53" s="72" t="n">
        <f aca="false">IF(26&lt;$C$14,0,MIN($F$14,ROUNDUP($E$14+($F$14-$E$14)*2/12,0)))</f>
        <v>2</v>
      </c>
      <c r="AE53" s="72" t="n">
        <f aca="false">IF(27&lt;$C$14,0,MIN($F$14,ROUNDUP($E$14+($F$14-$E$14)*3/12,0)))</f>
        <v>2</v>
      </c>
      <c r="AF53" s="72" t="n">
        <f aca="false">IF(28&lt;$C$14,0,MIN($F$14,ROUNDUP($E$14+($F$14-$E$14)*4/12,0)))</f>
        <v>2</v>
      </c>
      <c r="AG53" s="72" t="n">
        <f aca="false">IF(29&lt;$C$14,0,MIN($F$14,ROUNDUP($E$14+($F$14-$E$14)*5/12,0)))</f>
        <v>2</v>
      </c>
      <c r="AH53" s="72" t="n">
        <f aca="false">IF(30&lt;$C$14,0,MIN($F$14,ROUNDUP($E$14+($F$14-$E$14)*6/12,0)))</f>
        <v>2</v>
      </c>
      <c r="AI53" s="72" t="n">
        <f aca="false">IF(31&lt;$C$14,0,MIN($F$14,ROUNDUP($E$14+($F$14-$E$14)*7/12,0)))</f>
        <v>2</v>
      </c>
      <c r="AJ53" s="72" t="n">
        <f aca="false">IF(32&lt;$C$14,0,MIN($F$14,ROUNDUP($E$14+($F$14-$E$14)*8/12,0)))</f>
        <v>2</v>
      </c>
      <c r="AK53" s="72" t="n">
        <f aca="false">IF(33&lt;$C$14,0,MIN($F$14,ROUNDUP($E$14+($F$14-$E$14)*9/12,0)))</f>
        <v>2</v>
      </c>
      <c r="AL53" s="72" t="n">
        <f aca="false">IF(34&lt;$C$14,0,MIN($F$14,ROUNDUP($E$14+($F$14-$E$14)*10/12,0)))</f>
        <v>2</v>
      </c>
      <c r="AM53" s="72" t="n">
        <f aca="false">IF(35&lt;$C$14,0,MIN($F$14,ROUNDUP($E$14+($F$14-$E$14)*11/12,0)))</f>
        <v>2</v>
      </c>
      <c r="AN53" s="72" t="n">
        <f aca="false">IF(36&lt;$C$14,0,MIN($F$14,ROUNDUP($E$14+($F$14-$E$14)*12/12,0)))</f>
        <v>2</v>
      </c>
      <c r="AO53" s="69" t="n">
        <f aca="false">BA53</f>
        <v>2</v>
      </c>
      <c r="AP53" s="72" t="n">
        <f aca="false">IF(37&lt;$C$14,0,MIN($G$14,ROUNDUP($F$14+($G$14-$F$14)*1/12,0)))</f>
        <v>2</v>
      </c>
      <c r="AQ53" s="72" t="n">
        <f aca="false">IF(38&lt;$C$14,0,MIN($G$14,ROUNDUP($F$14+($G$14-$F$14)*2/12,0)))</f>
        <v>2</v>
      </c>
      <c r="AR53" s="72" t="n">
        <f aca="false">IF(39&lt;$C$14,0,MIN($G$14,ROUNDUP($F$14+($G$14-$F$14)*3/12,0)))</f>
        <v>2</v>
      </c>
      <c r="AS53" s="72" t="n">
        <f aca="false">IF(40&lt;$C$14,0,MIN($G$14,ROUNDUP($F$14+($G$14-$F$14)*4/12,0)))</f>
        <v>2</v>
      </c>
      <c r="AT53" s="72" t="n">
        <f aca="false">IF(41&lt;$C$14,0,MIN($G$14,ROUNDUP($F$14+($G$14-$F$14)*5/12,0)))</f>
        <v>2</v>
      </c>
      <c r="AU53" s="72" t="n">
        <f aca="false">IF(42&lt;$C$14,0,MIN($G$14,ROUNDUP($F$14+($G$14-$F$14)*6/12,0)))</f>
        <v>2</v>
      </c>
      <c r="AV53" s="72" t="n">
        <f aca="false">IF(43&lt;$C$14,0,MIN($G$14,ROUNDUP($F$14+($G$14-$F$14)*7/12,0)))</f>
        <v>2</v>
      </c>
      <c r="AW53" s="72" t="n">
        <f aca="false">IF(44&lt;$C$14,0,MIN($G$14,ROUNDUP($F$14+($G$14-$F$14)*8/12,0)))</f>
        <v>2</v>
      </c>
      <c r="AX53" s="72" t="n">
        <f aca="false">IF(45&lt;$C$14,0,MIN($G$14,ROUNDUP($F$14+($G$14-$F$14)*9/12,0)))</f>
        <v>2</v>
      </c>
      <c r="AY53" s="72" t="n">
        <f aca="false">IF(46&lt;$C$14,0,MIN($G$14,ROUNDUP($F$14+($G$14-$F$14)*10/12,0)))</f>
        <v>2</v>
      </c>
      <c r="AZ53" s="72" t="n">
        <f aca="false">IF(47&lt;$C$14,0,MIN($G$14,ROUNDUP($F$14+($G$14-$F$14)*11/12,0)))</f>
        <v>2</v>
      </c>
      <c r="BA53" s="72" t="n">
        <f aca="false">IF(48&lt;$C$14,0,MIN($G$14,ROUNDUP($F$14+($G$14-$F$14)*12/12,0)))</f>
        <v>2</v>
      </c>
      <c r="BB53" s="69" t="n">
        <f aca="false">BN53</f>
        <v>3</v>
      </c>
      <c r="BC53" s="72" t="n">
        <f aca="false">IF(49&lt;$C$14,0,MIN($H$14,ROUNDUP($G$14+($H$14-$G$14)*1/12,0)))</f>
        <v>3</v>
      </c>
      <c r="BD53" s="72" t="n">
        <f aca="false">IF(50&lt;$C$14,0,MIN($H$14,ROUNDUP($G$14+($H$14-$G$14)*2/12,0)))</f>
        <v>3</v>
      </c>
      <c r="BE53" s="72" t="n">
        <f aca="false">IF(51&lt;$C$14,0,MIN($H$14,ROUNDUP($G$14+($H$14-$G$14)*3/12,0)))</f>
        <v>3</v>
      </c>
      <c r="BF53" s="72" t="n">
        <f aca="false">IF(52&lt;$C$14,0,MIN($H$14,ROUNDUP($G$14+($H$14-$G$14)*4/12,0)))</f>
        <v>3</v>
      </c>
      <c r="BG53" s="72" t="n">
        <f aca="false">IF(53&lt;$C$14,0,MIN($H$14,ROUNDUP($G$14+($H$14-$G$14)*5/12,0)))</f>
        <v>3</v>
      </c>
      <c r="BH53" s="72" t="n">
        <f aca="false">IF(54&lt;$C$14,0,MIN($H$14,ROUNDUP($G$14+($H$14-$G$14)*6/12,0)))</f>
        <v>3</v>
      </c>
      <c r="BI53" s="72" t="n">
        <f aca="false">IF(55&lt;$C$14,0,MIN($H$14,ROUNDUP($G$14+($H$14-$G$14)*7/12,0)))</f>
        <v>3</v>
      </c>
      <c r="BJ53" s="72" t="n">
        <f aca="false">IF(56&lt;$C$14,0,MIN($H$14,ROUNDUP($G$14+($H$14-$G$14)*8/12,0)))</f>
        <v>3</v>
      </c>
      <c r="BK53" s="72" t="n">
        <f aca="false">IF(57&lt;$C$14,0,MIN($H$14,ROUNDUP($G$14+($H$14-$G$14)*9/12,0)))</f>
        <v>3</v>
      </c>
      <c r="BL53" s="72" t="n">
        <f aca="false">IF(58&lt;$C$14,0,MIN($H$14,ROUNDUP($G$14+($H$14-$G$14)*10/12,0)))</f>
        <v>3</v>
      </c>
      <c r="BM53" s="72" t="n">
        <f aca="false">IF(59&lt;$C$14,0,MIN($H$14,ROUNDUP($G$14+($H$14-$G$14)*11/12,0)))</f>
        <v>3</v>
      </c>
      <c r="BN53" s="72" t="n">
        <f aca="false">IF(60&lt;$C$14,0,MIN($H$14,ROUNDUP($G$14+($H$14-$G$14)*12/12,0)))</f>
        <v>3</v>
      </c>
    </row>
    <row r="54" customFormat="false" ht="15" hidden="false" customHeight="false" outlineLevel="0" collapsed="false">
      <c r="A54" s="4" t="s">
        <v>844</v>
      </c>
      <c r="B54" s="69" t="n">
        <f aca="false">N54</f>
        <v>1</v>
      </c>
      <c r="C54" s="72" t="n">
        <f aca="false">IF(1&lt;$C$15,0,$D$15)</f>
        <v>1</v>
      </c>
      <c r="D54" s="72" t="n">
        <f aca="false">IF(2&lt;$C$15,0,$D$15)</f>
        <v>1</v>
      </c>
      <c r="E54" s="72" t="n">
        <f aca="false">IF(3&lt;$C$15,0,$D$15)</f>
        <v>1</v>
      </c>
      <c r="F54" s="72" t="n">
        <f aca="false">IF(4&lt;$C$15,0,$D$15)</f>
        <v>1</v>
      </c>
      <c r="G54" s="72" t="n">
        <f aca="false">IF(5&lt;$C$15,0,$D$15)</f>
        <v>1</v>
      </c>
      <c r="H54" s="72" t="n">
        <f aca="false">IF(6&lt;$C$15,0,$D$15)</f>
        <v>1</v>
      </c>
      <c r="I54" s="72" t="n">
        <f aca="false">IF(7&lt;$C$15,0,$D$15)</f>
        <v>1</v>
      </c>
      <c r="J54" s="72" t="n">
        <f aca="false">IF(8&lt;$C$15,0,$D$15)</f>
        <v>1</v>
      </c>
      <c r="K54" s="72" t="n">
        <f aca="false">IF(9&lt;$C$15,0,$D$15)</f>
        <v>1</v>
      </c>
      <c r="L54" s="72" t="n">
        <f aca="false">IF(10&lt;$C$15,0,$D$15)</f>
        <v>1</v>
      </c>
      <c r="M54" s="72" t="n">
        <f aca="false">IF(11&lt;$C$15,0,$D$15)</f>
        <v>1</v>
      </c>
      <c r="N54" s="72" t="n">
        <f aca="false">IF(12&lt;$C$15,0,$D$15)</f>
        <v>1</v>
      </c>
      <c r="O54" s="69" t="n">
        <f aca="false">AA54</f>
        <v>1</v>
      </c>
      <c r="P54" s="72" t="n">
        <f aca="false">IF(13&lt;$C$15,0,MIN($E$15,ROUNDUP($D$15+($E$15-$D$15)*1/12,0)))</f>
        <v>1</v>
      </c>
      <c r="Q54" s="72" t="n">
        <f aca="false">IF(14&lt;$C$15,0,MIN($E$15,ROUNDUP($D$15+($E$15-$D$15)*2/12,0)))</f>
        <v>1</v>
      </c>
      <c r="R54" s="72" t="n">
        <f aca="false">IF(15&lt;$C$15,0,MIN($E$15,ROUNDUP($D$15+($E$15-$D$15)*3/12,0)))</f>
        <v>1</v>
      </c>
      <c r="S54" s="72" t="n">
        <f aca="false">IF(16&lt;$C$15,0,MIN($E$15,ROUNDUP($D$15+($E$15-$D$15)*4/12,0)))</f>
        <v>1</v>
      </c>
      <c r="T54" s="72" t="n">
        <f aca="false">IF(17&lt;$C$15,0,MIN($E$15,ROUNDUP($D$15+($E$15-$D$15)*5/12,0)))</f>
        <v>1</v>
      </c>
      <c r="U54" s="72" t="n">
        <f aca="false">IF(18&lt;$C$15,0,MIN($E$15,ROUNDUP($D$15+($E$15-$D$15)*6/12,0)))</f>
        <v>1</v>
      </c>
      <c r="V54" s="72" t="n">
        <f aca="false">IF(19&lt;$C$15,0,MIN($E$15,ROUNDUP($D$15+($E$15-$D$15)*7/12,0)))</f>
        <v>1</v>
      </c>
      <c r="W54" s="72" t="n">
        <f aca="false">IF(20&lt;$C$15,0,MIN($E$15,ROUNDUP($D$15+($E$15-$D$15)*8/12,0)))</f>
        <v>1</v>
      </c>
      <c r="X54" s="72" t="n">
        <f aca="false">IF(21&lt;$C$15,0,MIN($E$15,ROUNDUP($D$15+($E$15-$D$15)*9/12,0)))</f>
        <v>1</v>
      </c>
      <c r="Y54" s="72" t="n">
        <f aca="false">IF(22&lt;$C$15,0,MIN($E$15,ROUNDUP($D$15+($E$15-$D$15)*10/12,0)))</f>
        <v>1</v>
      </c>
      <c r="Z54" s="72" t="n">
        <f aca="false">IF(23&lt;$C$15,0,MIN($E$15,ROUNDUP($D$15+($E$15-$D$15)*11/12,0)))</f>
        <v>1</v>
      </c>
      <c r="AA54" s="72" t="n">
        <f aca="false">IF(24&lt;$C$15,0,MIN($E$15,ROUNDUP($D$15+($E$15-$D$15)*12/12,0)))</f>
        <v>1</v>
      </c>
      <c r="AB54" s="69" t="n">
        <f aca="false">AN54</f>
        <v>2</v>
      </c>
      <c r="AC54" s="72" t="n">
        <f aca="false">IF(25&lt;$C$15,0,MIN($F$15,ROUNDUP($E$15+($F$15-$E$15)*1/12,0)))</f>
        <v>2</v>
      </c>
      <c r="AD54" s="72" t="n">
        <f aca="false">IF(26&lt;$C$15,0,MIN($F$15,ROUNDUP($E$15+($F$15-$E$15)*2/12,0)))</f>
        <v>2</v>
      </c>
      <c r="AE54" s="72" t="n">
        <f aca="false">IF(27&lt;$C$15,0,MIN($F$15,ROUNDUP($E$15+($F$15-$E$15)*3/12,0)))</f>
        <v>2</v>
      </c>
      <c r="AF54" s="72" t="n">
        <f aca="false">IF(28&lt;$C$15,0,MIN($F$15,ROUNDUP($E$15+($F$15-$E$15)*4/12,0)))</f>
        <v>2</v>
      </c>
      <c r="AG54" s="72" t="n">
        <f aca="false">IF(29&lt;$C$15,0,MIN($F$15,ROUNDUP($E$15+($F$15-$E$15)*5/12,0)))</f>
        <v>2</v>
      </c>
      <c r="AH54" s="72" t="n">
        <f aca="false">IF(30&lt;$C$15,0,MIN($F$15,ROUNDUP($E$15+($F$15-$E$15)*6/12,0)))</f>
        <v>2</v>
      </c>
      <c r="AI54" s="72" t="n">
        <f aca="false">IF(31&lt;$C$15,0,MIN($F$15,ROUNDUP($E$15+($F$15-$E$15)*7/12,0)))</f>
        <v>2</v>
      </c>
      <c r="AJ54" s="72" t="n">
        <f aca="false">IF(32&lt;$C$15,0,MIN($F$15,ROUNDUP($E$15+($F$15-$E$15)*8/12,0)))</f>
        <v>2</v>
      </c>
      <c r="AK54" s="72" t="n">
        <f aca="false">IF(33&lt;$C$15,0,MIN($F$15,ROUNDUP($E$15+($F$15-$E$15)*9/12,0)))</f>
        <v>2</v>
      </c>
      <c r="AL54" s="72" t="n">
        <f aca="false">IF(34&lt;$C$15,0,MIN($F$15,ROUNDUP($E$15+($F$15-$E$15)*10/12,0)))</f>
        <v>2</v>
      </c>
      <c r="AM54" s="72" t="n">
        <f aca="false">IF(35&lt;$C$15,0,MIN($F$15,ROUNDUP($E$15+($F$15-$E$15)*11/12,0)))</f>
        <v>2</v>
      </c>
      <c r="AN54" s="72" t="n">
        <f aca="false">IF(36&lt;$C$15,0,MIN($F$15,ROUNDUP($E$15+($F$15-$E$15)*12/12,0)))</f>
        <v>2</v>
      </c>
      <c r="AO54" s="69" t="n">
        <f aca="false">BA54</f>
        <v>2</v>
      </c>
      <c r="AP54" s="72" t="n">
        <f aca="false">IF(37&lt;$C$15,0,MIN($G$15,ROUNDUP($F$15+($G$15-$F$15)*1/12,0)))</f>
        <v>2</v>
      </c>
      <c r="AQ54" s="72" t="n">
        <f aca="false">IF(38&lt;$C$15,0,MIN($G$15,ROUNDUP($F$15+($G$15-$F$15)*2/12,0)))</f>
        <v>2</v>
      </c>
      <c r="AR54" s="72" t="n">
        <f aca="false">IF(39&lt;$C$15,0,MIN($G$15,ROUNDUP($F$15+($G$15-$F$15)*3/12,0)))</f>
        <v>2</v>
      </c>
      <c r="AS54" s="72" t="n">
        <f aca="false">IF(40&lt;$C$15,0,MIN($G$15,ROUNDUP($F$15+($G$15-$F$15)*4/12,0)))</f>
        <v>2</v>
      </c>
      <c r="AT54" s="72" t="n">
        <f aca="false">IF(41&lt;$C$15,0,MIN($G$15,ROUNDUP($F$15+($G$15-$F$15)*5/12,0)))</f>
        <v>2</v>
      </c>
      <c r="AU54" s="72" t="n">
        <f aca="false">IF(42&lt;$C$15,0,MIN($G$15,ROUNDUP($F$15+($G$15-$F$15)*6/12,0)))</f>
        <v>2</v>
      </c>
      <c r="AV54" s="72" t="n">
        <f aca="false">IF(43&lt;$C$15,0,MIN($G$15,ROUNDUP($F$15+($G$15-$F$15)*7/12,0)))</f>
        <v>2</v>
      </c>
      <c r="AW54" s="72" t="n">
        <f aca="false">IF(44&lt;$C$15,0,MIN($G$15,ROUNDUP($F$15+($G$15-$F$15)*8/12,0)))</f>
        <v>2</v>
      </c>
      <c r="AX54" s="72" t="n">
        <f aca="false">IF(45&lt;$C$15,0,MIN($G$15,ROUNDUP($F$15+($G$15-$F$15)*9/12,0)))</f>
        <v>2</v>
      </c>
      <c r="AY54" s="72" t="n">
        <f aca="false">IF(46&lt;$C$15,0,MIN($G$15,ROUNDUP($F$15+($G$15-$F$15)*10/12,0)))</f>
        <v>2</v>
      </c>
      <c r="AZ54" s="72" t="n">
        <f aca="false">IF(47&lt;$C$15,0,MIN($G$15,ROUNDUP($F$15+($G$15-$F$15)*11/12,0)))</f>
        <v>2</v>
      </c>
      <c r="BA54" s="72" t="n">
        <f aca="false">IF(48&lt;$C$15,0,MIN($G$15,ROUNDUP($F$15+($G$15-$F$15)*12/12,0)))</f>
        <v>2</v>
      </c>
      <c r="BB54" s="69" t="n">
        <f aca="false">BN54</f>
        <v>2</v>
      </c>
      <c r="BC54" s="72" t="n">
        <f aca="false">IF(49&lt;$C$15,0,MIN($H$15,ROUNDUP($G$15+($H$15-$G$15)*1/12,0)))</f>
        <v>2</v>
      </c>
      <c r="BD54" s="72" t="n">
        <f aca="false">IF(50&lt;$C$15,0,MIN($H$15,ROUNDUP($G$15+($H$15-$G$15)*2/12,0)))</f>
        <v>2</v>
      </c>
      <c r="BE54" s="72" t="n">
        <f aca="false">IF(51&lt;$C$15,0,MIN($H$15,ROUNDUP($G$15+($H$15-$G$15)*3/12,0)))</f>
        <v>2</v>
      </c>
      <c r="BF54" s="72" t="n">
        <f aca="false">IF(52&lt;$C$15,0,MIN($H$15,ROUNDUP($G$15+($H$15-$G$15)*4/12,0)))</f>
        <v>2</v>
      </c>
      <c r="BG54" s="72" t="n">
        <f aca="false">IF(53&lt;$C$15,0,MIN($H$15,ROUNDUP($G$15+($H$15-$G$15)*5/12,0)))</f>
        <v>2</v>
      </c>
      <c r="BH54" s="72" t="n">
        <f aca="false">IF(54&lt;$C$15,0,MIN($H$15,ROUNDUP($G$15+($H$15-$G$15)*6/12,0)))</f>
        <v>2</v>
      </c>
      <c r="BI54" s="72" t="n">
        <f aca="false">IF(55&lt;$C$15,0,MIN($H$15,ROUNDUP($G$15+($H$15-$G$15)*7/12,0)))</f>
        <v>2</v>
      </c>
      <c r="BJ54" s="72" t="n">
        <f aca="false">IF(56&lt;$C$15,0,MIN($H$15,ROUNDUP($G$15+($H$15-$G$15)*8/12,0)))</f>
        <v>2</v>
      </c>
      <c r="BK54" s="72" t="n">
        <f aca="false">IF(57&lt;$C$15,0,MIN($H$15,ROUNDUP($G$15+($H$15-$G$15)*9/12,0)))</f>
        <v>2</v>
      </c>
      <c r="BL54" s="72" t="n">
        <f aca="false">IF(58&lt;$C$15,0,MIN($H$15,ROUNDUP($G$15+($H$15-$G$15)*10/12,0)))</f>
        <v>2</v>
      </c>
      <c r="BM54" s="72" t="n">
        <f aca="false">IF(59&lt;$C$15,0,MIN($H$15,ROUNDUP($G$15+($H$15-$G$15)*11/12,0)))</f>
        <v>2</v>
      </c>
      <c r="BN54" s="72" t="n">
        <f aca="false">IF(60&lt;$C$15,0,MIN($H$15,ROUNDUP($G$15+($H$15-$G$15)*12/12,0)))</f>
        <v>2</v>
      </c>
    </row>
    <row r="55" customFormat="false" ht="15" hidden="false" customHeight="false" outlineLevel="0" collapsed="false">
      <c r="A55" s="4" t="s">
        <v>845</v>
      </c>
      <c r="B55" s="69" t="n">
        <f aca="false">N55</f>
        <v>1</v>
      </c>
      <c r="C55" s="72" t="n">
        <f aca="false">IF(1&lt;$C$16,0,$D$16)</f>
        <v>1</v>
      </c>
      <c r="D55" s="72" t="n">
        <f aca="false">IF(2&lt;$C$16,0,$D$16)</f>
        <v>1</v>
      </c>
      <c r="E55" s="72" t="n">
        <f aca="false">IF(3&lt;$C$16,0,$D$16)</f>
        <v>1</v>
      </c>
      <c r="F55" s="72" t="n">
        <f aca="false">IF(4&lt;$C$16,0,$D$16)</f>
        <v>1</v>
      </c>
      <c r="G55" s="72" t="n">
        <f aca="false">IF(5&lt;$C$16,0,$D$16)</f>
        <v>1</v>
      </c>
      <c r="H55" s="72" t="n">
        <f aca="false">IF(6&lt;$C$16,0,$D$16)</f>
        <v>1</v>
      </c>
      <c r="I55" s="72" t="n">
        <f aca="false">IF(7&lt;$C$16,0,$D$16)</f>
        <v>1</v>
      </c>
      <c r="J55" s="72" t="n">
        <f aca="false">IF(8&lt;$C$16,0,$D$16)</f>
        <v>1</v>
      </c>
      <c r="K55" s="72" t="n">
        <f aca="false">IF(9&lt;$C$16,0,$D$16)</f>
        <v>1</v>
      </c>
      <c r="L55" s="72" t="n">
        <f aca="false">IF(10&lt;$C$16,0,$D$16)</f>
        <v>1</v>
      </c>
      <c r="M55" s="72" t="n">
        <f aca="false">IF(11&lt;$C$16,0,$D$16)</f>
        <v>1</v>
      </c>
      <c r="N55" s="72" t="n">
        <f aca="false">IF(12&lt;$C$16,0,$D$16)</f>
        <v>1</v>
      </c>
      <c r="O55" s="69" t="n">
        <f aca="false">AA55</f>
        <v>1</v>
      </c>
      <c r="P55" s="72" t="n">
        <f aca="false">IF(13&lt;$C$16,0,MIN($E$16,ROUNDUP($D$16+($E$16-$D$16)*1/12,0)))</f>
        <v>1</v>
      </c>
      <c r="Q55" s="72" t="n">
        <f aca="false">IF(14&lt;$C$16,0,MIN($E$16,ROUNDUP($D$16+($E$16-$D$16)*2/12,0)))</f>
        <v>1</v>
      </c>
      <c r="R55" s="72" t="n">
        <f aca="false">IF(15&lt;$C$16,0,MIN($E$16,ROUNDUP($D$16+($E$16-$D$16)*3/12,0)))</f>
        <v>1</v>
      </c>
      <c r="S55" s="72" t="n">
        <f aca="false">IF(16&lt;$C$16,0,MIN($E$16,ROUNDUP($D$16+($E$16-$D$16)*4/12,0)))</f>
        <v>1</v>
      </c>
      <c r="T55" s="72" t="n">
        <f aca="false">IF(17&lt;$C$16,0,MIN($E$16,ROUNDUP($D$16+($E$16-$D$16)*5/12,0)))</f>
        <v>1</v>
      </c>
      <c r="U55" s="72" t="n">
        <f aca="false">IF(18&lt;$C$16,0,MIN($E$16,ROUNDUP($D$16+($E$16-$D$16)*6/12,0)))</f>
        <v>1</v>
      </c>
      <c r="V55" s="72" t="n">
        <f aca="false">IF(19&lt;$C$16,0,MIN($E$16,ROUNDUP($D$16+($E$16-$D$16)*7/12,0)))</f>
        <v>1</v>
      </c>
      <c r="W55" s="72" t="n">
        <f aca="false">IF(20&lt;$C$16,0,MIN($E$16,ROUNDUP($D$16+($E$16-$D$16)*8/12,0)))</f>
        <v>1</v>
      </c>
      <c r="X55" s="72" t="n">
        <f aca="false">IF(21&lt;$C$16,0,MIN($E$16,ROUNDUP($D$16+($E$16-$D$16)*9/12,0)))</f>
        <v>1</v>
      </c>
      <c r="Y55" s="72" t="n">
        <f aca="false">IF(22&lt;$C$16,0,MIN($E$16,ROUNDUP($D$16+($E$16-$D$16)*10/12,0)))</f>
        <v>1</v>
      </c>
      <c r="Z55" s="72" t="n">
        <f aca="false">IF(23&lt;$C$16,0,MIN($E$16,ROUNDUP($D$16+($E$16-$D$16)*11/12,0)))</f>
        <v>1</v>
      </c>
      <c r="AA55" s="72" t="n">
        <f aca="false">IF(24&lt;$C$16,0,MIN($E$16,ROUNDUP($D$16+($E$16-$D$16)*12/12,0)))</f>
        <v>1</v>
      </c>
      <c r="AB55" s="69" t="n">
        <f aca="false">AN55</f>
        <v>1</v>
      </c>
      <c r="AC55" s="72" t="n">
        <f aca="false">IF(25&lt;$C$16,0,MIN($F$16,ROUNDUP($E$16+($F$16-$E$16)*1/12,0)))</f>
        <v>1</v>
      </c>
      <c r="AD55" s="72" t="n">
        <f aca="false">IF(26&lt;$C$16,0,MIN($F$16,ROUNDUP($E$16+($F$16-$E$16)*2/12,0)))</f>
        <v>1</v>
      </c>
      <c r="AE55" s="72" t="n">
        <f aca="false">IF(27&lt;$C$16,0,MIN($F$16,ROUNDUP($E$16+($F$16-$E$16)*3/12,0)))</f>
        <v>1</v>
      </c>
      <c r="AF55" s="72" t="n">
        <f aca="false">IF(28&lt;$C$16,0,MIN($F$16,ROUNDUP($E$16+($F$16-$E$16)*4/12,0)))</f>
        <v>1</v>
      </c>
      <c r="AG55" s="72" t="n">
        <f aca="false">IF(29&lt;$C$16,0,MIN($F$16,ROUNDUP($E$16+($F$16-$E$16)*5/12,0)))</f>
        <v>1</v>
      </c>
      <c r="AH55" s="72" t="n">
        <f aca="false">IF(30&lt;$C$16,0,MIN($F$16,ROUNDUP($E$16+($F$16-$E$16)*6/12,0)))</f>
        <v>1</v>
      </c>
      <c r="AI55" s="72" t="n">
        <f aca="false">IF(31&lt;$C$16,0,MIN($F$16,ROUNDUP($E$16+($F$16-$E$16)*7/12,0)))</f>
        <v>1</v>
      </c>
      <c r="AJ55" s="72" t="n">
        <f aca="false">IF(32&lt;$C$16,0,MIN($F$16,ROUNDUP($E$16+($F$16-$E$16)*8/12,0)))</f>
        <v>1</v>
      </c>
      <c r="AK55" s="72" t="n">
        <f aca="false">IF(33&lt;$C$16,0,MIN($F$16,ROUNDUP($E$16+($F$16-$E$16)*9/12,0)))</f>
        <v>1</v>
      </c>
      <c r="AL55" s="72" t="n">
        <f aca="false">IF(34&lt;$C$16,0,MIN($F$16,ROUNDUP($E$16+($F$16-$E$16)*10/12,0)))</f>
        <v>1</v>
      </c>
      <c r="AM55" s="72" t="n">
        <f aca="false">IF(35&lt;$C$16,0,MIN($F$16,ROUNDUP($E$16+($F$16-$E$16)*11/12,0)))</f>
        <v>1</v>
      </c>
      <c r="AN55" s="72" t="n">
        <f aca="false">IF(36&lt;$C$16,0,MIN($F$16,ROUNDUP($E$16+($F$16-$E$16)*12/12,0)))</f>
        <v>1</v>
      </c>
      <c r="AO55" s="69" t="n">
        <f aca="false">BA55</f>
        <v>2</v>
      </c>
      <c r="AP55" s="72" t="n">
        <f aca="false">IF(37&lt;$C$16,0,MIN($G$16,ROUNDUP($F$16+($G$16-$F$16)*1/12,0)))</f>
        <v>2</v>
      </c>
      <c r="AQ55" s="72" t="n">
        <f aca="false">IF(38&lt;$C$16,0,MIN($G$16,ROUNDUP($F$16+($G$16-$F$16)*2/12,0)))</f>
        <v>2</v>
      </c>
      <c r="AR55" s="72" t="n">
        <f aca="false">IF(39&lt;$C$16,0,MIN($G$16,ROUNDUP($F$16+($G$16-$F$16)*3/12,0)))</f>
        <v>2</v>
      </c>
      <c r="AS55" s="72" t="n">
        <f aca="false">IF(40&lt;$C$16,0,MIN($G$16,ROUNDUP($F$16+($G$16-$F$16)*4/12,0)))</f>
        <v>2</v>
      </c>
      <c r="AT55" s="72" t="n">
        <f aca="false">IF(41&lt;$C$16,0,MIN($G$16,ROUNDUP($F$16+($G$16-$F$16)*5/12,0)))</f>
        <v>2</v>
      </c>
      <c r="AU55" s="72" t="n">
        <f aca="false">IF(42&lt;$C$16,0,MIN($G$16,ROUNDUP($F$16+($G$16-$F$16)*6/12,0)))</f>
        <v>2</v>
      </c>
      <c r="AV55" s="72" t="n">
        <f aca="false">IF(43&lt;$C$16,0,MIN($G$16,ROUNDUP($F$16+($G$16-$F$16)*7/12,0)))</f>
        <v>2</v>
      </c>
      <c r="AW55" s="72" t="n">
        <f aca="false">IF(44&lt;$C$16,0,MIN($G$16,ROUNDUP($F$16+($G$16-$F$16)*8/12,0)))</f>
        <v>2</v>
      </c>
      <c r="AX55" s="72" t="n">
        <f aca="false">IF(45&lt;$C$16,0,MIN($G$16,ROUNDUP($F$16+($G$16-$F$16)*9/12,0)))</f>
        <v>2</v>
      </c>
      <c r="AY55" s="72" t="n">
        <f aca="false">IF(46&lt;$C$16,0,MIN($G$16,ROUNDUP($F$16+($G$16-$F$16)*10/12,0)))</f>
        <v>2</v>
      </c>
      <c r="AZ55" s="72" t="n">
        <f aca="false">IF(47&lt;$C$16,0,MIN($G$16,ROUNDUP($F$16+($G$16-$F$16)*11/12,0)))</f>
        <v>2</v>
      </c>
      <c r="BA55" s="72" t="n">
        <f aca="false">IF(48&lt;$C$16,0,MIN($G$16,ROUNDUP($F$16+($G$16-$F$16)*12/12,0)))</f>
        <v>2</v>
      </c>
      <c r="BB55" s="69" t="n">
        <f aca="false">BN55</f>
        <v>2</v>
      </c>
      <c r="BC55" s="72" t="n">
        <f aca="false">IF(49&lt;$C$16,0,MIN($H$16,ROUNDUP($G$16+($H$16-$G$16)*1/12,0)))</f>
        <v>2</v>
      </c>
      <c r="BD55" s="72" t="n">
        <f aca="false">IF(50&lt;$C$16,0,MIN($H$16,ROUNDUP($G$16+($H$16-$G$16)*2/12,0)))</f>
        <v>2</v>
      </c>
      <c r="BE55" s="72" t="n">
        <f aca="false">IF(51&lt;$C$16,0,MIN($H$16,ROUNDUP($G$16+($H$16-$G$16)*3/12,0)))</f>
        <v>2</v>
      </c>
      <c r="BF55" s="72" t="n">
        <f aca="false">IF(52&lt;$C$16,0,MIN($H$16,ROUNDUP($G$16+($H$16-$G$16)*4/12,0)))</f>
        <v>2</v>
      </c>
      <c r="BG55" s="72" t="n">
        <f aca="false">IF(53&lt;$C$16,0,MIN($H$16,ROUNDUP($G$16+($H$16-$G$16)*5/12,0)))</f>
        <v>2</v>
      </c>
      <c r="BH55" s="72" t="n">
        <f aca="false">IF(54&lt;$C$16,0,MIN($H$16,ROUNDUP($G$16+($H$16-$G$16)*6/12,0)))</f>
        <v>2</v>
      </c>
      <c r="BI55" s="72" t="n">
        <f aca="false">IF(55&lt;$C$16,0,MIN($H$16,ROUNDUP($G$16+($H$16-$G$16)*7/12,0)))</f>
        <v>2</v>
      </c>
      <c r="BJ55" s="72" t="n">
        <f aca="false">IF(56&lt;$C$16,0,MIN($H$16,ROUNDUP($G$16+($H$16-$G$16)*8/12,0)))</f>
        <v>2</v>
      </c>
      <c r="BK55" s="72" t="n">
        <f aca="false">IF(57&lt;$C$16,0,MIN($H$16,ROUNDUP($G$16+($H$16-$G$16)*9/12,0)))</f>
        <v>2</v>
      </c>
      <c r="BL55" s="72" t="n">
        <f aca="false">IF(58&lt;$C$16,0,MIN($H$16,ROUNDUP($G$16+($H$16-$G$16)*10/12,0)))</f>
        <v>2</v>
      </c>
      <c r="BM55" s="72" t="n">
        <f aca="false">IF(59&lt;$C$16,0,MIN($H$16,ROUNDUP($G$16+($H$16-$G$16)*11/12,0)))</f>
        <v>2</v>
      </c>
      <c r="BN55" s="72" t="n">
        <f aca="false">IF(60&lt;$C$16,0,MIN($H$16,ROUNDUP($G$16+($H$16-$G$16)*12/12,0)))</f>
        <v>2</v>
      </c>
    </row>
    <row r="56" customFormat="false" ht="15" hidden="false" customHeight="false" outlineLevel="0" collapsed="false">
      <c r="A56" s="4" t="s">
        <v>846</v>
      </c>
      <c r="B56" s="69" t="n">
        <f aca="false">N56</f>
        <v>1</v>
      </c>
      <c r="C56" s="72" t="n">
        <f aca="false">IF(1&lt;$C$17,0,$D$17)</f>
        <v>1</v>
      </c>
      <c r="D56" s="72" t="n">
        <f aca="false">IF(2&lt;$C$17,0,$D$17)</f>
        <v>1</v>
      </c>
      <c r="E56" s="72" t="n">
        <f aca="false">IF(3&lt;$C$17,0,$D$17)</f>
        <v>1</v>
      </c>
      <c r="F56" s="72" t="n">
        <f aca="false">IF(4&lt;$C$17,0,$D$17)</f>
        <v>1</v>
      </c>
      <c r="G56" s="72" t="n">
        <f aca="false">IF(5&lt;$C$17,0,$D$17)</f>
        <v>1</v>
      </c>
      <c r="H56" s="72" t="n">
        <f aca="false">IF(6&lt;$C$17,0,$D$17)</f>
        <v>1</v>
      </c>
      <c r="I56" s="72" t="n">
        <f aca="false">IF(7&lt;$C$17,0,$D$17)</f>
        <v>1</v>
      </c>
      <c r="J56" s="72" t="n">
        <f aca="false">IF(8&lt;$C$17,0,$D$17)</f>
        <v>1</v>
      </c>
      <c r="K56" s="72" t="n">
        <f aca="false">IF(9&lt;$C$17,0,$D$17)</f>
        <v>1</v>
      </c>
      <c r="L56" s="72" t="n">
        <f aca="false">IF(10&lt;$C$17,0,$D$17)</f>
        <v>1</v>
      </c>
      <c r="M56" s="72" t="n">
        <f aca="false">IF(11&lt;$C$17,0,$D$17)</f>
        <v>1</v>
      </c>
      <c r="N56" s="72" t="n">
        <f aca="false">IF(12&lt;$C$17,0,$D$17)</f>
        <v>1</v>
      </c>
      <c r="O56" s="69" t="n">
        <f aca="false">AA56</f>
        <v>1</v>
      </c>
      <c r="P56" s="72" t="n">
        <f aca="false">IF(13&lt;$C$17,0,MIN($E$17,ROUNDUP($D$17+($E$17-$D$17)*1/12,0)))</f>
        <v>1</v>
      </c>
      <c r="Q56" s="72" t="n">
        <f aca="false">IF(14&lt;$C$17,0,MIN($E$17,ROUNDUP($D$17+($E$17-$D$17)*2/12,0)))</f>
        <v>1</v>
      </c>
      <c r="R56" s="72" t="n">
        <f aca="false">IF(15&lt;$C$17,0,MIN($E$17,ROUNDUP($D$17+($E$17-$D$17)*3/12,0)))</f>
        <v>1</v>
      </c>
      <c r="S56" s="72" t="n">
        <f aca="false">IF(16&lt;$C$17,0,MIN($E$17,ROUNDUP($D$17+($E$17-$D$17)*4/12,0)))</f>
        <v>1</v>
      </c>
      <c r="T56" s="72" t="n">
        <f aca="false">IF(17&lt;$C$17,0,MIN($E$17,ROUNDUP($D$17+($E$17-$D$17)*5/12,0)))</f>
        <v>1</v>
      </c>
      <c r="U56" s="72" t="n">
        <f aca="false">IF(18&lt;$C$17,0,MIN($E$17,ROUNDUP($D$17+($E$17-$D$17)*6/12,0)))</f>
        <v>1</v>
      </c>
      <c r="V56" s="72" t="n">
        <f aca="false">IF(19&lt;$C$17,0,MIN($E$17,ROUNDUP($D$17+($E$17-$D$17)*7/12,0)))</f>
        <v>1</v>
      </c>
      <c r="W56" s="72" t="n">
        <f aca="false">IF(20&lt;$C$17,0,MIN($E$17,ROUNDUP($D$17+($E$17-$D$17)*8/12,0)))</f>
        <v>1</v>
      </c>
      <c r="X56" s="72" t="n">
        <f aca="false">IF(21&lt;$C$17,0,MIN($E$17,ROUNDUP($D$17+($E$17-$D$17)*9/12,0)))</f>
        <v>1</v>
      </c>
      <c r="Y56" s="72" t="n">
        <f aca="false">IF(22&lt;$C$17,0,MIN($E$17,ROUNDUP($D$17+($E$17-$D$17)*10/12,0)))</f>
        <v>1</v>
      </c>
      <c r="Z56" s="72" t="n">
        <f aca="false">IF(23&lt;$C$17,0,MIN($E$17,ROUNDUP($D$17+($E$17-$D$17)*11/12,0)))</f>
        <v>1</v>
      </c>
      <c r="AA56" s="72" t="n">
        <f aca="false">IF(24&lt;$C$17,0,MIN($E$17,ROUNDUP($D$17+($E$17-$D$17)*12/12,0)))</f>
        <v>1</v>
      </c>
      <c r="AB56" s="69" t="n">
        <f aca="false">AN56</f>
        <v>2</v>
      </c>
      <c r="AC56" s="72" t="n">
        <f aca="false">IF(25&lt;$C$17,0,MIN($F$17,ROUNDUP($E$17+($F$17-$E$17)*1/12,0)))</f>
        <v>2</v>
      </c>
      <c r="AD56" s="72" t="n">
        <f aca="false">IF(26&lt;$C$17,0,MIN($F$17,ROUNDUP($E$17+($F$17-$E$17)*2/12,0)))</f>
        <v>2</v>
      </c>
      <c r="AE56" s="72" t="n">
        <f aca="false">IF(27&lt;$C$17,0,MIN($F$17,ROUNDUP($E$17+($F$17-$E$17)*3/12,0)))</f>
        <v>2</v>
      </c>
      <c r="AF56" s="72" t="n">
        <f aca="false">IF(28&lt;$C$17,0,MIN($F$17,ROUNDUP($E$17+($F$17-$E$17)*4/12,0)))</f>
        <v>2</v>
      </c>
      <c r="AG56" s="72" t="n">
        <f aca="false">IF(29&lt;$C$17,0,MIN($F$17,ROUNDUP($E$17+($F$17-$E$17)*5/12,0)))</f>
        <v>2</v>
      </c>
      <c r="AH56" s="72" t="n">
        <f aca="false">IF(30&lt;$C$17,0,MIN($F$17,ROUNDUP($E$17+($F$17-$E$17)*6/12,0)))</f>
        <v>2</v>
      </c>
      <c r="AI56" s="72" t="n">
        <f aca="false">IF(31&lt;$C$17,0,MIN($F$17,ROUNDUP($E$17+($F$17-$E$17)*7/12,0)))</f>
        <v>2</v>
      </c>
      <c r="AJ56" s="72" t="n">
        <f aca="false">IF(32&lt;$C$17,0,MIN($F$17,ROUNDUP($E$17+($F$17-$E$17)*8/12,0)))</f>
        <v>2</v>
      </c>
      <c r="AK56" s="72" t="n">
        <f aca="false">IF(33&lt;$C$17,0,MIN($F$17,ROUNDUP($E$17+($F$17-$E$17)*9/12,0)))</f>
        <v>2</v>
      </c>
      <c r="AL56" s="72" t="n">
        <f aca="false">IF(34&lt;$C$17,0,MIN($F$17,ROUNDUP($E$17+($F$17-$E$17)*10/12,0)))</f>
        <v>2</v>
      </c>
      <c r="AM56" s="72" t="n">
        <f aca="false">IF(35&lt;$C$17,0,MIN($F$17,ROUNDUP($E$17+($F$17-$E$17)*11/12,0)))</f>
        <v>2</v>
      </c>
      <c r="AN56" s="72" t="n">
        <f aca="false">IF(36&lt;$C$17,0,MIN($F$17,ROUNDUP($E$17+($F$17-$E$17)*12/12,0)))</f>
        <v>2</v>
      </c>
      <c r="AO56" s="69" t="n">
        <f aca="false">BA56</f>
        <v>2</v>
      </c>
      <c r="AP56" s="72" t="n">
        <f aca="false">IF(37&lt;$C$17,0,MIN($G$17,ROUNDUP($F$17+($G$17-$F$17)*1/12,0)))</f>
        <v>2</v>
      </c>
      <c r="AQ56" s="72" t="n">
        <f aca="false">IF(38&lt;$C$17,0,MIN($G$17,ROUNDUP($F$17+($G$17-$F$17)*2/12,0)))</f>
        <v>2</v>
      </c>
      <c r="AR56" s="72" t="n">
        <f aca="false">IF(39&lt;$C$17,0,MIN($G$17,ROUNDUP($F$17+($G$17-$F$17)*3/12,0)))</f>
        <v>2</v>
      </c>
      <c r="AS56" s="72" t="n">
        <f aca="false">IF(40&lt;$C$17,0,MIN($G$17,ROUNDUP($F$17+($G$17-$F$17)*4/12,0)))</f>
        <v>2</v>
      </c>
      <c r="AT56" s="72" t="n">
        <f aca="false">IF(41&lt;$C$17,0,MIN($G$17,ROUNDUP($F$17+($G$17-$F$17)*5/12,0)))</f>
        <v>2</v>
      </c>
      <c r="AU56" s="72" t="n">
        <f aca="false">IF(42&lt;$C$17,0,MIN($G$17,ROUNDUP($F$17+($G$17-$F$17)*6/12,0)))</f>
        <v>2</v>
      </c>
      <c r="AV56" s="72" t="n">
        <f aca="false">IF(43&lt;$C$17,0,MIN($G$17,ROUNDUP($F$17+($G$17-$F$17)*7/12,0)))</f>
        <v>2</v>
      </c>
      <c r="AW56" s="72" t="n">
        <f aca="false">IF(44&lt;$C$17,0,MIN($G$17,ROUNDUP($F$17+($G$17-$F$17)*8/12,0)))</f>
        <v>2</v>
      </c>
      <c r="AX56" s="72" t="n">
        <f aca="false">IF(45&lt;$C$17,0,MIN($G$17,ROUNDUP($F$17+($G$17-$F$17)*9/12,0)))</f>
        <v>2</v>
      </c>
      <c r="AY56" s="72" t="n">
        <f aca="false">IF(46&lt;$C$17,0,MIN($G$17,ROUNDUP($F$17+($G$17-$F$17)*10/12,0)))</f>
        <v>2</v>
      </c>
      <c r="AZ56" s="72" t="n">
        <f aca="false">IF(47&lt;$C$17,0,MIN($G$17,ROUNDUP($F$17+($G$17-$F$17)*11/12,0)))</f>
        <v>2</v>
      </c>
      <c r="BA56" s="72" t="n">
        <f aca="false">IF(48&lt;$C$17,0,MIN($G$17,ROUNDUP($F$17+($G$17-$F$17)*12/12,0)))</f>
        <v>2</v>
      </c>
      <c r="BB56" s="69" t="n">
        <f aca="false">BN56</f>
        <v>3</v>
      </c>
      <c r="BC56" s="72" t="n">
        <f aca="false">IF(49&lt;$C$17,0,MIN($H$17,ROUNDUP($G$17+($H$17-$G$17)*1/12,0)))</f>
        <v>3</v>
      </c>
      <c r="BD56" s="72" t="n">
        <f aca="false">IF(50&lt;$C$17,0,MIN($H$17,ROUNDUP($G$17+($H$17-$G$17)*2/12,0)))</f>
        <v>3</v>
      </c>
      <c r="BE56" s="72" t="n">
        <f aca="false">IF(51&lt;$C$17,0,MIN($H$17,ROUNDUP($G$17+($H$17-$G$17)*3/12,0)))</f>
        <v>3</v>
      </c>
      <c r="BF56" s="72" t="n">
        <f aca="false">IF(52&lt;$C$17,0,MIN($H$17,ROUNDUP($G$17+($H$17-$G$17)*4/12,0)))</f>
        <v>3</v>
      </c>
      <c r="BG56" s="72" t="n">
        <f aca="false">IF(53&lt;$C$17,0,MIN($H$17,ROUNDUP($G$17+($H$17-$G$17)*5/12,0)))</f>
        <v>3</v>
      </c>
      <c r="BH56" s="72" t="n">
        <f aca="false">IF(54&lt;$C$17,0,MIN($H$17,ROUNDUP($G$17+($H$17-$G$17)*6/12,0)))</f>
        <v>3</v>
      </c>
      <c r="BI56" s="72" t="n">
        <f aca="false">IF(55&lt;$C$17,0,MIN($H$17,ROUNDUP($G$17+($H$17-$G$17)*7/12,0)))</f>
        <v>3</v>
      </c>
      <c r="BJ56" s="72" t="n">
        <f aca="false">IF(56&lt;$C$17,0,MIN($H$17,ROUNDUP($G$17+($H$17-$G$17)*8/12,0)))</f>
        <v>3</v>
      </c>
      <c r="BK56" s="72" t="n">
        <f aca="false">IF(57&lt;$C$17,0,MIN($H$17,ROUNDUP($G$17+($H$17-$G$17)*9/12,0)))</f>
        <v>3</v>
      </c>
      <c r="BL56" s="72" t="n">
        <f aca="false">IF(58&lt;$C$17,0,MIN($H$17,ROUNDUP($G$17+($H$17-$G$17)*10/12,0)))</f>
        <v>3</v>
      </c>
      <c r="BM56" s="72" t="n">
        <f aca="false">IF(59&lt;$C$17,0,MIN($H$17,ROUNDUP($G$17+($H$17-$G$17)*11/12,0)))</f>
        <v>3</v>
      </c>
      <c r="BN56" s="72" t="n">
        <f aca="false">IF(60&lt;$C$17,0,MIN($H$17,ROUNDUP($G$17+($H$17-$G$17)*12/12,0)))</f>
        <v>3</v>
      </c>
    </row>
    <row r="57" customFormat="false" ht="15" hidden="false" customHeight="false" outlineLevel="0" collapsed="false">
      <c r="A57" s="4" t="s">
        <v>847</v>
      </c>
      <c r="B57" s="69" t="n">
        <f aca="false">N57</f>
        <v>0</v>
      </c>
      <c r="C57" s="72" t="n">
        <f aca="false">IF(1&lt;$C$18,0,$D$18)</f>
        <v>0</v>
      </c>
      <c r="D57" s="72" t="n">
        <f aca="false">IF(2&lt;$C$18,0,$D$18)</f>
        <v>0</v>
      </c>
      <c r="E57" s="72" t="n">
        <f aca="false">IF(3&lt;$C$18,0,$D$18)</f>
        <v>0</v>
      </c>
      <c r="F57" s="72" t="n">
        <f aca="false">IF(4&lt;$C$18,0,$D$18)</f>
        <v>0</v>
      </c>
      <c r="G57" s="72" t="n">
        <f aca="false">IF(5&lt;$C$18,0,$D$18)</f>
        <v>0</v>
      </c>
      <c r="H57" s="72" t="n">
        <f aca="false">IF(6&lt;$C$18,0,$D$18)</f>
        <v>0</v>
      </c>
      <c r="I57" s="72" t="n">
        <f aca="false">IF(7&lt;$C$18,0,$D$18)</f>
        <v>0</v>
      </c>
      <c r="J57" s="72" t="n">
        <f aca="false">IF(8&lt;$C$18,0,$D$18)</f>
        <v>0</v>
      </c>
      <c r="K57" s="72" t="n">
        <f aca="false">IF(9&lt;$C$18,0,$D$18)</f>
        <v>0</v>
      </c>
      <c r="L57" s="72" t="n">
        <f aca="false">IF(10&lt;$C$18,0,$D$18)</f>
        <v>0</v>
      </c>
      <c r="M57" s="72" t="n">
        <f aca="false">IF(11&lt;$C$18,0,$D$18)</f>
        <v>0</v>
      </c>
      <c r="N57" s="72" t="n">
        <f aca="false">IF(12&lt;$C$18,0,$D$18)</f>
        <v>0</v>
      </c>
      <c r="O57" s="69" t="n">
        <f aca="false">AA57</f>
        <v>1</v>
      </c>
      <c r="P57" s="72" t="n">
        <f aca="false">IF(13&lt;$C$18,0,MIN($E$18,ROUNDUP($D$18+($E$18-$D$18)*1/12,0)))</f>
        <v>1</v>
      </c>
      <c r="Q57" s="72" t="n">
        <f aca="false">IF(14&lt;$C$18,0,MIN($E$18,ROUNDUP($D$18+($E$18-$D$18)*2/12,0)))</f>
        <v>1</v>
      </c>
      <c r="R57" s="72" t="n">
        <f aca="false">IF(15&lt;$C$18,0,MIN($E$18,ROUNDUP($D$18+($E$18-$D$18)*3/12,0)))</f>
        <v>1</v>
      </c>
      <c r="S57" s="72" t="n">
        <f aca="false">IF(16&lt;$C$18,0,MIN($E$18,ROUNDUP($D$18+($E$18-$D$18)*4/12,0)))</f>
        <v>1</v>
      </c>
      <c r="T57" s="72" t="n">
        <f aca="false">IF(17&lt;$C$18,0,MIN($E$18,ROUNDUP($D$18+($E$18-$D$18)*5/12,0)))</f>
        <v>1</v>
      </c>
      <c r="U57" s="72" t="n">
        <f aca="false">IF(18&lt;$C$18,0,MIN($E$18,ROUNDUP($D$18+($E$18-$D$18)*6/12,0)))</f>
        <v>1</v>
      </c>
      <c r="V57" s="72" t="n">
        <f aca="false">IF(19&lt;$C$18,0,MIN($E$18,ROUNDUP($D$18+($E$18-$D$18)*7/12,0)))</f>
        <v>1</v>
      </c>
      <c r="W57" s="72" t="n">
        <f aca="false">IF(20&lt;$C$18,0,MIN($E$18,ROUNDUP($D$18+($E$18-$D$18)*8/12,0)))</f>
        <v>1</v>
      </c>
      <c r="X57" s="72" t="n">
        <f aca="false">IF(21&lt;$C$18,0,MIN($E$18,ROUNDUP($D$18+($E$18-$D$18)*9/12,0)))</f>
        <v>1</v>
      </c>
      <c r="Y57" s="72" t="n">
        <f aca="false">IF(22&lt;$C$18,0,MIN($E$18,ROUNDUP($D$18+($E$18-$D$18)*10/12,0)))</f>
        <v>1</v>
      </c>
      <c r="Z57" s="72" t="n">
        <f aca="false">IF(23&lt;$C$18,0,MIN($E$18,ROUNDUP($D$18+($E$18-$D$18)*11/12,0)))</f>
        <v>1</v>
      </c>
      <c r="AA57" s="72" t="n">
        <f aca="false">IF(24&lt;$C$18,0,MIN($E$18,ROUNDUP($D$18+($E$18-$D$18)*12/12,0)))</f>
        <v>1</v>
      </c>
      <c r="AB57" s="69" t="n">
        <f aca="false">AN57</f>
        <v>1</v>
      </c>
      <c r="AC57" s="72" t="n">
        <f aca="false">IF(25&lt;$C$18,0,MIN($F$18,ROUNDUP($E$18+($F$18-$E$18)*1/12,0)))</f>
        <v>1</v>
      </c>
      <c r="AD57" s="72" t="n">
        <f aca="false">IF(26&lt;$C$18,0,MIN($F$18,ROUNDUP($E$18+($F$18-$E$18)*2/12,0)))</f>
        <v>1</v>
      </c>
      <c r="AE57" s="72" t="n">
        <f aca="false">IF(27&lt;$C$18,0,MIN($F$18,ROUNDUP($E$18+($F$18-$E$18)*3/12,0)))</f>
        <v>1</v>
      </c>
      <c r="AF57" s="72" t="n">
        <f aca="false">IF(28&lt;$C$18,0,MIN($F$18,ROUNDUP($E$18+($F$18-$E$18)*4/12,0)))</f>
        <v>1</v>
      </c>
      <c r="AG57" s="72" t="n">
        <f aca="false">IF(29&lt;$C$18,0,MIN($F$18,ROUNDUP($E$18+($F$18-$E$18)*5/12,0)))</f>
        <v>1</v>
      </c>
      <c r="AH57" s="72" t="n">
        <f aca="false">IF(30&lt;$C$18,0,MIN($F$18,ROUNDUP($E$18+($F$18-$E$18)*6/12,0)))</f>
        <v>1</v>
      </c>
      <c r="AI57" s="72" t="n">
        <f aca="false">IF(31&lt;$C$18,0,MIN($F$18,ROUNDUP($E$18+($F$18-$E$18)*7/12,0)))</f>
        <v>1</v>
      </c>
      <c r="AJ57" s="72" t="n">
        <f aca="false">IF(32&lt;$C$18,0,MIN($F$18,ROUNDUP($E$18+($F$18-$E$18)*8/12,0)))</f>
        <v>1</v>
      </c>
      <c r="AK57" s="72" t="n">
        <f aca="false">IF(33&lt;$C$18,0,MIN($F$18,ROUNDUP($E$18+($F$18-$E$18)*9/12,0)))</f>
        <v>1</v>
      </c>
      <c r="AL57" s="72" t="n">
        <f aca="false">IF(34&lt;$C$18,0,MIN($F$18,ROUNDUP($E$18+($F$18-$E$18)*10/12,0)))</f>
        <v>1</v>
      </c>
      <c r="AM57" s="72" t="n">
        <f aca="false">IF(35&lt;$C$18,0,MIN($F$18,ROUNDUP($E$18+($F$18-$E$18)*11/12,0)))</f>
        <v>1</v>
      </c>
      <c r="AN57" s="72" t="n">
        <f aca="false">IF(36&lt;$C$18,0,MIN($F$18,ROUNDUP($E$18+($F$18-$E$18)*12/12,0)))</f>
        <v>1</v>
      </c>
      <c r="AO57" s="69" t="n">
        <f aca="false">BA57</f>
        <v>2</v>
      </c>
      <c r="AP57" s="72" t="n">
        <f aca="false">IF(37&lt;$C$18,0,MIN($G$18,ROUNDUP($F$18+($G$18-$F$18)*1/12,0)))</f>
        <v>2</v>
      </c>
      <c r="AQ57" s="72" t="n">
        <f aca="false">IF(38&lt;$C$18,0,MIN($G$18,ROUNDUP($F$18+($G$18-$F$18)*2/12,0)))</f>
        <v>2</v>
      </c>
      <c r="AR57" s="72" t="n">
        <f aca="false">IF(39&lt;$C$18,0,MIN($G$18,ROUNDUP($F$18+($G$18-$F$18)*3/12,0)))</f>
        <v>2</v>
      </c>
      <c r="AS57" s="72" t="n">
        <f aca="false">IF(40&lt;$C$18,0,MIN($G$18,ROUNDUP($F$18+($G$18-$F$18)*4/12,0)))</f>
        <v>2</v>
      </c>
      <c r="AT57" s="72" t="n">
        <f aca="false">IF(41&lt;$C$18,0,MIN($G$18,ROUNDUP($F$18+($G$18-$F$18)*5/12,0)))</f>
        <v>2</v>
      </c>
      <c r="AU57" s="72" t="n">
        <f aca="false">IF(42&lt;$C$18,0,MIN($G$18,ROUNDUP($F$18+($G$18-$F$18)*6/12,0)))</f>
        <v>2</v>
      </c>
      <c r="AV57" s="72" t="n">
        <f aca="false">IF(43&lt;$C$18,0,MIN($G$18,ROUNDUP($F$18+($G$18-$F$18)*7/12,0)))</f>
        <v>2</v>
      </c>
      <c r="AW57" s="72" t="n">
        <f aca="false">IF(44&lt;$C$18,0,MIN($G$18,ROUNDUP($F$18+($G$18-$F$18)*8/12,0)))</f>
        <v>2</v>
      </c>
      <c r="AX57" s="72" t="n">
        <f aca="false">IF(45&lt;$C$18,0,MIN($G$18,ROUNDUP($F$18+($G$18-$F$18)*9/12,0)))</f>
        <v>2</v>
      </c>
      <c r="AY57" s="72" t="n">
        <f aca="false">IF(46&lt;$C$18,0,MIN($G$18,ROUNDUP($F$18+($G$18-$F$18)*10/12,0)))</f>
        <v>2</v>
      </c>
      <c r="AZ57" s="72" t="n">
        <f aca="false">IF(47&lt;$C$18,0,MIN($G$18,ROUNDUP($F$18+($G$18-$F$18)*11/12,0)))</f>
        <v>2</v>
      </c>
      <c r="BA57" s="72" t="n">
        <f aca="false">IF(48&lt;$C$18,0,MIN($G$18,ROUNDUP($F$18+($G$18-$F$18)*12/12,0)))</f>
        <v>2</v>
      </c>
      <c r="BB57" s="69" t="n">
        <f aca="false">BN57</f>
        <v>2</v>
      </c>
      <c r="BC57" s="72" t="n">
        <f aca="false">IF(49&lt;$C$18,0,MIN($H$18,ROUNDUP($G$18+($H$18-$G$18)*1/12,0)))</f>
        <v>2</v>
      </c>
      <c r="BD57" s="72" t="n">
        <f aca="false">IF(50&lt;$C$18,0,MIN($H$18,ROUNDUP($G$18+($H$18-$G$18)*2/12,0)))</f>
        <v>2</v>
      </c>
      <c r="BE57" s="72" t="n">
        <f aca="false">IF(51&lt;$C$18,0,MIN($H$18,ROUNDUP($G$18+($H$18-$G$18)*3/12,0)))</f>
        <v>2</v>
      </c>
      <c r="BF57" s="72" t="n">
        <f aca="false">IF(52&lt;$C$18,0,MIN($H$18,ROUNDUP($G$18+($H$18-$G$18)*4/12,0)))</f>
        <v>2</v>
      </c>
      <c r="BG57" s="72" t="n">
        <f aca="false">IF(53&lt;$C$18,0,MIN($H$18,ROUNDUP($G$18+($H$18-$G$18)*5/12,0)))</f>
        <v>2</v>
      </c>
      <c r="BH57" s="72" t="n">
        <f aca="false">IF(54&lt;$C$18,0,MIN($H$18,ROUNDUP($G$18+($H$18-$G$18)*6/12,0)))</f>
        <v>2</v>
      </c>
      <c r="BI57" s="72" t="n">
        <f aca="false">IF(55&lt;$C$18,0,MIN($H$18,ROUNDUP($G$18+($H$18-$G$18)*7/12,0)))</f>
        <v>2</v>
      </c>
      <c r="BJ57" s="72" t="n">
        <f aca="false">IF(56&lt;$C$18,0,MIN($H$18,ROUNDUP($G$18+($H$18-$G$18)*8/12,0)))</f>
        <v>2</v>
      </c>
      <c r="BK57" s="72" t="n">
        <f aca="false">IF(57&lt;$C$18,0,MIN($H$18,ROUNDUP($G$18+($H$18-$G$18)*9/12,0)))</f>
        <v>2</v>
      </c>
      <c r="BL57" s="72" t="n">
        <f aca="false">IF(58&lt;$C$18,0,MIN($H$18,ROUNDUP($G$18+($H$18-$G$18)*10/12,0)))</f>
        <v>2</v>
      </c>
      <c r="BM57" s="72" t="n">
        <f aca="false">IF(59&lt;$C$18,0,MIN($H$18,ROUNDUP($G$18+($H$18-$G$18)*11/12,0)))</f>
        <v>2</v>
      </c>
      <c r="BN57" s="72" t="n">
        <f aca="false">IF(60&lt;$C$18,0,MIN($H$18,ROUNDUP($G$18+($H$18-$G$18)*12/12,0)))</f>
        <v>2</v>
      </c>
    </row>
    <row r="58" customFormat="false" ht="15" hidden="false" customHeight="false" outlineLevel="0" collapsed="false">
      <c r="A58" s="4" t="s">
        <v>848</v>
      </c>
      <c r="B58" s="69" t="n">
        <f aca="false">N58</f>
        <v>0</v>
      </c>
      <c r="C58" s="72" t="n">
        <f aca="false">IF(1&lt;$C$19,0,$D$19)</f>
        <v>0</v>
      </c>
      <c r="D58" s="72" t="n">
        <f aca="false">IF(2&lt;$C$19,0,$D$19)</f>
        <v>0</v>
      </c>
      <c r="E58" s="72" t="n">
        <f aca="false">IF(3&lt;$C$19,0,$D$19)</f>
        <v>0</v>
      </c>
      <c r="F58" s="72" t="n">
        <f aca="false">IF(4&lt;$C$19,0,$D$19)</f>
        <v>0</v>
      </c>
      <c r="G58" s="72" t="n">
        <f aca="false">IF(5&lt;$C$19,0,$D$19)</f>
        <v>0</v>
      </c>
      <c r="H58" s="72" t="n">
        <f aca="false">IF(6&lt;$C$19,0,$D$19)</f>
        <v>0</v>
      </c>
      <c r="I58" s="72" t="n">
        <f aca="false">IF(7&lt;$C$19,0,$D$19)</f>
        <v>0</v>
      </c>
      <c r="J58" s="72" t="n">
        <f aca="false">IF(8&lt;$C$19,0,$D$19)</f>
        <v>0</v>
      </c>
      <c r="K58" s="72" t="n">
        <f aca="false">IF(9&lt;$C$19,0,$D$19)</f>
        <v>0</v>
      </c>
      <c r="L58" s="72" t="n">
        <f aca="false">IF(10&lt;$C$19,0,$D$19)</f>
        <v>0</v>
      </c>
      <c r="M58" s="72" t="n">
        <f aca="false">IF(11&lt;$C$19,0,$D$19)</f>
        <v>0</v>
      </c>
      <c r="N58" s="72" t="n">
        <f aca="false">IF(12&lt;$C$19,0,$D$19)</f>
        <v>0</v>
      </c>
      <c r="O58" s="69" t="n">
        <f aca="false">AA58</f>
        <v>1</v>
      </c>
      <c r="P58" s="72" t="n">
        <f aca="false">IF(13&lt;$C$19,0,MIN($E$19,ROUNDUP($D$19+($E$19-$D$19)*1/12,0)))</f>
        <v>1</v>
      </c>
      <c r="Q58" s="72" t="n">
        <f aca="false">IF(14&lt;$C$19,0,MIN($E$19,ROUNDUP($D$19+($E$19-$D$19)*2/12,0)))</f>
        <v>1</v>
      </c>
      <c r="R58" s="72" t="n">
        <f aca="false">IF(15&lt;$C$19,0,MIN($E$19,ROUNDUP($D$19+($E$19-$D$19)*3/12,0)))</f>
        <v>1</v>
      </c>
      <c r="S58" s="72" t="n">
        <f aca="false">IF(16&lt;$C$19,0,MIN($E$19,ROUNDUP($D$19+($E$19-$D$19)*4/12,0)))</f>
        <v>1</v>
      </c>
      <c r="T58" s="72" t="n">
        <f aca="false">IF(17&lt;$C$19,0,MIN($E$19,ROUNDUP($D$19+($E$19-$D$19)*5/12,0)))</f>
        <v>1</v>
      </c>
      <c r="U58" s="72" t="n">
        <f aca="false">IF(18&lt;$C$19,0,MIN($E$19,ROUNDUP($D$19+($E$19-$D$19)*6/12,0)))</f>
        <v>1</v>
      </c>
      <c r="V58" s="72" t="n">
        <f aca="false">IF(19&lt;$C$19,0,MIN($E$19,ROUNDUP($D$19+($E$19-$D$19)*7/12,0)))</f>
        <v>1</v>
      </c>
      <c r="W58" s="72" t="n">
        <f aca="false">IF(20&lt;$C$19,0,MIN($E$19,ROUNDUP($D$19+($E$19-$D$19)*8/12,0)))</f>
        <v>1</v>
      </c>
      <c r="X58" s="72" t="n">
        <f aca="false">IF(21&lt;$C$19,0,MIN($E$19,ROUNDUP($D$19+($E$19-$D$19)*9/12,0)))</f>
        <v>1</v>
      </c>
      <c r="Y58" s="72" t="n">
        <f aca="false">IF(22&lt;$C$19,0,MIN($E$19,ROUNDUP($D$19+($E$19-$D$19)*10/12,0)))</f>
        <v>1</v>
      </c>
      <c r="Z58" s="72" t="n">
        <f aca="false">IF(23&lt;$C$19,0,MIN($E$19,ROUNDUP($D$19+($E$19-$D$19)*11/12,0)))</f>
        <v>1</v>
      </c>
      <c r="AA58" s="72" t="n">
        <f aca="false">IF(24&lt;$C$19,0,MIN($E$19,ROUNDUP($D$19+($E$19-$D$19)*12/12,0)))</f>
        <v>1</v>
      </c>
      <c r="AB58" s="69" t="n">
        <f aca="false">AN58</f>
        <v>1</v>
      </c>
      <c r="AC58" s="72" t="n">
        <f aca="false">IF(25&lt;$C$19,0,MIN($F$19,ROUNDUP($E$19+($F$19-$E$19)*1/12,0)))</f>
        <v>1</v>
      </c>
      <c r="AD58" s="72" t="n">
        <f aca="false">IF(26&lt;$C$19,0,MIN($F$19,ROUNDUP($E$19+($F$19-$E$19)*2/12,0)))</f>
        <v>1</v>
      </c>
      <c r="AE58" s="72" t="n">
        <f aca="false">IF(27&lt;$C$19,0,MIN($F$19,ROUNDUP($E$19+($F$19-$E$19)*3/12,0)))</f>
        <v>1</v>
      </c>
      <c r="AF58" s="72" t="n">
        <f aca="false">IF(28&lt;$C$19,0,MIN($F$19,ROUNDUP($E$19+($F$19-$E$19)*4/12,0)))</f>
        <v>1</v>
      </c>
      <c r="AG58" s="72" t="n">
        <f aca="false">IF(29&lt;$C$19,0,MIN($F$19,ROUNDUP($E$19+($F$19-$E$19)*5/12,0)))</f>
        <v>1</v>
      </c>
      <c r="AH58" s="72" t="n">
        <f aca="false">IF(30&lt;$C$19,0,MIN($F$19,ROUNDUP($E$19+($F$19-$E$19)*6/12,0)))</f>
        <v>1</v>
      </c>
      <c r="AI58" s="72" t="n">
        <f aca="false">IF(31&lt;$C$19,0,MIN($F$19,ROUNDUP($E$19+($F$19-$E$19)*7/12,0)))</f>
        <v>1</v>
      </c>
      <c r="AJ58" s="72" t="n">
        <f aca="false">IF(32&lt;$C$19,0,MIN($F$19,ROUNDUP($E$19+($F$19-$E$19)*8/12,0)))</f>
        <v>1</v>
      </c>
      <c r="AK58" s="72" t="n">
        <f aca="false">IF(33&lt;$C$19,0,MIN($F$19,ROUNDUP($E$19+($F$19-$E$19)*9/12,0)))</f>
        <v>1</v>
      </c>
      <c r="AL58" s="72" t="n">
        <f aca="false">IF(34&lt;$C$19,0,MIN($F$19,ROUNDUP($E$19+($F$19-$E$19)*10/12,0)))</f>
        <v>1</v>
      </c>
      <c r="AM58" s="72" t="n">
        <f aca="false">IF(35&lt;$C$19,0,MIN($F$19,ROUNDUP($E$19+($F$19-$E$19)*11/12,0)))</f>
        <v>1</v>
      </c>
      <c r="AN58" s="72" t="n">
        <f aca="false">IF(36&lt;$C$19,0,MIN($F$19,ROUNDUP($E$19+($F$19-$E$19)*12/12,0)))</f>
        <v>1</v>
      </c>
      <c r="AO58" s="69" t="n">
        <f aca="false">BA58</f>
        <v>1</v>
      </c>
      <c r="AP58" s="72" t="n">
        <f aca="false">IF(37&lt;$C$19,0,MIN($G$19,ROUNDUP($F$19+($G$19-$F$19)*1/12,0)))</f>
        <v>1</v>
      </c>
      <c r="AQ58" s="72" t="n">
        <f aca="false">IF(38&lt;$C$19,0,MIN($G$19,ROUNDUP($F$19+($G$19-$F$19)*2/12,0)))</f>
        <v>1</v>
      </c>
      <c r="AR58" s="72" t="n">
        <f aca="false">IF(39&lt;$C$19,0,MIN($G$19,ROUNDUP($F$19+($G$19-$F$19)*3/12,0)))</f>
        <v>1</v>
      </c>
      <c r="AS58" s="72" t="n">
        <f aca="false">IF(40&lt;$C$19,0,MIN($G$19,ROUNDUP($F$19+($G$19-$F$19)*4/12,0)))</f>
        <v>1</v>
      </c>
      <c r="AT58" s="72" t="n">
        <f aca="false">IF(41&lt;$C$19,0,MIN($G$19,ROUNDUP($F$19+($G$19-$F$19)*5/12,0)))</f>
        <v>1</v>
      </c>
      <c r="AU58" s="72" t="n">
        <f aca="false">IF(42&lt;$C$19,0,MIN($G$19,ROUNDUP($F$19+($G$19-$F$19)*6/12,0)))</f>
        <v>1</v>
      </c>
      <c r="AV58" s="72" t="n">
        <f aca="false">IF(43&lt;$C$19,0,MIN($G$19,ROUNDUP($F$19+($G$19-$F$19)*7/12,0)))</f>
        <v>1</v>
      </c>
      <c r="AW58" s="72" t="n">
        <f aca="false">IF(44&lt;$C$19,0,MIN($G$19,ROUNDUP($F$19+($G$19-$F$19)*8/12,0)))</f>
        <v>1</v>
      </c>
      <c r="AX58" s="72" t="n">
        <f aca="false">IF(45&lt;$C$19,0,MIN($G$19,ROUNDUP($F$19+($G$19-$F$19)*9/12,0)))</f>
        <v>1</v>
      </c>
      <c r="AY58" s="72" t="n">
        <f aca="false">IF(46&lt;$C$19,0,MIN($G$19,ROUNDUP($F$19+($G$19-$F$19)*10/12,0)))</f>
        <v>1</v>
      </c>
      <c r="AZ58" s="72" t="n">
        <f aca="false">IF(47&lt;$C$19,0,MIN($G$19,ROUNDUP($F$19+($G$19-$F$19)*11/12,0)))</f>
        <v>1</v>
      </c>
      <c r="BA58" s="72" t="n">
        <f aca="false">IF(48&lt;$C$19,0,MIN($G$19,ROUNDUP($F$19+($G$19-$F$19)*12/12,0)))</f>
        <v>1</v>
      </c>
      <c r="BB58" s="69" t="n">
        <f aca="false">BN58</f>
        <v>1</v>
      </c>
      <c r="BC58" s="72" t="n">
        <f aca="false">IF(49&lt;$C$19,0,MIN($H$19,ROUNDUP($G$19+($H$19-$G$19)*1/12,0)))</f>
        <v>1</v>
      </c>
      <c r="BD58" s="72" t="n">
        <f aca="false">IF(50&lt;$C$19,0,MIN($H$19,ROUNDUP($G$19+($H$19-$G$19)*2/12,0)))</f>
        <v>1</v>
      </c>
      <c r="BE58" s="72" t="n">
        <f aca="false">IF(51&lt;$C$19,0,MIN($H$19,ROUNDUP($G$19+($H$19-$G$19)*3/12,0)))</f>
        <v>1</v>
      </c>
      <c r="BF58" s="72" t="n">
        <f aca="false">IF(52&lt;$C$19,0,MIN($H$19,ROUNDUP($G$19+($H$19-$G$19)*4/12,0)))</f>
        <v>1</v>
      </c>
      <c r="BG58" s="72" t="n">
        <f aca="false">IF(53&lt;$C$19,0,MIN($H$19,ROUNDUP($G$19+($H$19-$G$19)*5/12,0)))</f>
        <v>1</v>
      </c>
      <c r="BH58" s="72" t="n">
        <f aca="false">IF(54&lt;$C$19,0,MIN($H$19,ROUNDUP($G$19+($H$19-$G$19)*6/12,0)))</f>
        <v>1</v>
      </c>
      <c r="BI58" s="72" t="n">
        <f aca="false">IF(55&lt;$C$19,0,MIN($H$19,ROUNDUP($G$19+($H$19-$G$19)*7/12,0)))</f>
        <v>1</v>
      </c>
      <c r="BJ58" s="72" t="n">
        <f aca="false">IF(56&lt;$C$19,0,MIN($H$19,ROUNDUP($G$19+($H$19-$G$19)*8/12,0)))</f>
        <v>1</v>
      </c>
      <c r="BK58" s="72" t="n">
        <f aca="false">IF(57&lt;$C$19,0,MIN($H$19,ROUNDUP($G$19+($H$19-$G$19)*9/12,0)))</f>
        <v>1</v>
      </c>
      <c r="BL58" s="72" t="n">
        <f aca="false">IF(58&lt;$C$19,0,MIN($H$19,ROUNDUP($G$19+($H$19-$G$19)*10/12,0)))</f>
        <v>1</v>
      </c>
      <c r="BM58" s="72" t="n">
        <f aca="false">IF(59&lt;$C$19,0,MIN($H$19,ROUNDUP($G$19+($H$19-$G$19)*11/12,0)))</f>
        <v>1</v>
      </c>
      <c r="BN58" s="72" t="n">
        <f aca="false">IF(60&lt;$C$19,0,MIN($H$19,ROUNDUP($G$19+($H$19-$G$19)*12/12,0)))</f>
        <v>1</v>
      </c>
    </row>
    <row r="59" customFormat="false" ht="15" hidden="false" customHeight="false" outlineLevel="0" collapsed="false">
      <c r="A59" s="4" t="s">
        <v>850</v>
      </c>
      <c r="B59" s="69" t="n">
        <f aca="false">N59</f>
        <v>1</v>
      </c>
      <c r="C59" s="72" t="n">
        <f aca="false">IF(1&lt;$C$20,0,$D$20)</f>
        <v>1</v>
      </c>
      <c r="D59" s="72" t="n">
        <f aca="false">IF(2&lt;$C$20,0,$D$20)</f>
        <v>1</v>
      </c>
      <c r="E59" s="72" t="n">
        <f aca="false">IF(3&lt;$C$20,0,$D$20)</f>
        <v>1</v>
      </c>
      <c r="F59" s="72" t="n">
        <f aca="false">IF(4&lt;$C$20,0,$D$20)</f>
        <v>1</v>
      </c>
      <c r="G59" s="72" t="n">
        <f aca="false">IF(5&lt;$C$20,0,$D$20)</f>
        <v>1</v>
      </c>
      <c r="H59" s="72" t="n">
        <f aca="false">IF(6&lt;$C$20,0,$D$20)</f>
        <v>1</v>
      </c>
      <c r="I59" s="72" t="n">
        <f aca="false">IF(7&lt;$C$20,0,$D$20)</f>
        <v>1</v>
      </c>
      <c r="J59" s="72" t="n">
        <f aca="false">IF(8&lt;$C$20,0,$D$20)</f>
        <v>1</v>
      </c>
      <c r="K59" s="72" t="n">
        <f aca="false">IF(9&lt;$C$20,0,$D$20)</f>
        <v>1</v>
      </c>
      <c r="L59" s="72" t="n">
        <f aca="false">IF(10&lt;$C$20,0,$D$20)</f>
        <v>1</v>
      </c>
      <c r="M59" s="72" t="n">
        <f aca="false">IF(11&lt;$C$20,0,$D$20)</f>
        <v>1</v>
      </c>
      <c r="N59" s="72" t="n">
        <f aca="false">IF(12&lt;$C$20,0,$D$20)</f>
        <v>1</v>
      </c>
      <c r="O59" s="69" t="n">
        <f aca="false">AA59</f>
        <v>1</v>
      </c>
      <c r="P59" s="72" t="n">
        <f aca="false">IF(13&lt;$C$20,0,MIN($E$20,ROUNDUP($D$20+($E$20-$D$20)*1/12,0)))</f>
        <v>1</v>
      </c>
      <c r="Q59" s="72" t="n">
        <f aca="false">IF(14&lt;$C$20,0,MIN($E$20,ROUNDUP($D$20+($E$20-$D$20)*2/12,0)))</f>
        <v>1</v>
      </c>
      <c r="R59" s="72" t="n">
        <f aca="false">IF(15&lt;$C$20,0,MIN($E$20,ROUNDUP($D$20+($E$20-$D$20)*3/12,0)))</f>
        <v>1</v>
      </c>
      <c r="S59" s="72" t="n">
        <f aca="false">IF(16&lt;$C$20,0,MIN($E$20,ROUNDUP($D$20+($E$20-$D$20)*4/12,0)))</f>
        <v>1</v>
      </c>
      <c r="T59" s="72" t="n">
        <f aca="false">IF(17&lt;$C$20,0,MIN($E$20,ROUNDUP($D$20+($E$20-$D$20)*5/12,0)))</f>
        <v>1</v>
      </c>
      <c r="U59" s="72" t="n">
        <f aca="false">IF(18&lt;$C$20,0,MIN($E$20,ROUNDUP($D$20+($E$20-$D$20)*6/12,0)))</f>
        <v>1</v>
      </c>
      <c r="V59" s="72" t="n">
        <f aca="false">IF(19&lt;$C$20,0,MIN($E$20,ROUNDUP($D$20+($E$20-$D$20)*7/12,0)))</f>
        <v>1</v>
      </c>
      <c r="W59" s="72" t="n">
        <f aca="false">IF(20&lt;$C$20,0,MIN($E$20,ROUNDUP($D$20+($E$20-$D$20)*8/12,0)))</f>
        <v>1</v>
      </c>
      <c r="X59" s="72" t="n">
        <f aca="false">IF(21&lt;$C$20,0,MIN($E$20,ROUNDUP($D$20+($E$20-$D$20)*9/12,0)))</f>
        <v>1</v>
      </c>
      <c r="Y59" s="72" t="n">
        <f aca="false">IF(22&lt;$C$20,0,MIN($E$20,ROUNDUP($D$20+($E$20-$D$20)*10/12,0)))</f>
        <v>1</v>
      </c>
      <c r="Z59" s="72" t="n">
        <f aca="false">IF(23&lt;$C$20,0,MIN($E$20,ROUNDUP($D$20+($E$20-$D$20)*11/12,0)))</f>
        <v>1</v>
      </c>
      <c r="AA59" s="72" t="n">
        <f aca="false">IF(24&lt;$C$20,0,MIN($E$20,ROUNDUP($D$20+($E$20-$D$20)*12/12,0)))</f>
        <v>1</v>
      </c>
      <c r="AB59" s="69" t="n">
        <f aca="false">AN59</f>
        <v>2</v>
      </c>
      <c r="AC59" s="72" t="n">
        <f aca="false">IF(25&lt;$C$20,0,MIN($F$20,ROUNDUP($E$20+($F$20-$E$20)*1/12,0)))</f>
        <v>2</v>
      </c>
      <c r="AD59" s="72" t="n">
        <f aca="false">IF(26&lt;$C$20,0,MIN($F$20,ROUNDUP($E$20+($F$20-$E$20)*2/12,0)))</f>
        <v>2</v>
      </c>
      <c r="AE59" s="72" t="n">
        <f aca="false">IF(27&lt;$C$20,0,MIN($F$20,ROUNDUP($E$20+($F$20-$E$20)*3/12,0)))</f>
        <v>2</v>
      </c>
      <c r="AF59" s="72" t="n">
        <f aca="false">IF(28&lt;$C$20,0,MIN($F$20,ROUNDUP($E$20+($F$20-$E$20)*4/12,0)))</f>
        <v>2</v>
      </c>
      <c r="AG59" s="72" t="n">
        <f aca="false">IF(29&lt;$C$20,0,MIN($F$20,ROUNDUP($E$20+($F$20-$E$20)*5/12,0)))</f>
        <v>2</v>
      </c>
      <c r="AH59" s="72" t="n">
        <f aca="false">IF(30&lt;$C$20,0,MIN($F$20,ROUNDUP($E$20+($F$20-$E$20)*6/12,0)))</f>
        <v>2</v>
      </c>
      <c r="AI59" s="72" t="n">
        <f aca="false">IF(31&lt;$C$20,0,MIN($F$20,ROUNDUP($E$20+($F$20-$E$20)*7/12,0)))</f>
        <v>2</v>
      </c>
      <c r="AJ59" s="72" t="n">
        <f aca="false">IF(32&lt;$C$20,0,MIN($F$20,ROUNDUP($E$20+($F$20-$E$20)*8/12,0)))</f>
        <v>2</v>
      </c>
      <c r="AK59" s="72" t="n">
        <f aca="false">IF(33&lt;$C$20,0,MIN($F$20,ROUNDUP($E$20+($F$20-$E$20)*9/12,0)))</f>
        <v>2</v>
      </c>
      <c r="AL59" s="72" t="n">
        <f aca="false">IF(34&lt;$C$20,0,MIN($F$20,ROUNDUP($E$20+($F$20-$E$20)*10/12,0)))</f>
        <v>2</v>
      </c>
      <c r="AM59" s="72" t="n">
        <f aca="false">IF(35&lt;$C$20,0,MIN($F$20,ROUNDUP($E$20+($F$20-$E$20)*11/12,0)))</f>
        <v>2</v>
      </c>
      <c r="AN59" s="72" t="n">
        <f aca="false">IF(36&lt;$C$20,0,MIN($F$20,ROUNDUP($E$20+($F$20-$E$20)*12/12,0)))</f>
        <v>2</v>
      </c>
      <c r="AO59" s="69" t="n">
        <f aca="false">BA59</f>
        <v>2</v>
      </c>
      <c r="AP59" s="72" t="n">
        <f aca="false">IF(37&lt;$C$20,0,MIN($G$20,ROUNDUP($F$20+($G$20-$F$20)*1/12,0)))</f>
        <v>2</v>
      </c>
      <c r="AQ59" s="72" t="n">
        <f aca="false">IF(38&lt;$C$20,0,MIN($G$20,ROUNDUP($F$20+($G$20-$F$20)*2/12,0)))</f>
        <v>2</v>
      </c>
      <c r="AR59" s="72" t="n">
        <f aca="false">IF(39&lt;$C$20,0,MIN($G$20,ROUNDUP($F$20+($G$20-$F$20)*3/12,0)))</f>
        <v>2</v>
      </c>
      <c r="AS59" s="72" t="n">
        <f aca="false">IF(40&lt;$C$20,0,MIN($G$20,ROUNDUP($F$20+($G$20-$F$20)*4/12,0)))</f>
        <v>2</v>
      </c>
      <c r="AT59" s="72" t="n">
        <f aca="false">IF(41&lt;$C$20,0,MIN($G$20,ROUNDUP($F$20+($G$20-$F$20)*5/12,0)))</f>
        <v>2</v>
      </c>
      <c r="AU59" s="72" t="n">
        <f aca="false">IF(42&lt;$C$20,0,MIN($G$20,ROUNDUP($F$20+($G$20-$F$20)*6/12,0)))</f>
        <v>2</v>
      </c>
      <c r="AV59" s="72" t="n">
        <f aca="false">IF(43&lt;$C$20,0,MIN($G$20,ROUNDUP($F$20+($G$20-$F$20)*7/12,0)))</f>
        <v>2</v>
      </c>
      <c r="AW59" s="72" t="n">
        <f aca="false">IF(44&lt;$C$20,0,MIN($G$20,ROUNDUP($F$20+($G$20-$F$20)*8/12,0)))</f>
        <v>2</v>
      </c>
      <c r="AX59" s="72" t="n">
        <f aca="false">IF(45&lt;$C$20,0,MIN($G$20,ROUNDUP($F$20+($G$20-$F$20)*9/12,0)))</f>
        <v>2</v>
      </c>
      <c r="AY59" s="72" t="n">
        <f aca="false">IF(46&lt;$C$20,0,MIN($G$20,ROUNDUP($F$20+($G$20-$F$20)*10/12,0)))</f>
        <v>2</v>
      </c>
      <c r="AZ59" s="72" t="n">
        <f aca="false">IF(47&lt;$C$20,0,MIN($G$20,ROUNDUP($F$20+($G$20-$F$20)*11/12,0)))</f>
        <v>2</v>
      </c>
      <c r="BA59" s="72" t="n">
        <f aca="false">IF(48&lt;$C$20,0,MIN($G$20,ROUNDUP($F$20+($G$20-$F$20)*12/12,0)))</f>
        <v>2</v>
      </c>
      <c r="BB59" s="69" t="n">
        <f aca="false">BN59</f>
        <v>3</v>
      </c>
      <c r="BC59" s="72" t="n">
        <f aca="false">IF(49&lt;$C$20,0,MIN($H$20,ROUNDUP($G$20+($H$20-$G$20)*1/12,0)))</f>
        <v>3</v>
      </c>
      <c r="BD59" s="72" t="n">
        <f aca="false">IF(50&lt;$C$20,0,MIN($H$20,ROUNDUP($G$20+($H$20-$G$20)*2/12,0)))</f>
        <v>3</v>
      </c>
      <c r="BE59" s="72" t="n">
        <f aca="false">IF(51&lt;$C$20,0,MIN($H$20,ROUNDUP($G$20+($H$20-$G$20)*3/12,0)))</f>
        <v>3</v>
      </c>
      <c r="BF59" s="72" t="n">
        <f aca="false">IF(52&lt;$C$20,0,MIN($H$20,ROUNDUP($G$20+($H$20-$G$20)*4/12,0)))</f>
        <v>3</v>
      </c>
      <c r="BG59" s="72" t="n">
        <f aca="false">IF(53&lt;$C$20,0,MIN($H$20,ROUNDUP($G$20+($H$20-$G$20)*5/12,0)))</f>
        <v>3</v>
      </c>
      <c r="BH59" s="72" t="n">
        <f aca="false">IF(54&lt;$C$20,0,MIN($H$20,ROUNDUP($G$20+($H$20-$G$20)*6/12,0)))</f>
        <v>3</v>
      </c>
      <c r="BI59" s="72" t="n">
        <f aca="false">IF(55&lt;$C$20,0,MIN($H$20,ROUNDUP($G$20+($H$20-$G$20)*7/12,0)))</f>
        <v>3</v>
      </c>
      <c r="BJ59" s="72" t="n">
        <f aca="false">IF(56&lt;$C$20,0,MIN($H$20,ROUNDUP($G$20+($H$20-$G$20)*8/12,0)))</f>
        <v>3</v>
      </c>
      <c r="BK59" s="72" t="n">
        <f aca="false">IF(57&lt;$C$20,0,MIN($H$20,ROUNDUP($G$20+($H$20-$G$20)*9/12,0)))</f>
        <v>3</v>
      </c>
      <c r="BL59" s="72" t="n">
        <f aca="false">IF(58&lt;$C$20,0,MIN($H$20,ROUNDUP($G$20+($H$20-$G$20)*10/12,0)))</f>
        <v>3</v>
      </c>
      <c r="BM59" s="72" t="n">
        <f aca="false">IF(59&lt;$C$20,0,MIN($H$20,ROUNDUP($G$20+($H$20-$G$20)*11/12,0)))</f>
        <v>3</v>
      </c>
      <c r="BN59" s="72" t="n">
        <f aca="false">IF(60&lt;$C$20,0,MIN($H$20,ROUNDUP($G$20+($H$20-$G$20)*12/12,0)))</f>
        <v>3</v>
      </c>
    </row>
    <row r="60" customFormat="false" ht="15" hidden="false" customHeight="false" outlineLevel="0" collapsed="false">
      <c r="A60" s="4" t="s">
        <v>852</v>
      </c>
      <c r="B60" s="69" t="n">
        <f aca="false">N60</f>
        <v>0</v>
      </c>
      <c r="C60" s="72" t="n">
        <f aca="false">IF(1&lt;$C$21,0,$D$21)</f>
        <v>0</v>
      </c>
      <c r="D60" s="72" t="n">
        <f aca="false">IF(2&lt;$C$21,0,$D$21)</f>
        <v>0</v>
      </c>
      <c r="E60" s="72" t="n">
        <f aca="false">IF(3&lt;$C$21,0,$D$21)</f>
        <v>0</v>
      </c>
      <c r="F60" s="72" t="n">
        <f aca="false">IF(4&lt;$C$21,0,$D$21)</f>
        <v>0</v>
      </c>
      <c r="G60" s="72" t="n">
        <f aca="false">IF(5&lt;$C$21,0,$D$21)</f>
        <v>0</v>
      </c>
      <c r="H60" s="72" t="n">
        <f aca="false">IF(6&lt;$C$21,0,$D$21)</f>
        <v>0</v>
      </c>
      <c r="I60" s="72" t="n">
        <f aca="false">IF(7&lt;$C$21,0,$D$21)</f>
        <v>0</v>
      </c>
      <c r="J60" s="72" t="n">
        <f aca="false">IF(8&lt;$C$21,0,$D$21)</f>
        <v>0</v>
      </c>
      <c r="K60" s="72" t="n">
        <f aca="false">IF(9&lt;$C$21,0,$D$21)</f>
        <v>0</v>
      </c>
      <c r="L60" s="72" t="n">
        <f aca="false">IF(10&lt;$C$21,0,$D$21)</f>
        <v>0</v>
      </c>
      <c r="M60" s="72" t="n">
        <f aca="false">IF(11&lt;$C$21,0,$D$21)</f>
        <v>0</v>
      </c>
      <c r="N60" s="72" t="n">
        <f aca="false">IF(12&lt;$C$21,0,$D$21)</f>
        <v>0</v>
      </c>
      <c r="O60" s="69" t="n">
        <f aca="false">AA60</f>
        <v>1</v>
      </c>
      <c r="P60" s="72" t="n">
        <f aca="false">IF(13&lt;$C$21,0,MIN($E$21,ROUNDUP($D$21+($E$21-$D$21)*1/12,0)))</f>
        <v>1</v>
      </c>
      <c r="Q60" s="72" t="n">
        <f aca="false">IF(14&lt;$C$21,0,MIN($E$21,ROUNDUP($D$21+($E$21-$D$21)*2/12,0)))</f>
        <v>1</v>
      </c>
      <c r="R60" s="72" t="n">
        <f aca="false">IF(15&lt;$C$21,0,MIN($E$21,ROUNDUP($D$21+($E$21-$D$21)*3/12,0)))</f>
        <v>1</v>
      </c>
      <c r="S60" s="72" t="n">
        <f aca="false">IF(16&lt;$C$21,0,MIN($E$21,ROUNDUP($D$21+($E$21-$D$21)*4/12,0)))</f>
        <v>1</v>
      </c>
      <c r="T60" s="72" t="n">
        <f aca="false">IF(17&lt;$C$21,0,MIN($E$21,ROUNDUP($D$21+($E$21-$D$21)*5/12,0)))</f>
        <v>1</v>
      </c>
      <c r="U60" s="72" t="n">
        <f aca="false">IF(18&lt;$C$21,0,MIN($E$21,ROUNDUP($D$21+($E$21-$D$21)*6/12,0)))</f>
        <v>1</v>
      </c>
      <c r="V60" s="72" t="n">
        <f aca="false">IF(19&lt;$C$21,0,MIN($E$21,ROUNDUP($D$21+($E$21-$D$21)*7/12,0)))</f>
        <v>1</v>
      </c>
      <c r="W60" s="72" t="n">
        <f aca="false">IF(20&lt;$C$21,0,MIN($E$21,ROUNDUP($D$21+($E$21-$D$21)*8/12,0)))</f>
        <v>1</v>
      </c>
      <c r="X60" s="72" t="n">
        <f aca="false">IF(21&lt;$C$21,0,MIN($E$21,ROUNDUP($D$21+($E$21-$D$21)*9/12,0)))</f>
        <v>1</v>
      </c>
      <c r="Y60" s="72" t="n">
        <f aca="false">IF(22&lt;$C$21,0,MIN($E$21,ROUNDUP($D$21+($E$21-$D$21)*10/12,0)))</f>
        <v>1</v>
      </c>
      <c r="Z60" s="72" t="n">
        <f aca="false">IF(23&lt;$C$21,0,MIN($E$21,ROUNDUP($D$21+($E$21-$D$21)*11/12,0)))</f>
        <v>1</v>
      </c>
      <c r="AA60" s="72" t="n">
        <f aca="false">IF(24&lt;$C$21,0,MIN($E$21,ROUNDUP($D$21+($E$21-$D$21)*12/12,0)))</f>
        <v>1</v>
      </c>
      <c r="AB60" s="69" t="n">
        <f aca="false">AN60</f>
        <v>1</v>
      </c>
      <c r="AC60" s="72" t="n">
        <f aca="false">IF(25&lt;$C$21,0,MIN($F$21,ROUNDUP($E$21+($F$21-$E$21)*1/12,0)))</f>
        <v>1</v>
      </c>
      <c r="AD60" s="72" t="n">
        <f aca="false">IF(26&lt;$C$21,0,MIN($F$21,ROUNDUP($E$21+($F$21-$E$21)*2/12,0)))</f>
        <v>1</v>
      </c>
      <c r="AE60" s="72" t="n">
        <f aca="false">IF(27&lt;$C$21,0,MIN($F$21,ROUNDUP($E$21+($F$21-$E$21)*3/12,0)))</f>
        <v>1</v>
      </c>
      <c r="AF60" s="72" t="n">
        <f aca="false">IF(28&lt;$C$21,0,MIN($F$21,ROUNDUP($E$21+($F$21-$E$21)*4/12,0)))</f>
        <v>1</v>
      </c>
      <c r="AG60" s="72" t="n">
        <f aca="false">IF(29&lt;$C$21,0,MIN($F$21,ROUNDUP($E$21+($F$21-$E$21)*5/12,0)))</f>
        <v>1</v>
      </c>
      <c r="AH60" s="72" t="n">
        <f aca="false">IF(30&lt;$C$21,0,MIN($F$21,ROUNDUP($E$21+($F$21-$E$21)*6/12,0)))</f>
        <v>1</v>
      </c>
      <c r="AI60" s="72" t="n">
        <f aca="false">IF(31&lt;$C$21,0,MIN($F$21,ROUNDUP($E$21+($F$21-$E$21)*7/12,0)))</f>
        <v>1</v>
      </c>
      <c r="AJ60" s="72" t="n">
        <f aca="false">IF(32&lt;$C$21,0,MIN($F$21,ROUNDUP($E$21+($F$21-$E$21)*8/12,0)))</f>
        <v>1</v>
      </c>
      <c r="AK60" s="72" t="n">
        <f aca="false">IF(33&lt;$C$21,0,MIN($F$21,ROUNDUP($E$21+($F$21-$E$21)*9/12,0)))</f>
        <v>1</v>
      </c>
      <c r="AL60" s="72" t="n">
        <f aca="false">IF(34&lt;$C$21,0,MIN($F$21,ROUNDUP($E$21+($F$21-$E$21)*10/12,0)))</f>
        <v>1</v>
      </c>
      <c r="AM60" s="72" t="n">
        <f aca="false">IF(35&lt;$C$21,0,MIN($F$21,ROUNDUP($E$21+($F$21-$E$21)*11/12,0)))</f>
        <v>1</v>
      </c>
      <c r="AN60" s="72" t="n">
        <f aca="false">IF(36&lt;$C$21,0,MIN($F$21,ROUNDUP($E$21+($F$21-$E$21)*12/12,0)))</f>
        <v>1</v>
      </c>
      <c r="AO60" s="69" t="n">
        <f aca="false">BA60</f>
        <v>2</v>
      </c>
      <c r="AP60" s="72" t="n">
        <f aca="false">IF(37&lt;$C$21,0,MIN($G$21,ROUNDUP($F$21+($G$21-$F$21)*1/12,0)))</f>
        <v>2</v>
      </c>
      <c r="AQ60" s="72" t="n">
        <f aca="false">IF(38&lt;$C$21,0,MIN($G$21,ROUNDUP($F$21+($G$21-$F$21)*2/12,0)))</f>
        <v>2</v>
      </c>
      <c r="AR60" s="72" t="n">
        <f aca="false">IF(39&lt;$C$21,0,MIN($G$21,ROUNDUP($F$21+($G$21-$F$21)*3/12,0)))</f>
        <v>2</v>
      </c>
      <c r="AS60" s="72" t="n">
        <f aca="false">IF(40&lt;$C$21,0,MIN($G$21,ROUNDUP($F$21+($G$21-$F$21)*4/12,0)))</f>
        <v>2</v>
      </c>
      <c r="AT60" s="72" t="n">
        <f aca="false">IF(41&lt;$C$21,0,MIN($G$21,ROUNDUP($F$21+($G$21-$F$21)*5/12,0)))</f>
        <v>2</v>
      </c>
      <c r="AU60" s="72" t="n">
        <f aca="false">IF(42&lt;$C$21,0,MIN($G$21,ROUNDUP($F$21+($G$21-$F$21)*6/12,0)))</f>
        <v>2</v>
      </c>
      <c r="AV60" s="72" t="n">
        <f aca="false">IF(43&lt;$C$21,0,MIN($G$21,ROUNDUP($F$21+($G$21-$F$21)*7/12,0)))</f>
        <v>2</v>
      </c>
      <c r="AW60" s="72" t="n">
        <f aca="false">IF(44&lt;$C$21,0,MIN($G$21,ROUNDUP($F$21+($G$21-$F$21)*8/12,0)))</f>
        <v>2</v>
      </c>
      <c r="AX60" s="72" t="n">
        <f aca="false">IF(45&lt;$C$21,0,MIN($G$21,ROUNDUP($F$21+($G$21-$F$21)*9/12,0)))</f>
        <v>2</v>
      </c>
      <c r="AY60" s="72" t="n">
        <f aca="false">IF(46&lt;$C$21,0,MIN($G$21,ROUNDUP($F$21+($G$21-$F$21)*10/12,0)))</f>
        <v>2</v>
      </c>
      <c r="AZ60" s="72" t="n">
        <f aca="false">IF(47&lt;$C$21,0,MIN($G$21,ROUNDUP($F$21+($G$21-$F$21)*11/12,0)))</f>
        <v>2</v>
      </c>
      <c r="BA60" s="72" t="n">
        <f aca="false">IF(48&lt;$C$21,0,MIN($G$21,ROUNDUP($F$21+($G$21-$F$21)*12/12,0)))</f>
        <v>2</v>
      </c>
      <c r="BB60" s="69" t="n">
        <f aca="false">BN60</f>
        <v>2</v>
      </c>
      <c r="BC60" s="72" t="n">
        <f aca="false">IF(49&lt;$C$21,0,MIN($H$21,ROUNDUP($G$21+($H$21-$G$21)*1/12,0)))</f>
        <v>2</v>
      </c>
      <c r="BD60" s="72" t="n">
        <f aca="false">IF(50&lt;$C$21,0,MIN($H$21,ROUNDUP($G$21+($H$21-$G$21)*2/12,0)))</f>
        <v>2</v>
      </c>
      <c r="BE60" s="72" t="n">
        <f aca="false">IF(51&lt;$C$21,0,MIN($H$21,ROUNDUP($G$21+($H$21-$G$21)*3/12,0)))</f>
        <v>2</v>
      </c>
      <c r="BF60" s="72" t="n">
        <f aca="false">IF(52&lt;$C$21,0,MIN($H$21,ROUNDUP($G$21+($H$21-$G$21)*4/12,0)))</f>
        <v>2</v>
      </c>
      <c r="BG60" s="72" t="n">
        <f aca="false">IF(53&lt;$C$21,0,MIN($H$21,ROUNDUP($G$21+($H$21-$G$21)*5/12,0)))</f>
        <v>2</v>
      </c>
      <c r="BH60" s="72" t="n">
        <f aca="false">IF(54&lt;$C$21,0,MIN($H$21,ROUNDUP($G$21+($H$21-$G$21)*6/12,0)))</f>
        <v>2</v>
      </c>
      <c r="BI60" s="72" t="n">
        <f aca="false">IF(55&lt;$C$21,0,MIN($H$21,ROUNDUP($G$21+($H$21-$G$21)*7/12,0)))</f>
        <v>2</v>
      </c>
      <c r="BJ60" s="72" t="n">
        <f aca="false">IF(56&lt;$C$21,0,MIN($H$21,ROUNDUP($G$21+($H$21-$G$21)*8/12,0)))</f>
        <v>2</v>
      </c>
      <c r="BK60" s="72" t="n">
        <f aca="false">IF(57&lt;$C$21,0,MIN($H$21,ROUNDUP($G$21+($H$21-$G$21)*9/12,0)))</f>
        <v>2</v>
      </c>
      <c r="BL60" s="72" t="n">
        <f aca="false">IF(58&lt;$C$21,0,MIN($H$21,ROUNDUP($G$21+($H$21-$G$21)*10/12,0)))</f>
        <v>2</v>
      </c>
      <c r="BM60" s="72" t="n">
        <f aca="false">IF(59&lt;$C$21,0,MIN($H$21,ROUNDUP($G$21+($H$21-$G$21)*11/12,0)))</f>
        <v>2</v>
      </c>
      <c r="BN60" s="72" t="n">
        <f aca="false">IF(60&lt;$C$21,0,MIN($H$21,ROUNDUP($G$21+($H$21-$G$21)*12/12,0)))</f>
        <v>2</v>
      </c>
    </row>
    <row r="61" customFormat="false" ht="15" hidden="false" customHeight="false" outlineLevel="0" collapsed="false">
      <c r="A61" s="4" t="s">
        <v>853</v>
      </c>
      <c r="B61" s="69" t="n">
        <f aca="false">N61</f>
        <v>0</v>
      </c>
      <c r="C61" s="72" t="n">
        <f aca="false">IF(1&lt;$C$22,0,$D$22)</f>
        <v>0</v>
      </c>
      <c r="D61" s="72" t="n">
        <f aca="false">IF(2&lt;$C$22,0,$D$22)</f>
        <v>0</v>
      </c>
      <c r="E61" s="72" t="n">
        <f aca="false">IF(3&lt;$C$22,0,$D$22)</f>
        <v>0</v>
      </c>
      <c r="F61" s="72" t="n">
        <f aca="false">IF(4&lt;$C$22,0,$D$22)</f>
        <v>0</v>
      </c>
      <c r="G61" s="72" t="n">
        <f aca="false">IF(5&lt;$C$22,0,$D$22)</f>
        <v>0</v>
      </c>
      <c r="H61" s="72" t="n">
        <f aca="false">IF(6&lt;$C$22,0,$D$22)</f>
        <v>0</v>
      </c>
      <c r="I61" s="72" t="n">
        <f aca="false">IF(7&lt;$C$22,0,$D$22)</f>
        <v>0</v>
      </c>
      <c r="J61" s="72" t="n">
        <f aca="false">IF(8&lt;$C$22,0,$D$22)</f>
        <v>0</v>
      </c>
      <c r="K61" s="72" t="n">
        <f aca="false">IF(9&lt;$C$22,0,$D$22)</f>
        <v>0</v>
      </c>
      <c r="L61" s="72" t="n">
        <f aca="false">IF(10&lt;$C$22,0,$D$22)</f>
        <v>0</v>
      </c>
      <c r="M61" s="72" t="n">
        <f aca="false">IF(11&lt;$C$22,0,$D$22)</f>
        <v>0</v>
      </c>
      <c r="N61" s="72" t="n">
        <f aca="false">IF(12&lt;$C$22,0,$D$22)</f>
        <v>0</v>
      </c>
      <c r="O61" s="69" t="n">
        <f aca="false">AA61</f>
        <v>2</v>
      </c>
      <c r="P61" s="72" t="n">
        <f aca="false">IF(13&lt;$C$22,0,MIN($E$22,ROUNDUP($D$22+($E$22-$D$22)*1/12,0)))</f>
        <v>1</v>
      </c>
      <c r="Q61" s="72" t="n">
        <f aca="false">IF(14&lt;$C$22,0,MIN($E$22,ROUNDUP($D$22+($E$22-$D$22)*2/12,0)))</f>
        <v>1</v>
      </c>
      <c r="R61" s="72" t="n">
        <f aca="false">IF(15&lt;$C$22,0,MIN($E$22,ROUNDUP($D$22+($E$22-$D$22)*3/12,0)))</f>
        <v>1</v>
      </c>
      <c r="S61" s="72" t="n">
        <f aca="false">IF(16&lt;$C$22,0,MIN($E$22,ROUNDUP($D$22+($E$22-$D$22)*4/12,0)))</f>
        <v>1</v>
      </c>
      <c r="T61" s="72" t="n">
        <f aca="false">IF(17&lt;$C$22,0,MIN($E$22,ROUNDUP($D$22+($E$22-$D$22)*5/12,0)))</f>
        <v>1</v>
      </c>
      <c r="U61" s="72" t="n">
        <f aca="false">IF(18&lt;$C$22,0,MIN($E$22,ROUNDUP($D$22+($E$22-$D$22)*6/12,0)))</f>
        <v>1</v>
      </c>
      <c r="V61" s="72" t="n">
        <f aca="false">IF(19&lt;$C$22,0,MIN($E$22,ROUNDUP($D$22+($E$22-$D$22)*7/12,0)))</f>
        <v>2</v>
      </c>
      <c r="W61" s="72" t="n">
        <f aca="false">IF(20&lt;$C$22,0,MIN($E$22,ROUNDUP($D$22+($E$22-$D$22)*8/12,0)))</f>
        <v>2</v>
      </c>
      <c r="X61" s="72" t="n">
        <f aca="false">IF(21&lt;$C$22,0,MIN($E$22,ROUNDUP($D$22+($E$22-$D$22)*9/12,0)))</f>
        <v>2</v>
      </c>
      <c r="Y61" s="72" t="n">
        <f aca="false">IF(22&lt;$C$22,0,MIN($E$22,ROUNDUP($D$22+($E$22-$D$22)*10/12,0)))</f>
        <v>2</v>
      </c>
      <c r="Z61" s="72" t="n">
        <f aca="false">IF(23&lt;$C$22,0,MIN($E$22,ROUNDUP($D$22+($E$22-$D$22)*11/12,0)))</f>
        <v>2</v>
      </c>
      <c r="AA61" s="72" t="n">
        <f aca="false">IF(24&lt;$C$22,0,MIN($E$22,ROUNDUP($D$22+($E$22-$D$22)*12/12,0)))</f>
        <v>2</v>
      </c>
      <c r="AB61" s="69" t="n">
        <f aca="false">AN61</f>
        <v>3</v>
      </c>
      <c r="AC61" s="72" t="n">
        <f aca="false">IF(25&lt;$C$22,0,MIN($F$22,ROUNDUP($E$22+($F$22-$E$22)*1/12,0)))</f>
        <v>3</v>
      </c>
      <c r="AD61" s="72" t="n">
        <f aca="false">IF(26&lt;$C$22,0,MIN($F$22,ROUNDUP($E$22+($F$22-$E$22)*2/12,0)))</f>
        <v>3</v>
      </c>
      <c r="AE61" s="72" t="n">
        <f aca="false">IF(27&lt;$C$22,0,MIN($F$22,ROUNDUP($E$22+($F$22-$E$22)*3/12,0)))</f>
        <v>3</v>
      </c>
      <c r="AF61" s="72" t="n">
        <f aca="false">IF(28&lt;$C$22,0,MIN($F$22,ROUNDUP($E$22+($F$22-$E$22)*4/12,0)))</f>
        <v>3</v>
      </c>
      <c r="AG61" s="72" t="n">
        <f aca="false">IF(29&lt;$C$22,0,MIN($F$22,ROUNDUP($E$22+($F$22-$E$22)*5/12,0)))</f>
        <v>3</v>
      </c>
      <c r="AH61" s="72" t="n">
        <f aca="false">IF(30&lt;$C$22,0,MIN($F$22,ROUNDUP($E$22+($F$22-$E$22)*6/12,0)))</f>
        <v>3</v>
      </c>
      <c r="AI61" s="72" t="n">
        <f aca="false">IF(31&lt;$C$22,0,MIN($F$22,ROUNDUP($E$22+($F$22-$E$22)*7/12,0)))</f>
        <v>3</v>
      </c>
      <c r="AJ61" s="72" t="n">
        <f aca="false">IF(32&lt;$C$22,0,MIN($F$22,ROUNDUP($E$22+($F$22-$E$22)*8/12,0)))</f>
        <v>3</v>
      </c>
      <c r="AK61" s="72" t="n">
        <f aca="false">IF(33&lt;$C$22,0,MIN($F$22,ROUNDUP($E$22+($F$22-$E$22)*9/12,0)))</f>
        <v>3</v>
      </c>
      <c r="AL61" s="72" t="n">
        <f aca="false">IF(34&lt;$C$22,0,MIN($F$22,ROUNDUP($E$22+($F$22-$E$22)*10/12,0)))</f>
        <v>3</v>
      </c>
      <c r="AM61" s="72" t="n">
        <f aca="false">IF(35&lt;$C$22,0,MIN($F$22,ROUNDUP($E$22+($F$22-$E$22)*11/12,0)))</f>
        <v>3</v>
      </c>
      <c r="AN61" s="72" t="n">
        <f aca="false">IF(36&lt;$C$22,0,MIN($F$22,ROUNDUP($E$22+($F$22-$E$22)*12/12,0)))</f>
        <v>3</v>
      </c>
      <c r="AO61" s="69" t="n">
        <f aca="false">BA61</f>
        <v>4</v>
      </c>
      <c r="AP61" s="72" t="n">
        <f aca="false">IF(37&lt;$C$22,0,MIN($G$22,ROUNDUP($F$22+($G$22-$F$22)*1/12,0)))</f>
        <v>4</v>
      </c>
      <c r="AQ61" s="72" t="n">
        <f aca="false">IF(38&lt;$C$22,0,MIN($G$22,ROUNDUP($F$22+($G$22-$F$22)*2/12,0)))</f>
        <v>4</v>
      </c>
      <c r="AR61" s="72" t="n">
        <f aca="false">IF(39&lt;$C$22,0,MIN($G$22,ROUNDUP($F$22+($G$22-$F$22)*3/12,0)))</f>
        <v>4</v>
      </c>
      <c r="AS61" s="72" t="n">
        <f aca="false">IF(40&lt;$C$22,0,MIN($G$22,ROUNDUP($F$22+($G$22-$F$22)*4/12,0)))</f>
        <v>4</v>
      </c>
      <c r="AT61" s="72" t="n">
        <f aca="false">IF(41&lt;$C$22,0,MIN($G$22,ROUNDUP($F$22+($G$22-$F$22)*5/12,0)))</f>
        <v>4</v>
      </c>
      <c r="AU61" s="72" t="n">
        <f aca="false">IF(42&lt;$C$22,0,MIN($G$22,ROUNDUP($F$22+($G$22-$F$22)*6/12,0)))</f>
        <v>4</v>
      </c>
      <c r="AV61" s="72" t="n">
        <f aca="false">IF(43&lt;$C$22,0,MIN($G$22,ROUNDUP($F$22+($G$22-$F$22)*7/12,0)))</f>
        <v>4</v>
      </c>
      <c r="AW61" s="72" t="n">
        <f aca="false">IF(44&lt;$C$22,0,MIN($G$22,ROUNDUP($F$22+($G$22-$F$22)*8/12,0)))</f>
        <v>4</v>
      </c>
      <c r="AX61" s="72" t="n">
        <f aca="false">IF(45&lt;$C$22,0,MIN($G$22,ROUNDUP($F$22+($G$22-$F$22)*9/12,0)))</f>
        <v>4</v>
      </c>
      <c r="AY61" s="72" t="n">
        <f aca="false">IF(46&lt;$C$22,0,MIN($G$22,ROUNDUP($F$22+($G$22-$F$22)*10/12,0)))</f>
        <v>4</v>
      </c>
      <c r="AZ61" s="72" t="n">
        <f aca="false">IF(47&lt;$C$22,0,MIN($G$22,ROUNDUP($F$22+($G$22-$F$22)*11/12,0)))</f>
        <v>4</v>
      </c>
      <c r="BA61" s="72" t="n">
        <f aca="false">IF(48&lt;$C$22,0,MIN($G$22,ROUNDUP($F$22+($G$22-$F$22)*12/12,0)))</f>
        <v>4</v>
      </c>
      <c r="BB61" s="69" t="n">
        <f aca="false">BN61</f>
        <v>5</v>
      </c>
      <c r="BC61" s="72" t="n">
        <f aca="false">IF(49&lt;$C$22,0,MIN($H$22,ROUNDUP($G$22+($H$22-$G$22)*1/12,0)))</f>
        <v>5</v>
      </c>
      <c r="BD61" s="72" t="n">
        <f aca="false">IF(50&lt;$C$22,0,MIN($H$22,ROUNDUP($G$22+($H$22-$G$22)*2/12,0)))</f>
        <v>5</v>
      </c>
      <c r="BE61" s="72" t="n">
        <f aca="false">IF(51&lt;$C$22,0,MIN($H$22,ROUNDUP($G$22+($H$22-$G$22)*3/12,0)))</f>
        <v>5</v>
      </c>
      <c r="BF61" s="72" t="n">
        <f aca="false">IF(52&lt;$C$22,0,MIN($H$22,ROUNDUP($G$22+($H$22-$G$22)*4/12,0)))</f>
        <v>5</v>
      </c>
      <c r="BG61" s="72" t="n">
        <f aca="false">IF(53&lt;$C$22,0,MIN($H$22,ROUNDUP($G$22+($H$22-$G$22)*5/12,0)))</f>
        <v>5</v>
      </c>
      <c r="BH61" s="72" t="n">
        <f aca="false">IF(54&lt;$C$22,0,MIN($H$22,ROUNDUP($G$22+($H$22-$G$22)*6/12,0)))</f>
        <v>5</v>
      </c>
      <c r="BI61" s="72" t="n">
        <f aca="false">IF(55&lt;$C$22,0,MIN($H$22,ROUNDUP($G$22+($H$22-$G$22)*7/12,0)))</f>
        <v>5</v>
      </c>
      <c r="BJ61" s="72" t="n">
        <f aca="false">IF(56&lt;$C$22,0,MIN($H$22,ROUNDUP($G$22+($H$22-$G$22)*8/12,0)))</f>
        <v>5</v>
      </c>
      <c r="BK61" s="72" t="n">
        <f aca="false">IF(57&lt;$C$22,0,MIN($H$22,ROUNDUP($G$22+($H$22-$G$22)*9/12,0)))</f>
        <v>5</v>
      </c>
      <c r="BL61" s="72" t="n">
        <f aca="false">IF(58&lt;$C$22,0,MIN($H$22,ROUNDUP($G$22+($H$22-$G$22)*10/12,0)))</f>
        <v>5</v>
      </c>
      <c r="BM61" s="72" t="n">
        <f aca="false">IF(59&lt;$C$22,0,MIN($H$22,ROUNDUP($G$22+($H$22-$G$22)*11/12,0)))</f>
        <v>5</v>
      </c>
      <c r="BN61" s="72" t="n">
        <f aca="false">IF(60&lt;$C$22,0,MIN($H$22,ROUNDUP($G$22+($H$22-$G$22)*12/12,0)))</f>
        <v>5</v>
      </c>
    </row>
    <row r="62" customFormat="false" ht="15" hidden="false" customHeight="false" outlineLevel="0" collapsed="false">
      <c r="A62" s="4" t="s">
        <v>854</v>
      </c>
      <c r="B62" s="69" t="n">
        <f aca="false">N62</f>
        <v>1</v>
      </c>
      <c r="C62" s="72" t="n">
        <f aca="false">IF(1&lt;$C$23,0,$D$23)</f>
        <v>1</v>
      </c>
      <c r="D62" s="72" t="n">
        <f aca="false">IF(2&lt;$C$23,0,$D$23)</f>
        <v>1</v>
      </c>
      <c r="E62" s="72" t="n">
        <f aca="false">IF(3&lt;$C$23,0,$D$23)</f>
        <v>1</v>
      </c>
      <c r="F62" s="72" t="n">
        <f aca="false">IF(4&lt;$C$23,0,$D$23)</f>
        <v>1</v>
      </c>
      <c r="G62" s="72" t="n">
        <f aca="false">IF(5&lt;$C$23,0,$D$23)</f>
        <v>1</v>
      </c>
      <c r="H62" s="72" t="n">
        <f aca="false">IF(6&lt;$C$23,0,$D$23)</f>
        <v>1</v>
      </c>
      <c r="I62" s="72" t="n">
        <f aca="false">IF(7&lt;$C$23,0,$D$23)</f>
        <v>1</v>
      </c>
      <c r="J62" s="72" t="n">
        <f aca="false">IF(8&lt;$C$23,0,$D$23)</f>
        <v>1</v>
      </c>
      <c r="K62" s="72" t="n">
        <f aca="false">IF(9&lt;$C$23,0,$D$23)</f>
        <v>1</v>
      </c>
      <c r="L62" s="72" t="n">
        <f aca="false">IF(10&lt;$C$23,0,$D$23)</f>
        <v>1</v>
      </c>
      <c r="M62" s="72" t="n">
        <f aca="false">IF(11&lt;$C$23,0,$D$23)</f>
        <v>1</v>
      </c>
      <c r="N62" s="72" t="n">
        <f aca="false">IF(12&lt;$C$23,0,$D$23)</f>
        <v>1</v>
      </c>
      <c r="O62" s="69" t="n">
        <f aca="false">AA62</f>
        <v>1</v>
      </c>
      <c r="P62" s="72" t="n">
        <f aca="false">IF(13&lt;$C$23,0,MIN($E$23,ROUNDUP($D$23+($E$23-$D$23)*1/12,0)))</f>
        <v>1</v>
      </c>
      <c r="Q62" s="72" t="n">
        <f aca="false">IF(14&lt;$C$23,0,MIN($E$23,ROUNDUP($D$23+($E$23-$D$23)*2/12,0)))</f>
        <v>1</v>
      </c>
      <c r="R62" s="72" t="n">
        <f aca="false">IF(15&lt;$C$23,0,MIN($E$23,ROUNDUP($D$23+($E$23-$D$23)*3/12,0)))</f>
        <v>1</v>
      </c>
      <c r="S62" s="72" t="n">
        <f aca="false">IF(16&lt;$C$23,0,MIN($E$23,ROUNDUP($D$23+($E$23-$D$23)*4/12,0)))</f>
        <v>1</v>
      </c>
      <c r="T62" s="72" t="n">
        <f aca="false">IF(17&lt;$C$23,0,MIN($E$23,ROUNDUP($D$23+($E$23-$D$23)*5/12,0)))</f>
        <v>1</v>
      </c>
      <c r="U62" s="72" t="n">
        <f aca="false">IF(18&lt;$C$23,0,MIN($E$23,ROUNDUP($D$23+($E$23-$D$23)*6/12,0)))</f>
        <v>1</v>
      </c>
      <c r="V62" s="72" t="n">
        <f aca="false">IF(19&lt;$C$23,0,MIN($E$23,ROUNDUP($D$23+($E$23-$D$23)*7/12,0)))</f>
        <v>1</v>
      </c>
      <c r="W62" s="72" t="n">
        <f aca="false">IF(20&lt;$C$23,0,MIN($E$23,ROUNDUP($D$23+($E$23-$D$23)*8/12,0)))</f>
        <v>1</v>
      </c>
      <c r="X62" s="72" t="n">
        <f aca="false">IF(21&lt;$C$23,0,MIN($E$23,ROUNDUP($D$23+($E$23-$D$23)*9/12,0)))</f>
        <v>1</v>
      </c>
      <c r="Y62" s="72" t="n">
        <f aca="false">IF(22&lt;$C$23,0,MIN($E$23,ROUNDUP($D$23+($E$23-$D$23)*10/12,0)))</f>
        <v>1</v>
      </c>
      <c r="Z62" s="72" t="n">
        <f aca="false">IF(23&lt;$C$23,0,MIN($E$23,ROUNDUP($D$23+($E$23-$D$23)*11/12,0)))</f>
        <v>1</v>
      </c>
      <c r="AA62" s="72" t="n">
        <f aca="false">IF(24&lt;$C$23,0,MIN($E$23,ROUNDUP($D$23+($E$23-$D$23)*12/12,0)))</f>
        <v>1</v>
      </c>
      <c r="AB62" s="69" t="n">
        <f aca="false">AN62</f>
        <v>2</v>
      </c>
      <c r="AC62" s="72" t="n">
        <f aca="false">IF(25&lt;$C$23,0,MIN($F$23,ROUNDUP($E$23+($F$23-$E$23)*1/12,0)))</f>
        <v>2</v>
      </c>
      <c r="AD62" s="72" t="n">
        <f aca="false">IF(26&lt;$C$23,0,MIN($F$23,ROUNDUP($E$23+($F$23-$E$23)*2/12,0)))</f>
        <v>2</v>
      </c>
      <c r="AE62" s="72" t="n">
        <f aca="false">IF(27&lt;$C$23,0,MIN($F$23,ROUNDUP($E$23+($F$23-$E$23)*3/12,0)))</f>
        <v>2</v>
      </c>
      <c r="AF62" s="72" t="n">
        <f aca="false">IF(28&lt;$C$23,0,MIN($F$23,ROUNDUP($E$23+($F$23-$E$23)*4/12,0)))</f>
        <v>2</v>
      </c>
      <c r="AG62" s="72" t="n">
        <f aca="false">IF(29&lt;$C$23,0,MIN($F$23,ROUNDUP($E$23+($F$23-$E$23)*5/12,0)))</f>
        <v>2</v>
      </c>
      <c r="AH62" s="72" t="n">
        <f aca="false">IF(30&lt;$C$23,0,MIN($F$23,ROUNDUP($E$23+($F$23-$E$23)*6/12,0)))</f>
        <v>2</v>
      </c>
      <c r="AI62" s="72" t="n">
        <f aca="false">IF(31&lt;$C$23,0,MIN($F$23,ROUNDUP($E$23+($F$23-$E$23)*7/12,0)))</f>
        <v>2</v>
      </c>
      <c r="AJ62" s="72" t="n">
        <f aca="false">IF(32&lt;$C$23,0,MIN($F$23,ROUNDUP($E$23+($F$23-$E$23)*8/12,0)))</f>
        <v>2</v>
      </c>
      <c r="AK62" s="72" t="n">
        <f aca="false">IF(33&lt;$C$23,0,MIN($F$23,ROUNDUP($E$23+($F$23-$E$23)*9/12,0)))</f>
        <v>2</v>
      </c>
      <c r="AL62" s="72" t="n">
        <f aca="false">IF(34&lt;$C$23,0,MIN($F$23,ROUNDUP($E$23+($F$23-$E$23)*10/12,0)))</f>
        <v>2</v>
      </c>
      <c r="AM62" s="72" t="n">
        <f aca="false">IF(35&lt;$C$23,0,MIN($F$23,ROUNDUP($E$23+($F$23-$E$23)*11/12,0)))</f>
        <v>2</v>
      </c>
      <c r="AN62" s="72" t="n">
        <f aca="false">IF(36&lt;$C$23,0,MIN($F$23,ROUNDUP($E$23+($F$23-$E$23)*12/12,0)))</f>
        <v>2</v>
      </c>
      <c r="AO62" s="69" t="n">
        <f aca="false">BA62</f>
        <v>2</v>
      </c>
      <c r="AP62" s="72" t="n">
        <f aca="false">IF(37&lt;$C$23,0,MIN($G$23,ROUNDUP($F$23+($G$23-$F$23)*1/12,0)))</f>
        <v>2</v>
      </c>
      <c r="AQ62" s="72" t="n">
        <f aca="false">IF(38&lt;$C$23,0,MIN($G$23,ROUNDUP($F$23+($G$23-$F$23)*2/12,0)))</f>
        <v>2</v>
      </c>
      <c r="AR62" s="72" t="n">
        <f aca="false">IF(39&lt;$C$23,0,MIN($G$23,ROUNDUP($F$23+($G$23-$F$23)*3/12,0)))</f>
        <v>2</v>
      </c>
      <c r="AS62" s="72" t="n">
        <f aca="false">IF(40&lt;$C$23,0,MIN($G$23,ROUNDUP($F$23+($G$23-$F$23)*4/12,0)))</f>
        <v>2</v>
      </c>
      <c r="AT62" s="72" t="n">
        <f aca="false">IF(41&lt;$C$23,0,MIN($G$23,ROUNDUP($F$23+($G$23-$F$23)*5/12,0)))</f>
        <v>2</v>
      </c>
      <c r="AU62" s="72" t="n">
        <f aca="false">IF(42&lt;$C$23,0,MIN($G$23,ROUNDUP($F$23+($G$23-$F$23)*6/12,0)))</f>
        <v>2</v>
      </c>
      <c r="AV62" s="72" t="n">
        <f aca="false">IF(43&lt;$C$23,0,MIN($G$23,ROUNDUP($F$23+($G$23-$F$23)*7/12,0)))</f>
        <v>2</v>
      </c>
      <c r="AW62" s="72" t="n">
        <f aca="false">IF(44&lt;$C$23,0,MIN($G$23,ROUNDUP($F$23+($G$23-$F$23)*8/12,0)))</f>
        <v>2</v>
      </c>
      <c r="AX62" s="72" t="n">
        <f aca="false">IF(45&lt;$C$23,0,MIN($G$23,ROUNDUP($F$23+($G$23-$F$23)*9/12,0)))</f>
        <v>2</v>
      </c>
      <c r="AY62" s="72" t="n">
        <f aca="false">IF(46&lt;$C$23,0,MIN($G$23,ROUNDUP($F$23+($G$23-$F$23)*10/12,0)))</f>
        <v>2</v>
      </c>
      <c r="AZ62" s="72" t="n">
        <f aca="false">IF(47&lt;$C$23,0,MIN($G$23,ROUNDUP($F$23+($G$23-$F$23)*11/12,0)))</f>
        <v>2</v>
      </c>
      <c r="BA62" s="72" t="n">
        <f aca="false">IF(48&lt;$C$23,0,MIN($G$23,ROUNDUP($F$23+($G$23-$F$23)*12/12,0)))</f>
        <v>2</v>
      </c>
      <c r="BB62" s="69" t="n">
        <f aca="false">BN62</f>
        <v>3</v>
      </c>
      <c r="BC62" s="72" t="n">
        <f aca="false">IF(49&lt;$C$23,0,MIN($H$23,ROUNDUP($G$23+($H$23-$G$23)*1/12,0)))</f>
        <v>3</v>
      </c>
      <c r="BD62" s="72" t="n">
        <f aca="false">IF(50&lt;$C$23,0,MIN($H$23,ROUNDUP($G$23+($H$23-$G$23)*2/12,0)))</f>
        <v>3</v>
      </c>
      <c r="BE62" s="72" t="n">
        <f aca="false">IF(51&lt;$C$23,0,MIN($H$23,ROUNDUP($G$23+($H$23-$G$23)*3/12,0)))</f>
        <v>3</v>
      </c>
      <c r="BF62" s="72" t="n">
        <f aca="false">IF(52&lt;$C$23,0,MIN($H$23,ROUNDUP($G$23+($H$23-$G$23)*4/12,0)))</f>
        <v>3</v>
      </c>
      <c r="BG62" s="72" t="n">
        <f aca="false">IF(53&lt;$C$23,0,MIN($H$23,ROUNDUP($G$23+($H$23-$G$23)*5/12,0)))</f>
        <v>3</v>
      </c>
      <c r="BH62" s="72" t="n">
        <f aca="false">IF(54&lt;$C$23,0,MIN($H$23,ROUNDUP($G$23+($H$23-$G$23)*6/12,0)))</f>
        <v>3</v>
      </c>
      <c r="BI62" s="72" t="n">
        <f aca="false">IF(55&lt;$C$23,0,MIN($H$23,ROUNDUP($G$23+($H$23-$G$23)*7/12,0)))</f>
        <v>3</v>
      </c>
      <c r="BJ62" s="72" t="n">
        <f aca="false">IF(56&lt;$C$23,0,MIN($H$23,ROUNDUP($G$23+($H$23-$G$23)*8/12,0)))</f>
        <v>3</v>
      </c>
      <c r="BK62" s="72" t="n">
        <f aca="false">IF(57&lt;$C$23,0,MIN($H$23,ROUNDUP($G$23+($H$23-$G$23)*9/12,0)))</f>
        <v>3</v>
      </c>
      <c r="BL62" s="72" t="n">
        <f aca="false">IF(58&lt;$C$23,0,MIN($H$23,ROUNDUP($G$23+($H$23-$G$23)*10/12,0)))</f>
        <v>3</v>
      </c>
      <c r="BM62" s="72" t="n">
        <f aca="false">IF(59&lt;$C$23,0,MIN($H$23,ROUNDUP($G$23+($H$23-$G$23)*11/12,0)))</f>
        <v>3</v>
      </c>
      <c r="BN62" s="72" t="n">
        <f aca="false">IF(60&lt;$C$23,0,MIN($H$23,ROUNDUP($G$23+($H$23-$G$23)*12/12,0)))</f>
        <v>3</v>
      </c>
    </row>
    <row r="63" customFormat="false" ht="15" hidden="false" customHeight="false" outlineLevel="0" collapsed="false">
      <c r="A63" s="4" t="s">
        <v>856</v>
      </c>
      <c r="B63" s="69" t="n">
        <f aca="false">N63</f>
        <v>1</v>
      </c>
      <c r="C63" s="72" t="n">
        <f aca="false">IF(1&lt;$C$24,0,$D$24)</f>
        <v>1</v>
      </c>
      <c r="D63" s="72" t="n">
        <f aca="false">IF(2&lt;$C$24,0,$D$24)</f>
        <v>1</v>
      </c>
      <c r="E63" s="72" t="n">
        <f aca="false">IF(3&lt;$C$24,0,$D$24)</f>
        <v>1</v>
      </c>
      <c r="F63" s="72" t="n">
        <f aca="false">IF(4&lt;$C$24,0,$D$24)</f>
        <v>1</v>
      </c>
      <c r="G63" s="72" t="n">
        <f aca="false">IF(5&lt;$C$24,0,$D$24)</f>
        <v>1</v>
      </c>
      <c r="H63" s="72" t="n">
        <f aca="false">IF(6&lt;$C$24,0,$D$24)</f>
        <v>1</v>
      </c>
      <c r="I63" s="72" t="n">
        <f aca="false">IF(7&lt;$C$24,0,$D$24)</f>
        <v>1</v>
      </c>
      <c r="J63" s="72" t="n">
        <f aca="false">IF(8&lt;$C$24,0,$D$24)</f>
        <v>1</v>
      </c>
      <c r="K63" s="72" t="n">
        <f aca="false">IF(9&lt;$C$24,0,$D$24)</f>
        <v>1</v>
      </c>
      <c r="L63" s="72" t="n">
        <f aca="false">IF(10&lt;$C$24,0,$D$24)</f>
        <v>1</v>
      </c>
      <c r="M63" s="72" t="n">
        <f aca="false">IF(11&lt;$C$24,0,$D$24)</f>
        <v>1</v>
      </c>
      <c r="N63" s="72" t="n">
        <f aca="false">IF(12&lt;$C$24,0,$D$24)</f>
        <v>1</v>
      </c>
      <c r="O63" s="69" t="n">
        <f aca="false">AA63</f>
        <v>1</v>
      </c>
      <c r="P63" s="72" t="n">
        <f aca="false">IF(13&lt;$C$24,0,MIN($E$24,ROUNDUP($D$24+($E$24-$D$24)*1/12,0)))</f>
        <v>1</v>
      </c>
      <c r="Q63" s="72" t="n">
        <f aca="false">IF(14&lt;$C$24,0,MIN($E$24,ROUNDUP($D$24+($E$24-$D$24)*2/12,0)))</f>
        <v>1</v>
      </c>
      <c r="R63" s="72" t="n">
        <f aca="false">IF(15&lt;$C$24,0,MIN($E$24,ROUNDUP($D$24+($E$24-$D$24)*3/12,0)))</f>
        <v>1</v>
      </c>
      <c r="S63" s="72" t="n">
        <f aca="false">IF(16&lt;$C$24,0,MIN($E$24,ROUNDUP($D$24+($E$24-$D$24)*4/12,0)))</f>
        <v>1</v>
      </c>
      <c r="T63" s="72" t="n">
        <f aca="false">IF(17&lt;$C$24,0,MIN($E$24,ROUNDUP($D$24+($E$24-$D$24)*5/12,0)))</f>
        <v>1</v>
      </c>
      <c r="U63" s="72" t="n">
        <f aca="false">IF(18&lt;$C$24,0,MIN($E$24,ROUNDUP($D$24+($E$24-$D$24)*6/12,0)))</f>
        <v>1</v>
      </c>
      <c r="V63" s="72" t="n">
        <f aca="false">IF(19&lt;$C$24,0,MIN($E$24,ROUNDUP($D$24+($E$24-$D$24)*7/12,0)))</f>
        <v>1</v>
      </c>
      <c r="W63" s="72" t="n">
        <f aca="false">IF(20&lt;$C$24,0,MIN($E$24,ROUNDUP($D$24+($E$24-$D$24)*8/12,0)))</f>
        <v>1</v>
      </c>
      <c r="X63" s="72" t="n">
        <f aca="false">IF(21&lt;$C$24,0,MIN($E$24,ROUNDUP($D$24+($E$24-$D$24)*9/12,0)))</f>
        <v>1</v>
      </c>
      <c r="Y63" s="72" t="n">
        <f aca="false">IF(22&lt;$C$24,0,MIN($E$24,ROUNDUP($D$24+($E$24-$D$24)*10/12,0)))</f>
        <v>1</v>
      </c>
      <c r="Z63" s="72" t="n">
        <f aca="false">IF(23&lt;$C$24,0,MIN($E$24,ROUNDUP($D$24+($E$24-$D$24)*11/12,0)))</f>
        <v>1</v>
      </c>
      <c r="AA63" s="72" t="n">
        <f aca="false">IF(24&lt;$C$24,0,MIN($E$24,ROUNDUP($D$24+($E$24-$D$24)*12/12,0)))</f>
        <v>1</v>
      </c>
      <c r="AB63" s="69" t="n">
        <f aca="false">AN63</f>
        <v>1</v>
      </c>
      <c r="AC63" s="72" t="n">
        <f aca="false">IF(25&lt;$C$24,0,MIN($F$24,ROUNDUP($E$24+($F$24-$E$24)*1/12,0)))</f>
        <v>1</v>
      </c>
      <c r="AD63" s="72" t="n">
        <f aca="false">IF(26&lt;$C$24,0,MIN($F$24,ROUNDUP($E$24+($F$24-$E$24)*2/12,0)))</f>
        <v>1</v>
      </c>
      <c r="AE63" s="72" t="n">
        <f aca="false">IF(27&lt;$C$24,0,MIN($F$24,ROUNDUP($E$24+($F$24-$E$24)*3/12,0)))</f>
        <v>1</v>
      </c>
      <c r="AF63" s="72" t="n">
        <f aca="false">IF(28&lt;$C$24,0,MIN($F$24,ROUNDUP($E$24+($F$24-$E$24)*4/12,0)))</f>
        <v>1</v>
      </c>
      <c r="AG63" s="72" t="n">
        <f aca="false">IF(29&lt;$C$24,0,MIN($F$24,ROUNDUP($E$24+($F$24-$E$24)*5/12,0)))</f>
        <v>1</v>
      </c>
      <c r="AH63" s="72" t="n">
        <f aca="false">IF(30&lt;$C$24,0,MIN($F$24,ROUNDUP($E$24+($F$24-$E$24)*6/12,0)))</f>
        <v>1</v>
      </c>
      <c r="AI63" s="72" t="n">
        <f aca="false">IF(31&lt;$C$24,0,MIN($F$24,ROUNDUP($E$24+($F$24-$E$24)*7/12,0)))</f>
        <v>1</v>
      </c>
      <c r="AJ63" s="72" t="n">
        <f aca="false">IF(32&lt;$C$24,0,MIN($F$24,ROUNDUP($E$24+($F$24-$E$24)*8/12,0)))</f>
        <v>1</v>
      </c>
      <c r="AK63" s="72" t="n">
        <f aca="false">IF(33&lt;$C$24,0,MIN($F$24,ROUNDUP($E$24+($F$24-$E$24)*9/12,0)))</f>
        <v>1</v>
      </c>
      <c r="AL63" s="72" t="n">
        <f aca="false">IF(34&lt;$C$24,0,MIN($F$24,ROUNDUP($E$24+($F$24-$E$24)*10/12,0)))</f>
        <v>1</v>
      </c>
      <c r="AM63" s="72" t="n">
        <f aca="false">IF(35&lt;$C$24,0,MIN($F$24,ROUNDUP($E$24+($F$24-$E$24)*11/12,0)))</f>
        <v>1</v>
      </c>
      <c r="AN63" s="72" t="n">
        <f aca="false">IF(36&lt;$C$24,0,MIN($F$24,ROUNDUP($E$24+($F$24-$E$24)*12/12,0)))</f>
        <v>1</v>
      </c>
      <c r="AO63" s="69" t="n">
        <f aca="false">BA63</f>
        <v>1</v>
      </c>
      <c r="AP63" s="72" t="n">
        <f aca="false">IF(37&lt;$C$24,0,MIN($G$24,ROUNDUP($F$24+($G$24-$F$24)*1/12,0)))</f>
        <v>1</v>
      </c>
      <c r="AQ63" s="72" t="n">
        <f aca="false">IF(38&lt;$C$24,0,MIN($G$24,ROUNDUP($F$24+($G$24-$F$24)*2/12,0)))</f>
        <v>1</v>
      </c>
      <c r="AR63" s="72" t="n">
        <f aca="false">IF(39&lt;$C$24,0,MIN($G$24,ROUNDUP($F$24+($G$24-$F$24)*3/12,0)))</f>
        <v>1</v>
      </c>
      <c r="AS63" s="72" t="n">
        <f aca="false">IF(40&lt;$C$24,0,MIN($G$24,ROUNDUP($F$24+($G$24-$F$24)*4/12,0)))</f>
        <v>1</v>
      </c>
      <c r="AT63" s="72" t="n">
        <f aca="false">IF(41&lt;$C$24,0,MIN($G$24,ROUNDUP($F$24+($G$24-$F$24)*5/12,0)))</f>
        <v>1</v>
      </c>
      <c r="AU63" s="72" t="n">
        <f aca="false">IF(42&lt;$C$24,0,MIN($G$24,ROUNDUP($F$24+($G$24-$F$24)*6/12,0)))</f>
        <v>1</v>
      </c>
      <c r="AV63" s="72" t="n">
        <f aca="false">IF(43&lt;$C$24,0,MIN($G$24,ROUNDUP($F$24+($G$24-$F$24)*7/12,0)))</f>
        <v>1</v>
      </c>
      <c r="AW63" s="72" t="n">
        <f aca="false">IF(44&lt;$C$24,0,MIN($G$24,ROUNDUP($F$24+($G$24-$F$24)*8/12,0)))</f>
        <v>1</v>
      </c>
      <c r="AX63" s="72" t="n">
        <f aca="false">IF(45&lt;$C$24,0,MIN($G$24,ROUNDUP($F$24+($G$24-$F$24)*9/12,0)))</f>
        <v>1</v>
      </c>
      <c r="AY63" s="72" t="n">
        <f aca="false">IF(46&lt;$C$24,0,MIN($G$24,ROUNDUP($F$24+($G$24-$F$24)*10/12,0)))</f>
        <v>1</v>
      </c>
      <c r="AZ63" s="72" t="n">
        <f aca="false">IF(47&lt;$C$24,0,MIN($G$24,ROUNDUP($F$24+($G$24-$F$24)*11/12,0)))</f>
        <v>1</v>
      </c>
      <c r="BA63" s="72" t="n">
        <f aca="false">IF(48&lt;$C$24,0,MIN($G$24,ROUNDUP($F$24+($G$24-$F$24)*12/12,0)))</f>
        <v>1</v>
      </c>
      <c r="BB63" s="69" t="n">
        <f aca="false">BN63</f>
        <v>1</v>
      </c>
      <c r="BC63" s="72" t="n">
        <f aca="false">IF(49&lt;$C$24,0,MIN($H$24,ROUNDUP($G$24+($H$24-$G$24)*1/12,0)))</f>
        <v>1</v>
      </c>
      <c r="BD63" s="72" t="n">
        <f aca="false">IF(50&lt;$C$24,0,MIN($H$24,ROUNDUP($G$24+($H$24-$G$24)*2/12,0)))</f>
        <v>1</v>
      </c>
      <c r="BE63" s="72" t="n">
        <f aca="false">IF(51&lt;$C$24,0,MIN($H$24,ROUNDUP($G$24+($H$24-$G$24)*3/12,0)))</f>
        <v>1</v>
      </c>
      <c r="BF63" s="72" t="n">
        <f aca="false">IF(52&lt;$C$24,0,MIN($H$24,ROUNDUP($G$24+($H$24-$G$24)*4/12,0)))</f>
        <v>1</v>
      </c>
      <c r="BG63" s="72" t="n">
        <f aca="false">IF(53&lt;$C$24,0,MIN($H$24,ROUNDUP($G$24+($H$24-$G$24)*5/12,0)))</f>
        <v>1</v>
      </c>
      <c r="BH63" s="72" t="n">
        <f aca="false">IF(54&lt;$C$24,0,MIN($H$24,ROUNDUP($G$24+($H$24-$G$24)*6/12,0)))</f>
        <v>1</v>
      </c>
      <c r="BI63" s="72" t="n">
        <f aca="false">IF(55&lt;$C$24,0,MIN($H$24,ROUNDUP($G$24+($H$24-$G$24)*7/12,0)))</f>
        <v>1</v>
      </c>
      <c r="BJ63" s="72" t="n">
        <f aca="false">IF(56&lt;$C$24,0,MIN($H$24,ROUNDUP($G$24+($H$24-$G$24)*8/12,0)))</f>
        <v>1</v>
      </c>
      <c r="BK63" s="72" t="n">
        <f aca="false">IF(57&lt;$C$24,0,MIN($H$24,ROUNDUP($G$24+($H$24-$G$24)*9/12,0)))</f>
        <v>1</v>
      </c>
      <c r="BL63" s="72" t="n">
        <f aca="false">IF(58&lt;$C$24,0,MIN($H$24,ROUNDUP($G$24+($H$24-$G$24)*10/12,0)))</f>
        <v>1</v>
      </c>
      <c r="BM63" s="72" t="n">
        <f aca="false">IF(59&lt;$C$24,0,MIN($H$24,ROUNDUP($G$24+($H$24-$G$24)*11/12,0)))</f>
        <v>1</v>
      </c>
      <c r="BN63" s="72" t="n">
        <f aca="false">IF(60&lt;$C$24,0,MIN($H$24,ROUNDUP($G$24+($H$24-$G$24)*12/12,0)))</f>
        <v>1</v>
      </c>
    </row>
    <row r="64" customFormat="false" ht="15" hidden="false" customHeight="false" outlineLevel="0" collapsed="false">
      <c r="A64" s="4" t="s">
        <v>858</v>
      </c>
      <c r="B64" s="69" t="n">
        <f aca="false">N64</f>
        <v>3</v>
      </c>
      <c r="C64" s="72" t="n">
        <f aca="false">IF(1&lt;$C$25,0,$D$25)</f>
        <v>3</v>
      </c>
      <c r="D64" s="72" t="n">
        <f aca="false">IF(2&lt;$C$25,0,$D$25)</f>
        <v>3</v>
      </c>
      <c r="E64" s="72" t="n">
        <f aca="false">IF(3&lt;$C$25,0,$D$25)</f>
        <v>3</v>
      </c>
      <c r="F64" s="72" t="n">
        <f aca="false">IF(4&lt;$C$25,0,$D$25)</f>
        <v>3</v>
      </c>
      <c r="G64" s="72" t="n">
        <f aca="false">IF(5&lt;$C$25,0,$D$25)</f>
        <v>3</v>
      </c>
      <c r="H64" s="72" t="n">
        <f aca="false">IF(6&lt;$C$25,0,$D$25)</f>
        <v>3</v>
      </c>
      <c r="I64" s="72" t="n">
        <f aca="false">IF(7&lt;$C$25,0,$D$25)</f>
        <v>3</v>
      </c>
      <c r="J64" s="72" t="n">
        <f aca="false">IF(8&lt;$C$25,0,$D$25)</f>
        <v>3</v>
      </c>
      <c r="K64" s="72" t="n">
        <f aca="false">IF(9&lt;$C$25,0,$D$25)</f>
        <v>3</v>
      </c>
      <c r="L64" s="72" t="n">
        <f aca="false">IF(10&lt;$C$25,0,$D$25)</f>
        <v>3</v>
      </c>
      <c r="M64" s="72" t="n">
        <f aca="false">IF(11&lt;$C$25,0,$D$25)</f>
        <v>3</v>
      </c>
      <c r="N64" s="72" t="n">
        <f aca="false">IF(12&lt;$C$25,0,$D$25)</f>
        <v>3</v>
      </c>
      <c r="O64" s="69" t="n">
        <f aca="false">AA64</f>
        <v>3</v>
      </c>
      <c r="P64" s="72" t="n">
        <f aca="false">IF(13&lt;$C$25,0,MIN($E$25,ROUNDUP($D$25+($E$25-$D$25)*1/12,0)))</f>
        <v>3</v>
      </c>
      <c r="Q64" s="72" t="n">
        <f aca="false">IF(14&lt;$C$25,0,MIN($E$25,ROUNDUP($D$25+($E$25-$D$25)*2/12,0)))</f>
        <v>3</v>
      </c>
      <c r="R64" s="72" t="n">
        <f aca="false">IF(15&lt;$C$25,0,MIN($E$25,ROUNDUP($D$25+($E$25-$D$25)*3/12,0)))</f>
        <v>3</v>
      </c>
      <c r="S64" s="72" t="n">
        <f aca="false">IF(16&lt;$C$25,0,MIN($E$25,ROUNDUP($D$25+($E$25-$D$25)*4/12,0)))</f>
        <v>3</v>
      </c>
      <c r="T64" s="72" t="n">
        <f aca="false">IF(17&lt;$C$25,0,MIN($E$25,ROUNDUP($D$25+($E$25-$D$25)*5/12,0)))</f>
        <v>3</v>
      </c>
      <c r="U64" s="72" t="n">
        <f aca="false">IF(18&lt;$C$25,0,MIN($E$25,ROUNDUP($D$25+($E$25-$D$25)*6/12,0)))</f>
        <v>3</v>
      </c>
      <c r="V64" s="72" t="n">
        <f aca="false">IF(19&lt;$C$25,0,MIN($E$25,ROUNDUP($D$25+($E$25-$D$25)*7/12,0)))</f>
        <v>3</v>
      </c>
      <c r="W64" s="72" t="n">
        <f aca="false">IF(20&lt;$C$25,0,MIN($E$25,ROUNDUP($D$25+($E$25-$D$25)*8/12,0)))</f>
        <v>3</v>
      </c>
      <c r="X64" s="72" t="n">
        <f aca="false">IF(21&lt;$C$25,0,MIN($E$25,ROUNDUP($D$25+($E$25-$D$25)*9/12,0)))</f>
        <v>3</v>
      </c>
      <c r="Y64" s="72" t="n">
        <f aca="false">IF(22&lt;$C$25,0,MIN($E$25,ROUNDUP($D$25+($E$25-$D$25)*10/12,0)))</f>
        <v>3</v>
      </c>
      <c r="Z64" s="72" t="n">
        <f aca="false">IF(23&lt;$C$25,0,MIN($E$25,ROUNDUP($D$25+($E$25-$D$25)*11/12,0)))</f>
        <v>3</v>
      </c>
      <c r="AA64" s="72" t="n">
        <f aca="false">IF(24&lt;$C$25,0,MIN($E$25,ROUNDUP($D$25+($E$25-$D$25)*12/12,0)))</f>
        <v>3</v>
      </c>
      <c r="AB64" s="69" t="n">
        <f aca="false">AN64</f>
        <v>4</v>
      </c>
      <c r="AC64" s="72" t="n">
        <f aca="false">IF(25&lt;$C$25,0,MIN($F$25,ROUNDUP($E$25+($F$25-$E$25)*1/12,0)))</f>
        <v>4</v>
      </c>
      <c r="AD64" s="72" t="n">
        <f aca="false">IF(26&lt;$C$25,0,MIN($F$25,ROUNDUP($E$25+($F$25-$E$25)*2/12,0)))</f>
        <v>4</v>
      </c>
      <c r="AE64" s="72" t="n">
        <f aca="false">IF(27&lt;$C$25,0,MIN($F$25,ROUNDUP($E$25+($F$25-$E$25)*3/12,0)))</f>
        <v>4</v>
      </c>
      <c r="AF64" s="72" t="n">
        <f aca="false">IF(28&lt;$C$25,0,MIN($F$25,ROUNDUP($E$25+($F$25-$E$25)*4/12,0)))</f>
        <v>4</v>
      </c>
      <c r="AG64" s="72" t="n">
        <f aca="false">IF(29&lt;$C$25,0,MIN($F$25,ROUNDUP($E$25+($F$25-$E$25)*5/12,0)))</f>
        <v>4</v>
      </c>
      <c r="AH64" s="72" t="n">
        <f aca="false">IF(30&lt;$C$25,0,MIN($F$25,ROUNDUP($E$25+($F$25-$E$25)*6/12,0)))</f>
        <v>4</v>
      </c>
      <c r="AI64" s="72" t="n">
        <f aca="false">IF(31&lt;$C$25,0,MIN($F$25,ROUNDUP($E$25+($F$25-$E$25)*7/12,0)))</f>
        <v>4</v>
      </c>
      <c r="AJ64" s="72" t="n">
        <f aca="false">IF(32&lt;$C$25,0,MIN($F$25,ROUNDUP($E$25+($F$25-$E$25)*8/12,0)))</f>
        <v>4</v>
      </c>
      <c r="AK64" s="72" t="n">
        <f aca="false">IF(33&lt;$C$25,0,MIN($F$25,ROUNDUP($E$25+($F$25-$E$25)*9/12,0)))</f>
        <v>4</v>
      </c>
      <c r="AL64" s="72" t="n">
        <f aca="false">IF(34&lt;$C$25,0,MIN($F$25,ROUNDUP($E$25+($F$25-$E$25)*10/12,0)))</f>
        <v>4</v>
      </c>
      <c r="AM64" s="72" t="n">
        <f aca="false">IF(35&lt;$C$25,0,MIN($F$25,ROUNDUP($E$25+($F$25-$E$25)*11/12,0)))</f>
        <v>4</v>
      </c>
      <c r="AN64" s="72" t="n">
        <f aca="false">IF(36&lt;$C$25,0,MIN($F$25,ROUNDUP($E$25+($F$25-$E$25)*12/12,0)))</f>
        <v>4</v>
      </c>
      <c r="AO64" s="69" t="n">
        <f aca="false">BA64</f>
        <v>5</v>
      </c>
      <c r="AP64" s="72" t="n">
        <f aca="false">IF(37&lt;$C$25,0,MIN($G$25,ROUNDUP($F$25+($G$25-$F$25)*1/12,0)))</f>
        <v>5</v>
      </c>
      <c r="AQ64" s="72" t="n">
        <f aca="false">IF(38&lt;$C$25,0,MIN($G$25,ROUNDUP($F$25+($G$25-$F$25)*2/12,0)))</f>
        <v>5</v>
      </c>
      <c r="AR64" s="72" t="n">
        <f aca="false">IF(39&lt;$C$25,0,MIN($G$25,ROUNDUP($F$25+($G$25-$F$25)*3/12,0)))</f>
        <v>5</v>
      </c>
      <c r="AS64" s="72" t="n">
        <f aca="false">IF(40&lt;$C$25,0,MIN($G$25,ROUNDUP($F$25+($G$25-$F$25)*4/12,0)))</f>
        <v>5</v>
      </c>
      <c r="AT64" s="72" t="n">
        <f aca="false">IF(41&lt;$C$25,0,MIN($G$25,ROUNDUP($F$25+($G$25-$F$25)*5/12,0)))</f>
        <v>5</v>
      </c>
      <c r="AU64" s="72" t="n">
        <f aca="false">IF(42&lt;$C$25,0,MIN($G$25,ROUNDUP($F$25+($G$25-$F$25)*6/12,0)))</f>
        <v>5</v>
      </c>
      <c r="AV64" s="72" t="n">
        <f aca="false">IF(43&lt;$C$25,0,MIN($G$25,ROUNDUP($F$25+($G$25-$F$25)*7/12,0)))</f>
        <v>5</v>
      </c>
      <c r="AW64" s="72" t="n">
        <f aca="false">IF(44&lt;$C$25,0,MIN($G$25,ROUNDUP($F$25+($G$25-$F$25)*8/12,0)))</f>
        <v>5</v>
      </c>
      <c r="AX64" s="72" t="n">
        <f aca="false">IF(45&lt;$C$25,0,MIN($G$25,ROUNDUP($F$25+($G$25-$F$25)*9/12,0)))</f>
        <v>5</v>
      </c>
      <c r="AY64" s="72" t="n">
        <f aca="false">IF(46&lt;$C$25,0,MIN($G$25,ROUNDUP($F$25+($G$25-$F$25)*10/12,0)))</f>
        <v>5</v>
      </c>
      <c r="AZ64" s="72" t="n">
        <f aca="false">IF(47&lt;$C$25,0,MIN($G$25,ROUNDUP($F$25+($G$25-$F$25)*11/12,0)))</f>
        <v>5</v>
      </c>
      <c r="BA64" s="72" t="n">
        <f aca="false">IF(48&lt;$C$25,0,MIN($G$25,ROUNDUP($F$25+($G$25-$F$25)*12/12,0)))</f>
        <v>5</v>
      </c>
      <c r="BB64" s="69" t="n">
        <f aca="false">BN64</f>
        <v>6</v>
      </c>
      <c r="BC64" s="72" t="n">
        <f aca="false">IF(49&lt;$C$25,0,MIN($H$25,ROUNDUP($G$25+($H$25-$G$25)*1/12,0)))</f>
        <v>6</v>
      </c>
      <c r="BD64" s="72" t="n">
        <f aca="false">IF(50&lt;$C$25,0,MIN($H$25,ROUNDUP($G$25+($H$25-$G$25)*2/12,0)))</f>
        <v>6</v>
      </c>
      <c r="BE64" s="72" t="n">
        <f aca="false">IF(51&lt;$C$25,0,MIN($H$25,ROUNDUP($G$25+($H$25-$G$25)*3/12,0)))</f>
        <v>6</v>
      </c>
      <c r="BF64" s="72" t="n">
        <f aca="false">IF(52&lt;$C$25,0,MIN($H$25,ROUNDUP($G$25+($H$25-$G$25)*4/12,0)))</f>
        <v>6</v>
      </c>
      <c r="BG64" s="72" t="n">
        <f aca="false">IF(53&lt;$C$25,0,MIN($H$25,ROUNDUP($G$25+($H$25-$G$25)*5/12,0)))</f>
        <v>6</v>
      </c>
      <c r="BH64" s="72" t="n">
        <f aca="false">IF(54&lt;$C$25,0,MIN($H$25,ROUNDUP($G$25+($H$25-$G$25)*6/12,0)))</f>
        <v>6</v>
      </c>
      <c r="BI64" s="72" t="n">
        <f aca="false">IF(55&lt;$C$25,0,MIN($H$25,ROUNDUP($G$25+($H$25-$G$25)*7/12,0)))</f>
        <v>6</v>
      </c>
      <c r="BJ64" s="72" t="n">
        <f aca="false">IF(56&lt;$C$25,0,MIN($H$25,ROUNDUP($G$25+($H$25-$G$25)*8/12,0)))</f>
        <v>6</v>
      </c>
      <c r="BK64" s="72" t="n">
        <f aca="false">IF(57&lt;$C$25,0,MIN($H$25,ROUNDUP($G$25+($H$25-$G$25)*9/12,0)))</f>
        <v>6</v>
      </c>
      <c r="BL64" s="72" t="n">
        <f aca="false">IF(58&lt;$C$25,0,MIN($H$25,ROUNDUP($G$25+($H$25-$G$25)*10/12,0)))</f>
        <v>6</v>
      </c>
      <c r="BM64" s="72" t="n">
        <f aca="false">IF(59&lt;$C$25,0,MIN($H$25,ROUNDUP($G$25+($H$25-$G$25)*11/12,0)))</f>
        <v>6</v>
      </c>
      <c r="BN64" s="72" t="n">
        <f aca="false">IF(60&lt;$C$25,0,MIN($H$25,ROUNDUP($G$25+($H$25-$G$25)*12/12,0)))</f>
        <v>6</v>
      </c>
    </row>
    <row r="65" customFormat="false" ht="15" hidden="false" customHeight="false" outlineLevel="0" collapsed="false">
      <c r="A65" s="4" t="s">
        <v>859</v>
      </c>
      <c r="B65" s="69" t="n">
        <f aca="false">N65</f>
        <v>0</v>
      </c>
      <c r="C65" s="72" t="n">
        <f aca="false">IF(1&lt;$C$26,0,$D$26)</f>
        <v>0</v>
      </c>
      <c r="D65" s="72" t="n">
        <f aca="false">IF(2&lt;$C$26,0,$D$26)</f>
        <v>0</v>
      </c>
      <c r="E65" s="72" t="n">
        <f aca="false">IF(3&lt;$C$26,0,$D$26)</f>
        <v>0</v>
      </c>
      <c r="F65" s="72" t="n">
        <f aca="false">IF(4&lt;$C$26,0,$D$26)</f>
        <v>0</v>
      </c>
      <c r="G65" s="72" t="n">
        <f aca="false">IF(5&lt;$C$26,0,$D$26)</f>
        <v>0</v>
      </c>
      <c r="H65" s="72" t="n">
        <f aca="false">IF(6&lt;$C$26,0,$D$26)</f>
        <v>0</v>
      </c>
      <c r="I65" s="72" t="n">
        <f aca="false">IF(7&lt;$C$26,0,$D$26)</f>
        <v>0</v>
      </c>
      <c r="J65" s="72" t="n">
        <f aca="false">IF(8&lt;$C$26,0,$D$26)</f>
        <v>0</v>
      </c>
      <c r="K65" s="72" t="n">
        <f aca="false">IF(9&lt;$C$26,0,$D$26)</f>
        <v>0</v>
      </c>
      <c r="L65" s="72" t="n">
        <f aca="false">IF(10&lt;$C$26,0,$D$26)</f>
        <v>0</v>
      </c>
      <c r="M65" s="72" t="n">
        <f aca="false">IF(11&lt;$C$26,0,$D$26)</f>
        <v>0</v>
      </c>
      <c r="N65" s="72" t="n">
        <f aca="false">IF(12&lt;$C$26,0,$D$26)</f>
        <v>0</v>
      </c>
      <c r="O65" s="69" t="n">
        <f aca="false">AA65</f>
        <v>1</v>
      </c>
      <c r="P65" s="72" t="n">
        <f aca="false">IF(13&lt;$C$26,0,MIN($E$26,ROUNDUP($D$26+($E$26-$D$26)*1/12,0)))</f>
        <v>1</v>
      </c>
      <c r="Q65" s="72" t="n">
        <f aca="false">IF(14&lt;$C$26,0,MIN($E$26,ROUNDUP($D$26+($E$26-$D$26)*2/12,0)))</f>
        <v>1</v>
      </c>
      <c r="R65" s="72" t="n">
        <f aca="false">IF(15&lt;$C$26,0,MIN($E$26,ROUNDUP($D$26+($E$26-$D$26)*3/12,0)))</f>
        <v>1</v>
      </c>
      <c r="S65" s="72" t="n">
        <f aca="false">IF(16&lt;$C$26,0,MIN($E$26,ROUNDUP($D$26+($E$26-$D$26)*4/12,0)))</f>
        <v>1</v>
      </c>
      <c r="T65" s="72" t="n">
        <f aca="false">IF(17&lt;$C$26,0,MIN($E$26,ROUNDUP($D$26+($E$26-$D$26)*5/12,0)))</f>
        <v>1</v>
      </c>
      <c r="U65" s="72" t="n">
        <f aca="false">IF(18&lt;$C$26,0,MIN($E$26,ROUNDUP($D$26+($E$26-$D$26)*6/12,0)))</f>
        <v>1</v>
      </c>
      <c r="V65" s="72" t="n">
        <f aca="false">IF(19&lt;$C$26,0,MIN($E$26,ROUNDUP($D$26+($E$26-$D$26)*7/12,0)))</f>
        <v>1</v>
      </c>
      <c r="W65" s="72" t="n">
        <f aca="false">IF(20&lt;$C$26,0,MIN($E$26,ROUNDUP($D$26+($E$26-$D$26)*8/12,0)))</f>
        <v>1</v>
      </c>
      <c r="X65" s="72" t="n">
        <f aca="false">IF(21&lt;$C$26,0,MIN($E$26,ROUNDUP($D$26+($E$26-$D$26)*9/12,0)))</f>
        <v>1</v>
      </c>
      <c r="Y65" s="72" t="n">
        <f aca="false">IF(22&lt;$C$26,0,MIN($E$26,ROUNDUP($D$26+($E$26-$D$26)*10/12,0)))</f>
        <v>1</v>
      </c>
      <c r="Z65" s="72" t="n">
        <f aca="false">IF(23&lt;$C$26,0,MIN($E$26,ROUNDUP($D$26+($E$26-$D$26)*11/12,0)))</f>
        <v>1</v>
      </c>
      <c r="AA65" s="72" t="n">
        <f aca="false">IF(24&lt;$C$26,0,MIN($E$26,ROUNDUP($D$26+($E$26-$D$26)*12/12,0)))</f>
        <v>1</v>
      </c>
      <c r="AB65" s="69" t="n">
        <f aca="false">AN65</f>
        <v>1</v>
      </c>
      <c r="AC65" s="72" t="n">
        <f aca="false">IF(25&lt;$C$26,0,MIN($F$26,ROUNDUP($E$26+($F$26-$E$26)*1/12,0)))</f>
        <v>1</v>
      </c>
      <c r="AD65" s="72" t="n">
        <f aca="false">IF(26&lt;$C$26,0,MIN($F$26,ROUNDUP($E$26+($F$26-$E$26)*2/12,0)))</f>
        <v>1</v>
      </c>
      <c r="AE65" s="72" t="n">
        <f aca="false">IF(27&lt;$C$26,0,MIN($F$26,ROUNDUP($E$26+($F$26-$E$26)*3/12,0)))</f>
        <v>1</v>
      </c>
      <c r="AF65" s="72" t="n">
        <f aca="false">IF(28&lt;$C$26,0,MIN($F$26,ROUNDUP($E$26+($F$26-$E$26)*4/12,0)))</f>
        <v>1</v>
      </c>
      <c r="AG65" s="72" t="n">
        <f aca="false">IF(29&lt;$C$26,0,MIN($F$26,ROUNDUP($E$26+($F$26-$E$26)*5/12,0)))</f>
        <v>1</v>
      </c>
      <c r="AH65" s="72" t="n">
        <f aca="false">IF(30&lt;$C$26,0,MIN($F$26,ROUNDUP($E$26+($F$26-$E$26)*6/12,0)))</f>
        <v>1</v>
      </c>
      <c r="AI65" s="72" t="n">
        <f aca="false">IF(31&lt;$C$26,0,MIN($F$26,ROUNDUP($E$26+($F$26-$E$26)*7/12,0)))</f>
        <v>1</v>
      </c>
      <c r="AJ65" s="72" t="n">
        <f aca="false">IF(32&lt;$C$26,0,MIN($F$26,ROUNDUP($E$26+($F$26-$E$26)*8/12,0)))</f>
        <v>1</v>
      </c>
      <c r="AK65" s="72" t="n">
        <f aca="false">IF(33&lt;$C$26,0,MIN($F$26,ROUNDUP($E$26+($F$26-$E$26)*9/12,0)))</f>
        <v>1</v>
      </c>
      <c r="AL65" s="72" t="n">
        <f aca="false">IF(34&lt;$C$26,0,MIN($F$26,ROUNDUP($E$26+($F$26-$E$26)*10/12,0)))</f>
        <v>1</v>
      </c>
      <c r="AM65" s="72" t="n">
        <f aca="false">IF(35&lt;$C$26,0,MIN($F$26,ROUNDUP($E$26+($F$26-$E$26)*11/12,0)))</f>
        <v>1</v>
      </c>
      <c r="AN65" s="72" t="n">
        <f aca="false">IF(36&lt;$C$26,0,MIN($F$26,ROUNDUP($E$26+($F$26-$E$26)*12/12,0)))</f>
        <v>1</v>
      </c>
      <c r="AO65" s="69" t="n">
        <f aca="false">BA65</f>
        <v>2</v>
      </c>
      <c r="AP65" s="72" t="n">
        <f aca="false">IF(37&lt;$C$26,0,MIN($G$26,ROUNDUP($F$26+($G$26-$F$26)*1/12,0)))</f>
        <v>2</v>
      </c>
      <c r="AQ65" s="72" t="n">
        <f aca="false">IF(38&lt;$C$26,0,MIN($G$26,ROUNDUP($F$26+($G$26-$F$26)*2/12,0)))</f>
        <v>2</v>
      </c>
      <c r="AR65" s="72" t="n">
        <f aca="false">IF(39&lt;$C$26,0,MIN($G$26,ROUNDUP($F$26+($G$26-$F$26)*3/12,0)))</f>
        <v>2</v>
      </c>
      <c r="AS65" s="72" t="n">
        <f aca="false">IF(40&lt;$C$26,0,MIN($G$26,ROUNDUP($F$26+($G$26-$F$26)*4/12,0)))</f>
        <v>2</v>
      </c>
      <c r="AT65" s="72" t="n">
        <f aca="false">IF(41&lt;$C$26,0,MIN($G$26,ROUNDUP($F$26+($G$26-$F$26)*5/12,0)))</f>
        <v>2</v>
      </c>
      <c r="AU65" s="72" t="n">
        <f aca="false">IF(42&lt;$C$26,0,MIN($G$26,ROUNDUP($F$26+($G$26-$F$26)*6/12,0)))</f>
        <v>2</v>
      </c>
      <c r="AV65" s="72" t="n">
        <f aca="false">IF(43&lt;$C$26,0,MIN($G$26,ROUNDUP($F$26+($G$26-$F$26)*7/12,0)))</f>
        <v>2</v>
      </c>
      <c r="AW65" s="72" t="n">
        <f aca="false">IF(44&lt;$C$26,0,MIN($G$26,ROUNDUP($F$26+($G$26-$F$26)*8/12,0)))</f>
        <v>2</v>
      </c>
      <c r="AX65" s="72" t="n">
        <f aca="false">IF(45&lt;$C$26,0,MIN($G$26,ROUNDUP($F$26+($G$26-$F$26)*9/12,0)))</f>
        <v>2</v>
      </c>
      <c r="AY65" s="72" t="n">
        <f aca="false">IF(46&lt;$C$26,0,MIN($G$26,ROUNDUP($F$26+($G$26-$F$26)*10/12,0)))</f>
        <v>2</v>
      </c>
      <c r="AZ65" s="72" t="n">
        <f aca="false">IF(47&lt;$C$26,0,MIN($G$26,ROUNDUP($F$26+($G$26-$F$26)*11/12,0)))</f>
        <v>2</v>
      </c>
      <c r="BA65" s="72" t="n">
        <f aca="false">IF(48&lt;$C$26,0,MIN($G$26,ROUNDUP($F$26+($G$26-$F$26)*12/12,0)))</f>
        <v>2</v>
      </c>
      <c r="BB65" s="69" t="n">
        <f aca="false">BN65</f>
        <v>2</v>
      </c>
      <c r="BC65" s="72" t="n">
        <f aca="false">IF(49&lt;$C$26,0,MIN($H$26,ROUNDUP($G$26+($H$26-$G$26)*1/12,0)))</f>
        <v>2</v>
      </c>
      <c r="BD65" s="72" t="n">
        <f aca="false">IF(50&lt;$C$26,0,MIN($H$26,ROUNDUP($G$26+($H$26-$G$26)*2/12,0)))</f>
        <v>2</v>
      </c>
      <c r="BE65" s="72" t="n">
        <f aca="false">IF(51&lt;$C$26,0,MIN($H$26,ROUNDUP($G$26+($H$26-$G$26)*3/12,0)))</f>
        <v>2</v>
      </c>
      <c r="BF65" s="72" t="n">
        <f aca="false">IF(52&lt;$C$26,0,MIN($H$26,ROUNDUP($G$26+($H$26-$G$26)*4/12,0)))</f>
        <v>2</v>
      </c>
      <c r="BG65" s="72" t="n">
        <f aca="false">IF(53&lt;$C$26,0,MIN($H$26,ROUNDUP($G$26+($H$26-$G$26)*5/12,0)))</f>
        <v>2</v>
      </c>
      <c r="BH65" s="72" t="n">
        <f aca="false">IF(54&lt;$C$26,0,MIN($H$26,ROUNDUP($G$26+($H$26-$G$26)*6/12,0)))</f>
        <v>2</v>
      </c>
      <c r="BI65" s="72" t="n">
        <f aca="false">IF(55&lt;$C$26,0,MIN($H$26,ROUNDUP($G$26+($H$26-$G$26)*7/12,0)))</f>
        <v>2</v>
      </c>
      <c r="BJ65" s="72" t="n">
        <f aca="false">IF(56&lt;$C$26,0,MIN($H$26,ROUNDUP($G$26+($H$26-$G$26)*8/12,0)))</f>
        <v>2</v>
      </c>
      <c r="BK65" s="72" t="n">
        <f aca="false">IF(57&lt;$C$26,0,MIN($H$26,ROUNDUP($G$26+($H$26-$G$26)*9/12,0)))</f>
        <v>2</v>
      </c>
      <c r="BL65" s="72" t="n">
        <f aca="false">IF(58&lt;$C$26,0,MIN($H$26,ROUNDUP($G$26+($H$26-$G$26)*10/12,0)))</f>
        <v>2</v>
      </c>
      <c r="BM65" s="72" t="n">
        <f aca="false">IF(59&lt;$C$26,0,MIN($H$26,ROUNDUP($G$26+($H$26-$G$26)*11/12,0)))</f>
        <v>2</v>
      </c>
      <c r="BN65" s="72" t="n">
        <f aca="false">IF(60&lt;$C$26,0,MIN($H$26,ROUNDUP($G$26+($H$26-$G$26)*12/12,0)))</f>
        <v>2</v>
      </c>
    </row>
    <row r="66" customFormat="false" ht="15" hidden="false" customHeight="false" outlineLevel="0" collapsed="false">
      <c r="A66" s="4" t="s">
        <v>860</v>
      </c>
      <c r="B66" s="69" t="n">
        <f aca="false">N66</f>
        <v>1</v>
      </c>
      <c r="C66" s="72" t="n">
        <f aca="false">IF(1&lt;$C$27,0,$D$27)</f>
        <v>1</v>
      </c>
      <c r="D66" s="72" t="n">
        <f aca="false">IF(2&lt;$C$27,0,$D$27)</f>
        <v>1</v>
      </c>
      <c r="E66" s="72" t="n">
        <f aca="false">IF(3&lt;$C$27,0,$D$27)</f>
        <v>1</v>
      </c>
      <c r="F66" s="72" t="n">
        <f aca="false">IF(4&lt;$C$27,0,$D$27)</f>
        <v>1</v>
      </c>
      <c r="G66" s="72" t="n">
        <f aca="false">IF(5&lt;$C$27,0,$D$27)</f>
        <v>1</v>
      </c>
      <c r="H66" s="72" t="n">
        <f aca="false">IF(6&lt;$C$27,0,$D$27)</f>
        <v>1</v>
      </c>
      <c r="I66" s="72" t="n">
        <f aca="false">IF(7&lt;$C$27,0,$D$27)</f>
        <v>1</v>
      </c>
      <c r="J66" s="72" t="n">
        <f aca="false">IF(8&lt;$C$27,0,$D$27)</f>
        <v>1</v>
      </c>
      <c r="K66" s="72" t="n">
        <f aca="false">IF(9&lt;$C$27,0,$D$27)</f>
        <v>1</v>
      </c>
      <c r="L66" s="72" t="n">
        <f aca="false">IF(10&lt;$C$27,0,$D$27)</f>
        <v>1</v>
      </c>
      <c r="M66" s="72" t="n">
        <f aca="false">IF(11&lt;$C$27,0,$D$27)</f>
        <v>1</v>
      </c>
      <c r="N66" s="72" t="n">
        <f aca="false">IF(12&lt;$C$27,0,$D$27)</f>
        <v>1</v>
      </c>
      <c r="O66" s="69" t="n">
        <f aca="false">AA66</f>
        <v>1</v>
      </c>
      <c r="P66" s="72" t="n">
        <f aca="false">IF(13&lt;$C$27,0,MIN($E$27,ROUNDUP($D$27+($E$27-$D$27)*1/12,0)))</f>
        <v>1</v>
      </c>
      <c r="Q66" s="72" t="n">
        <f aca="false">IF(14&lt;$C$27,0,MIN($E$27,ROUNDUP($D$27+($E$27-$D$27)*2/12,0)))</f>
        <v>1</v>
      </c>
      <c r="R66" s="72" t="n">
        <f aca="false">IF(15&lt;$C$27,0,MIN($E$27,ROUNDUP($D$27+($E$27-$D$27)*3/12,0)))</f>
        <v>1</v>
      </c>
      <c r="S66" s="72" t="n">
        <f aca="false">IF(16&lt;$C$27,0,MIN($E$27,ROUNDUP($D$27+($E$27-$D$27)*4/12,0)))</f>
        <v>1</v>
      </c>
      <c r="T66" s="72" t="n">
        <f aca="false">IF(17&lt;$C$27,0,MIN($E$27,ROUNDUP($D$27+($E$27-$D$27)*5/12,0)))</f>
        <v>1</v>
      </c>
      <c r="U66" s="72" t="n">
        <f aca="false">IF(18&lt;$C$27,0,MIN($E$27,ROUNDUP($D$27+($E$27-$D$27)*6/12,0)))</f>
        <v>1</v>
      </c>
      <c r="V66" s="72" t="n">
        <f aca="false">IF(19&lt;$C$27,0,MIN($E$27,ROUNDUP($D$27+($E$27-$D$27)*7/12,0)))</f>
        <v>1</v>
      </c>
      <c r="W66" s="72" t="n">
        <f aca="false">IF(20&lt;$C$27,0,MIN($E$27,ROUNDUP($D$27+($E$27-$D$27)*8/12,0)))</f>
        <v>1</v>
      </c>
      <c r="X66" s="72" t="n">
        <f aca="false">IF(21&lt;$C$27,0,MIN($E$27,ROUNDUP($D$27+($E$27-$D$27)*9/12,0)))</f>
        <v>1</v>
      </c>
      <c r="Y66" s="72" t="n">
        <f aca="false">IF(22&lt;$C$27,0,MIN($E$27,ROUNDUP($D$27+($E$27-$D$27)*10/12,0)))</f>
        <v>1</v>
      </c>
      <c r="Z66" s="72" t="n">
        <f aca="false">IF(23&lt;$C$27,0,MIN($E$27,ROUNDUP($D$27+($E$27-$D$27)*11/12,0)))</f>
        <v>1</v>
      </c>
      <c r="AA66" s="72" t="n">
        <f aca="false">IF(24&lt;$C$27,0,MIN($E$27,ROUNDUP($D$27+($E$27-$D$27)*12/12,0)))</f>
        <v>1</v>
      </c>
      <c r="AB66" s="69" t="n">
        <f aca="false">AN66</f>
        <v>1</v>
      </c>
      <c r="AC66" s="72" t="n">
        <f aca="false">IF(25&lt;$C$27,0,MIN($F$27,ROUNDUP($E$27+($F$27-$E$27)*1/12,0)))</f>
        <v>1</v>
      </c>
      <c r="AD66" s="72" t="n">
        <f aca="false">IF(26&lt;$C$27,0,MIN($F$27,ROUNDUP($E$27+($F$27-$E$27)*2/12,0)))</f>
        <v>1</v>
      </c>
      <c r="AE66" s="72" t="n">
        <f aca="false">IF(27&lt;$C$27,0,MIN($F$27,ROUNDUP($E$27+($F$27-$E$27)*3/12,0)))</f>
        <v>1</v>
      </c>
      <c r="AF66" s="72" t="n">
        <f aca="false">IF(28&lt;$C$27,0,MIN($F$27,ROUNDUP($E$27+($F$27-$E$27)*4/12,0)))</f>
        <v>1</v>
      </c>
      <c r="AG66" s="72" t="n">
        <f aca="false">IF(29&lt;$C$27,0,MIN($F$27,ROUNDUP($E$27+($F$27-$E$27)*5/12,0)))</f>
        <v>1</v>
      </c>
      <c r="AH66" s="72" t="n">
        <f aca="false">IF(30&lt;$C$27,0,MIN($F$27,ROUNDUP($E$27+($F$27-$E$27)*6/12,0)))</f>
        <v>1</v>
      </c>
      <c r="AI66" s="72" t="n">
        <f aca="false">IF(31&lt;$C$27,0,MIN($F$27,ROUNDUP($E$27+($F$27-$E$27)*7/12,0)))</f>
        <v>1</v>
      </c>
      <c r="AJ66" s="72" t="n">
        <f aca="false">IF(32&lt;$C$27,0,MIN($F$27,ROUNDUP($E$27+($F$27-$E$27)*8/12,0)))</f>
        <v>1</v>
      </c>
      <c r="AK66" s="72" t="n">
        <f aca="false">IF(33&lt;$C$27,0,MIN($F$27,ROUNDUP($E$27+($F$27-$E$27)*9/12,0)))</f>
        <v>1</v>
      </c>
      <c r="AL66" s="72" t="n">
        <f aca="false">IF(34&lt;$C$27,0,MIN($F$27,ROUNDUP($E$27+($F$27-$E$27)*10/12,0)))</f>
        <v>1</v>
      </c>
      <c r="AM66" s="72" t="n">
        <f aca="false">IF(35&lt;$C$27,0,MIN($F$27,ROUNDUP($E$27+($F$27-$E$27)*11/12,0)))</f>
        <v>1</v>
      </c>
      <c r="AN66" s="72" t="n">
        <f aca="false">IF(36&lt;$C$27,0,MIN($F$27,ROUNDUP($E$27+($F$27-$E$27)*12/12,0)))</f>
        <v>1</v>
      </c>
      <c r="AO66" s="69" t="n">
        <f aca="false">BA66</f>
        <v>1</v>
      </c>
      <c r="AP66" s="72" t="n">
        <f aca="false">IF(37&lt;$C$27,0,MIN($G$27,ROUNDUP($F$27+($G$27-$F$27)*1/12,0)))</f>
        <v>1</v>
      </c>
      <c r="AQ66" s="72" t="n">
        <f aca="false">IF(38&lt;$C$27,0,MIN($G$27,ROUNDUP($F$27+($G$27-$F$27)*2/12,0)))</f>
        <v>1</v>
      </c>
      <c r="AR66" s="72" t="n">
        <f aca="false">IF(39&lt;$C$27,0,MIN($G$27,ROUNDUP($F$27+($G$27-$F$27)*3/12,0)))</f>
        <v>1</v>
      </c>
      <c r="AS66" s="72" t="n">
        <f aca="false">IF(40&lt;$C$27,0,MIN($G$27,ROUNDUP($F$27+($G$27-$F$27)*4/12,0)))</f>
        <v>1</v>
      </c>
      <c r="AT66" s="72" t="n">
        <f aca="false">IF(41&lt;$C$27,0,MIN($G$27,ROUNDUP($F$27+($G$27-$F$27)*5/12,0)))</f>
        <v>1</v>
      </c>
      <c r="AU66" s="72" t="n">
        <f aca="false">IF(42&lt;$C$27,0,MIN($G$27,ROUNDUP($F$27+($G$27-$F$27)*6/12,0)))</f>
        <v>1</v>
      </c>
      <c r="AV66" s="72" t="n">
        <f aca="false">IF(43&lt;$C$27,0,MIN($G$27,ROUNDUP($F$27+($G$27-$F$27)*7/12,0)))</f>
        <v>1</v>
      </c>
      <c r="AW66" s="72" t="n">
        <f aca="false">IF(44&lt;$C$27,0,MIN($G$27,ROUNDUP($F$27+($G$27-$F$27)*8/12,0)))</f>
        <v>1</v>
      </c>
      <c r="AX66" s="72" t="n">
        <f aca="false">IF(45&lt;$C$27,0,MIN($G$27,ROUNDUP($F$27+($G$27-$F$27)*9/12,0)))</f>
        <v>1</v>
      </c>
      <c r="AY66" s="72" t="n">
        <f aca="false">IF(46&lt;$C$27,0,MIN($G$27,ROUNDUP($F$27+($G$27-$F$27)*10/12,0)))</f>
        <v>1</v>
      </c>
      <c r="AZ66" s="72" t="n">
        <f aca="false">IF(47&lt;$C$27,0,MIN($G$27,ROUNDUP($F$27+($G$27-$F$27)*11/12,0)))</f>
        <v>1</v>
      </c>
      <c r="BA66" s="72" t="n">
        <f aca="false">IF(48&lt;$C$27,0,MIN($G$27,ROUNDUP($F$27+($G$27-$F$27)*12/12,0)))</f>
        <v>1</v>
      </c>
      <c r="BB66" s="69" t="n">
        <f aca="false">BN66</f>
        <v>1</v>
      </c>
      <c r="BC66" s="72" t="n">
        <f aca="false">IF(49&lt;$C$27,0,MIN($H$27,ROUNDUP($G$27+($H$27-$G$27)*1/12,0)))</f>
        <v>1</v>
      </c>
      <c r="BD66" s="72" t="n">
        <f aca="false">IF(50&lt;$C$27,0,MIN($H$27,ROUNDUP($G$27+($H$27-$G$27)*2/12,0)))</f>
        <v>1</v>
      </c>
      <c r="BE66" s="72" t="n">
        <f aca="false">IF(51&lt;$C$27,0,MIN($H$27,ROUNDUP($G$27+($H$27-$G$27)*3/12,0)))</f>
        <v>1</v>
      </c>
      <c r="BF66" s="72" t="n">
        <f aca="false">IF(52&lt;$C$27,0,MIN($H$27,ROUNDUP($G$27+($H$27-$G$27)*4/12,0)))</f>
        <v>1</v>
      </c>
      <c r="BG66" s="72" t="n">
        <f aca="false">IF(53&lt;$C$27,0,MIN($H$27,ROUNDUP($G$27+($H$27-$G$27)*5/12,0)))</f>
        <v>1</v>
      </c>
      <c r="BH66" s="72" t="n">
        <f aca="false">IF(54&lt;$C$27,0,MIN($H$27,ROUNDUP($G$27+($H$27-$G$27)*6/12,0)))</f>
        <v>1</v>
      </c>
      <c r="BI66" s="72" t="n">
        <f aca="false">IF(55&lt;$C$27,0,MIN($H$27,ROUNDUP($G$27+($H$27-$G$27)*7/12,0)))</f>
        <v>1</v>
      </c>
      <c r="BJ66" s="72" t="n">
        <f aca="false">IF(56&lt;$C$27,0,MIN($H$27,ROUNDUP($G$27+($H$27-$G$27)*8/12,0)))</f>
        <v>1</v>
      </c>
      <c r="BK66" s="72" t="n">
        <f aca="false">IF(57&lt;$C$27,0,MIN($H$27,ROUNDUP($G$27+($H$27-$G$27)*9/12,0)))</f>
        <v>1</v>
      </c>
      <c r="BL66" s="72" t="n">
        <f aca="false">IF(58&lt;$C$27,0,MIN($H$27,ROUNDUP($G$27+($H$27-$G$27)*10/12,0)))</f>
        <v>1</v>
      </c>
      <c r="BM66" s="72" t="n">
        <f aca="false">IF(59&lt;$C$27,0,MIN($H$27,ROUNDUP($G$27+($H$27-$G$27)*11/12,0)))</f>
        <v>1</v>
      </c>
      <c r="BN66" s="72" t="n">
        <f aca="false">IF(60&lt;$C$27,0,MIN($H$27,ROUNDUP($G$27+($H$27-$G$27)*12/12,0)))</f>
        <v>1</v>
      </c>
    </row>
    <row r="67" customFormat="false" ht="15" hidden="false" customHeight="false" outlineLevel="0" collapsed="false">
      <c r="A67" s="4" t="s">
        <v>863</v>
      </c>
      <c r="B67" s="69" t="n">
        <f aca="false">N67</f>
        <v>0</v>
      </c>
      <c r="C67" s="72" t="n">
        <f aca="false">IF(1&lt;$C$28,0,$D$28)</f>
        <v>0</v>
      </c>
      <c r="D67" s="72" t="n">
        <f aca="false">IF(2&lt;$C$28,0,$D$28)</f>
        <v>0</v>
      </c>
      <c r="E67" s="72" t="n">
        <f aca="false">IF(3&lt;$C$28,0,$D$28)</f>
        <v>0</v>
      </c>
      <c r="F67" s="72" t="n">
        <f aca="false">IF(4&lt;$C$28,0,$D$28)</f>
        <v>0</v>
      </c>
      <c r="G67" s="72" t="n">
        <f aca="false">IF(5&lt;$C$28,0,$D$28)</f>
        <v>0</v>
      </c>
      <c r="H67" s="72" t="n">
        <f aca="false">IF(6&lt;$C$28,0,$D$28)</f>
        <v>0</v>
      </c>
      <c r="I67" s="72" t="n">
        <f aca="false">IF(7&lt;$C$28,0,$D$28)</f>
        <v>0</v>
      </c>
      <c r="J67" s="72" t="n">
        <f aca="false">IF(8&lt;$C$28,0,$D$28)</f>
        <v>0</v>
      </c>
      <c r="K67" s="72" t="n">
        <f aca="false">IF(9&lt;$C$28,0,$D$28)</f>
        <v>0</v>
      </c>
      <c r="L67" s="72" t="n">
        <f aca="false">IF(10&lt;$C$28,0,$D$28)</f>
        <v>0</v>
      </c>
      <c r="M67" s="72" t="n">
        <f aca="false">IF(11&lt;$C$28,0,$D$28)</f>
        <v>0</v>
      </c>
      <c r="N67" s="72" t="n">
        <f aca="false">IF(12&lt;$C$28,0,$D$28)</f>
        <v>0</v>
      </c>
      <c r="O67" s="69" t="n">
        <f aca="false">AA67</f>
        <v>2</v>
      </c>
      <c r="P67" s="72" t="n">
        <f aca="false">IF(13&lt;$C$28,0,MIN($E$28,ROUNDUP($D$28+($E$28-$D$28)*1/12,0)))</f>
        <v>1</v>
      </c>
      <c r="Q67" s="72" t="n">
        <f aca="false">IF(14&lt;$C$28,0,MIN($E$28,ROUNDUP($D$28+($E$28-$D$28)*2/12,0)))</f>
        <v>1</v>
      </c>
      <c r="R67" s="72" t="n">
        <f aca="false">IF(15&lt;$C$28,0,MIN($E$28,ROUNDUP($D$28+($E$28-$D$28)*3/12,0)))</f>
        <v>1</v>
      </c>
      <c r="S67" s="72" t="n">
        <f aca="false">IF(16&lt;$C$28,0,MIN($E$28,ROUNDUP($D$28+($E$28-$D$28)*4/12,0)))</f>
        <v>1</v>
      </c>
      <c r="T67" s="72" t="n">
        <f aca="false">IF(17&lt;$C$28,0,MIN($E$28,ROUNDUP($D$28+($E$28-$D$28)*5/12,0)))</f>
        <v>1</v>
      </c>
      <c r="U67" s="72" t="n">
        <f aca="false">IF(18&lt;$C$28,0,MIN($E$28,ROUNDUP($D$28+($E$28-$D$28)*6/12,0)))</f>
        <v>1</v>
      </c>
      <c r="V67" s="72" t="n">
        <f aca="false">IF(19&lt;$C$28,0,MIN($E$28,ROUNDUP($D$28+($E$28-$D$28)*7/12,0)))</f>
        <v>2</v>
      </c>
      <c r="W67" s="72" t="n">
        <f aca="false">IF(20&lt;$C$28,0,MIN($E$28,ROUNDUP($D$28+($E$28-$D$28)*8/12,0)))</f>
        <v>2</v>
      </c>
      <c r="X67" s="72" t="n">
        <f aca="false">IF(21&lt;$C$28,0,MIN($E$28,ROUNDUP($D$28+($E$28-$D$28)*9/12,0)))</f>
        <v>2</v>
      </c>
      <c r="Y67" s="72" t="n">
        <f aca="false">IF(22&lt;$C$28,0,MIN($E$28,ROUNDUP($D$28+($E$28-$D$28)*10/12,0)))</f>
        <v>2</v>
      </c>
      <c r="Z67" s="72" t="n">
        <f aca="false">IF(23&lt;$C$28,0,MIN($E$28,ROUNDUP($D$28+($E$28-$D$28)*11/12,0)))</f>
        <v>2</v>
      </c>
      <c r="AA67" s="72" t="n">
        <f aca="false">IF(24&lt;$C$28,0,MIN($E$28,ROUNDUP($D$28+($E$28-$D$28)*12/12,0)))</f>
        <v>2</v>
      </c>
      <c r="AB67" s="69" t="n">
        <f aca="false">AN67</f>
        <v>5</v>
      </c>
      <c r="AC67" s="72" t="n">
        <f aca="false">IF(25&lt;$C$28,0,MIN($F$28,ROUNDUP($E$28+($F$28-$E$28)*1/12,0)))</f>
        <v>3</v>
      </c>
      <c r="AD67" s="72" t="n">
        <f aca="false">IF(26&lt;$C$28,0,MIN($F$28,ROUNDUP($E$28+($F$28-$E$28)*2/12,0)))</f>
        <v>3</v>
      </c>
      <c r="AE67" s="72" t="n">
        <f aca="false">IF(27&lt;$C$28,0,MIN($F$28,ROUNDUP($E$28+($F$28-$E$28)*3/12,0)))</f>
        <v>3</v>
      </c>
      <c r="AF67" s="72" t="n">
        <f aca="false">IF(28&lt;$C$28,0,MIN($F$28,ROUNDUP($E$28+($F$28-$E$28)*4/12,0)))</f>
        <v>3</v>
      </c>
      <c r="AG67" s="72" t="n">
        <f aca="false">IF(29&lt;$C$28,0,MIN($F$28,ROUNDUP($E$28+($F$28-$E$28)*5/12,0)))</f>
        <v>4</v>
      </c>
      <c r="AH67" s="72" t="n">
        <f aca="false">IF(30&lt;$C$28,0,MIN($F$28,ROUNDUP($E$28+($F$28-$E$28)*6/12,0)))</f>
        <v>4</v>
      </c>
      <c r="AI67" s="72" t="n">
        <f aca="false">IF(31&lt;$C$28,0,MIN($F$28,ROUNDUP($E$28+($F$28-$E$28)*7/12,0)))</f>
        <v>4</v>
      </c>
      <c r="AJ67" s="72" t="n">
        <f aca="false">IF(32&lt;$C$28,0,MIN($F$28,ROUNDUP($E$28+($F$28-$E$28)*8/12,0)))</f>
        <v>4</v>
      </c>
      <c r="AK67" s="72" t="n">
        <f aca="false">IF(33&lt;$C$28,0,MIN($F$28,ROUNDUP($E$28+($F$28-$E$28)*9/12,0)))</f>
        <v>5</v>
      </c>
      <c r="AL67" s="72" t="n">
        <f aca="false">IF(34&lt;$C$28,0,MIN($F$28,ROUNDUP($E$28+($F$28-$E$28)*10/12,0)))</f>
        <v>5</v>
      </c>
      <c r="AM67" s="72" t="n">
        <f aca="false">IF(35&lt;$C$28,0,MIN($F$28,ROUNDUP($E$28+($F$28-$E$28)*11/12,0)))</f>
        <v>5</v>
      </c>
      <c r="AN67" s="72" t="n">
        <f aca="false">IF(36&lt;$C$28,0,MIN($F$28,ROUNDUP($E$28+($F$28-$E$28)*12/12,0)))</f>
        <v>5</v>
      </c>
      <c r="AO67" s="69" t="n">
        <f aca="false">BA67</f>
        <v>10</v>
      </c>
      <c r="AP67" s="72" t="n">
        <f aca="false">IF(37&lt;$C$28,0,MIN($G$28,ROUNDUP($F$28+($G$28-$F$28)*1/12,0)))</f>
        <v>6</v>
      </c>
      <c r="AQ67" s="72" t="n">
        <f aca="false">IF(38&lt;$C$28,0,MIN($G$28,ROUNDUP($F$28+($G$28-$F$28)*2/12,0)))</f>
        <v>6</v>
      </c>
      <c r="AR67" s="72" t="n">
        <f aca="false">IF(39&lt;$C$28,0,MIN($G$28,ROUNDUP($F$28+($G$28-$F$28)*3/12,0)))</f>
        <v>7</v>
      </c>
      <c r="AS67" s="72" t="n">
        <f aca="false">IF(40&lt;$C$28,0,MIN($G$28,ROUNDUP($F$28+($G$28-$F$28)*4/12,0)))</f>
        <v>7</v>
      </c>
      <c r="AT67" s="72" t="n">
        <f aca="false">IF(41&lt;$C$28,0,MIN($G$28,ROUNDUP($F$28+($G$28-$F$28)*5/12,0)))</f>
        <v>8</v>
      </c>
      <c r="AU67" s="72" t="n">
        <f aca="false">IF(42&lt;$C$28,0,MIN($G$28,ROUNDUP($F$28+($G$28-$F$28)*6/12,0)))</f>
        <v>8</v>
      </c>
      <c r="AV67" s="72" t="n">
        <f aca="false">IF(43&lt;$C$28,0,MIN($G$28,ROUNDUP($F$28+($G$28-$F$28)*7/12,0)))</f>
        <v>8</v>
      </c>
      <c r="AW67" s="72" t="n">
        <f aca="false">IF(44&lt;$C$28,0,MIN($G$28,ROUNDUP($F$28+($G$28-$F$28)*8/12,0)))</f>
        <v>9</v>
      </c>
      <c r="AX67" s="72" t="n">
        <f aca="false">IF(45&lt;$C$28,0,MIN($G$28,ROUNDUP($F$28+($G$28-$F$28)*9/12,0)))</f>
        <v>9</v>
      </c>
      <c r="AY67" s="72" t="n">
        <f aca="false">IF(46&lt;$C$28,0,MIN($G$28,ROUNDUP($F$28+($G$28-$F$28)*10/12,0)))</f>
        <v>10</v>
      </c>
      <c r="AZ67" s="72" t="n">
        <f aca="false">IF(47&lt;$C$28,0,MIN($G$28,ROUNDUP($F$28+($G$28-$F$28)*11/12,0)))</f>
        <v>10</v>
      </c>
      <c r="BA67" s="72" t="n">
        <f aca="false">IF(48&lt;$C$28,0,MIN($G$28,ROUNDUP($F$28+($G$28-$F$28)*12/12,0)))</f>
        <v>10</v>
      </c>
      <c r="BB67" s="69" t="n">
        <f aca="false">BN67</f>
        <v>19</v>
      </c>
      <c r="BC67" s="72" t="n">
        <f aca="false">IF(49&lt;$C$28,0,MIN($H$28,ROUNDUP($G$28+($H$28-$G$28)*1/12,0)))</f>
        <v>11</v>
      </c>
      <c r="BD67" s="72" t="n">
        <f aca="false">IF(50&lt;$C$28,0,MIN($H$28,ROUNDUP($G$28+($H$28-$G$28)*2/12,0)))</f>
        <v>12</v>
      </c>
      <c r="BE67" s="72" t="n">
        <f aca="false">IF(51&lt;$C$28,0,MIN($H$28,ROUNDUP($G$28+($H$28-$G$28)*3/12,0)))</f>
        <v>13</v>
      </c>
      <c r="BF67" s="72" t="n">
        <f aca="false">IF(52&lt;$C$28,0,MIN($H$28,ROUNDUP($G$28+($H$28-$G$28)*4/12,0)))</f>
        <v>13</v>
      </c>
      <c r="BG67" s="72" t="n">
        <f aca="false">IF(53&lt;$C$28,0,MIN($H$28,ROUNDUP($G$28+($H$28-$G$28)*5/12,0)))</f>
        <v>14</v>
      </c>
      <c r="BH67" s="72" t="n">
        <f aca="false">IF(54&lt;$C$28,0,MIN($H$28,ROUNDUP($G$28+($H$28-$G$28)*6/12,0)))</f>
        <v>15</v>
      </c>
      <c r="BI67" s="72" t="n">
        <f aca="false">IF(55&lt;$C$28,0,MIN($H$28,ROUNDUP($G$28+($H$28-$G$28)*7/12,0)))</f>
        <v>16</v>
      </c>
      <c r="BJ67" s="72" t="n">
        <f aca="false">IF(56&lt;$C$28,0,MIN($H$28,ROUNDUP($G$28+($H$28-$G$28)*8/12,0)))</f>
        <v>16</v>
      </c>
      <c r="BK67" s="72" t="n">
        <f aca="false">IF(57&lt;$C$28,0,MIN($H$28,ROUNDUP($G$28+($H$28-$G$28)*9/12,0)))</f>
        <v>17</v>
      </c>
      <c r="BL67" s="72" t="n">
        <f aca="false">IF(58&lt;$C$28,0,MIN($H$28,ROUNDUP($G$28+($H$28-$G$28)*10/12,0)))</f>
        <v>18</v>
      </c>
      <c r="BM67" s="72" t="n">
        <f aca="false">IF(59&lt;$C$28,0,MIN($H$28,ROUNDUP($G$28+($H$28-$G$28)*11/12,0)))</f>
        <v>19</v>
      </c>
      <c r="BN67" s="72" t="n">
        <f aca="false">IF(60&lt;$C$28,0,MIN($H$28,ROUNDUP($G$28+($H$28-$G$28)*12/12,0)))</f>
        <v>19</v>
      </c>
    </row>
    <row r="68" customFormat="false" ht="15" hidden="false" customHeight="false" outlineLevel="0" collapsed="false">
      <c r="A68" s="4" t="s">
        <v>864</v>
      </c>
      <c r="B68" s="69" t="n">
        <f aca="false">N68</f>
        <v>1</v>
      </c>
      <c r="C68" s="72" t="n">
        <f aca="false">IF(1&lt;$C$29,0,$D$29)</f>
        <v>1</v>
      </c>
      <c r="D68" s="72" t="n">
        <f aca="false">IF(2&lt;$C$29,0,$D$29)</f>
        <v>1</v>
      </c>
      <c r="E68" s="72" t="n">
        <f aca="false">IF(3&lt;$C$29,0,$D$29)</f>
        <v>1</v>
      </c>
      <c r="F68" s="72" t="n">
        <f aca="false">IF(4&lt;$C$29,0,$D$29)</f>
        <v>1</v>
      </c>
      <c r="G68" s="72" t="n">
        <f aca="false">IF(5&lt;$C$29,0,$D$29)</f>
        <v>1</v>
      </c>
      <c r="H68" s="72" t="n">
        <f aca="false">IF(6&lt;$C$29,0,$D$29)</f>
        <v>1</v>
      </c>
      <c r="I68" s="72" t="n">
        <f aca="false">IF(7&lt;$C$29,0,$D$29)</f>
        <v>1</v>
      </c>
      <c r="J68" s="72" t="n">
        <f aca="false">IF(8&lt;$C$29,0,$D$29)</f>
        <v>1</v>
      </c>
      <c r="K68" s="72" t="n">
        <f aca="false">IF(9&lt;$C$29,0,$D$29)</f>
        <v>1</v>
      </c>
      <c r="L68" s="72" t="n">
        <f aca="false">IF(10&lt;$C$29,0,$D$29)</f>
        <v>1</v>
      </c>
      <c r="M68" s="72" t="n">
        <f aca="false">IF(11&lt;$C$29,0,$D$29)</f>
        <v>1</v>
      </c>
      <c r="N68" s="72" t="n">
        <f aca="false">IF(12&lt;$C$29,0,$D$29)</f>
        <v>1</v>
      </c>
      <c r="O68" s="69" t="n">
        <f aca="false">AA68</f>
        <v>2</v>
      </c>
      <c r="P68" s="72" t="n">
        <f aca="false">IF(13&lt;$C$29,0,MIN($E$29,ROUNDUP($D$29+($E$29-$D$29)*1/12,0)))</f>
        <v>2</v>
      </c>
      <c r="Q68" s="72" t="n">
        <f aca="false">IF(14&lt;$C$29,0,MIN($E$29,ROUNDUP($D$29+($E$29-$D$29)*2/12,0)))</f>
        <v>2</v>
      </c>
      <c r="R68" s="72" t="n">
        <f aca="false">IF(15&lt;$C$29,0,MIN($E$29,ROUNDUP($D$29+($E$29-$D$29)*3/12,0)))</f>
        <v>2</v>
      </c>
      <c r="S68" s="72" t="n">
        <f aca="false">IF(16&lt;$C$29,0,MIN($E$29,ROUNDUP($D$29+($E$29-$D$29)*4/12,0)))</f>
        <v>2</v>
      </c>
      <c r="T68" s="72" t="n">
        <f aca="false">IF(17&lt;$C$29,0,MIN($E$29,ROUNDUP($D$29+($E$29-$D$29)*5/12,0)))</f>
        <v>2</v>
      </c>
      <c r="U68" s="72" t="n">
        <f aca="false">IF(18&lt;$C$29,0,MIN($E$29,ROUNDUP($D$29+($E$29-$D$29)*6/12,0)))</f>
        <v>2</v>
      </c>
      <c r="V68" s="72" t="n">
        <f aca="false">IF(19&lt;$C$29,0,MIN($E$29,ROUNDUP($D$29+($E$29-$D$29)*7/12,0)))</f>
        <v>2</v>
      </c>
      <c r="W68" s="72" t="n">
        <f aca="false">IF(20&lt;$C$29,0,MIN($E$29,ROUNDUP($D$29+($E$29-$D$29)*8/12,0)))</f>
        <v>2</v>
      </c>
      <c r="X68" s="72" t="n">
        <f aca="false">IF(21&lt;$C$29,0,MIN($E$29,ROUNDUP($D$29+($E$29-$D$29)*9/12,0)))</f>
        <v>2</v>
      </c>
      <c r="Y68" s="72" t="n">
        <f aca="false">IF(22&lt;$C$29,0,MIN($E$29,ROUNDUP($D$29+($E$29-$D$29)*10/12,0)))</f>
        <v>2</v>
      </c>
      <c r="Z68" s="72" t="n">
        <f aca="false">IF(23&lt;$C$29,0,MIN($E$29,ROUNDUP($D$29+($E$29-$D$29)*11/12,0)))</f>
        <v>2</v>
      </c>
      <c r="AA68" s="72" t="n">
        <f aca="false">IF(24&lt;$C$29,0,MIN($E$29,ROUNDUP($D$29+($E$29-$D$29)*12/12,0)))</f>
        <v>2</v>
      </c>
      <c r="AB68" s="69" t="n">
        <f aca="false">AN68</f>
        <v>4</v>
      </c>
      <c r="AC68" s="72" t="n">
        <f aca="false">IF(25&lt;$C$29,0,MIN($F$29,ROUNDUP($E$29+($F$29-$E$29)*1/12,0)))</f>
        <v>3</v>
      </c>
      <c r="AD68" s="72" t="n">
        <f aca="false">IF(26&lt;$C$29,0,MIN($F$29,ROUNDUP($E$29+($F$29-$E$29)*2/12,0)))</f>
        <v>3</v>
      </c>
      <c r="AE68" s="72" t="n">
        <f aca="false">IF(27&lt;$C$29,0,MIN($F$29,ROUNDUP($E$29+($F$29-$E$29)*3/12,0)))</f>
        <v>3</v>
      </c>
      <c r="AF68" s="72" t="n">
        <f aca="false">IF(28&lt;$C$29,0,MIN($F$29,ROUNDUP($E$29+($F$29-$E$29)*4/12,0)))</f>
        <v>3</v>
      </c>
      <c r="AG68" s="72" t="n">
        <f aca="false">IF(29&lt;$C$29,0,MIN($F$29,ROUNDUP($E$29+($F$29-$E$29)*5/12,0)))</f>
        <v>3</v>
      </c>
      <c r="AH68" s="72" t="n">
        <f aca="false">IF(30&lt;$C$29,0,MIN($F$29,ROUNDUP($E$29+($F$29-$E$29)*6/12,0)))</f>
        <v>3</v>
      </c>
      <c r="AI68" s="72" t="n">
        <f aca="false">IF(31&lt;$C$29,0,MIN($F$29,ROUNDUP($E$29+($F$29-$E$29)*7/12,0)))</f>
        <v>4</v>
      </c>
      <c r="AJ68" s="72" t="n">
        <f aca="false">IF(32&lt;$C$29,0,MIN($F$29,ROUNDUP($E$29+($F$29-$E$29)*8/12,0)))</f>
        <v>4</v>
      </c>
      <c r="AK68" s="72" t="n">
        <f aca="false">IF(33&lt;$C$29,0,MIN($F$29,ROUNDUP($E$29+($F$29-$E$29)*9/12,0)))</f>
        <v>4</v>
      </c>
      <c r="AL68" s="72" t="n">
        <f aca="false">IF(34&lt;$C$29,0,MIN($F$29,ROUNDUP($E$29+($F$29-$E$29)*10/12,0)))</f>
        <v>4</v>
      </c>
      <c r="AM68" s="72" t="n">
        <f aca="false">IF(35&lt;$C$29,0,MIN($F$29,ROUNDUP($E$29+($F$29-$E$29)*11/12,0)))</f>
        <v>4</v>
      </c>
      <c r="AN68" s="72" t="n">
        <f aca="false">IF(36&lt;$C$29,0,MIN($F$29,ROUNDUP($E$29+($F$29-$E$29)*12/12,0)))</f>
        <v>4</v>
      </c>
      <c r="AO68" s="69" t="n">
        <f aca="false">BA68</f>
        <v>6</v>
      </c>
      <c r="AP68" s="72" t="n">
        <f aca="false">IF(37&lt;$C$29,0,MIN($G$29,ROUNDUP($F$29+($G$29-$F$29)*1/12,0)))</f>
        <v>5</v>
      </c>
      <c r="AQ68" s="72" t="n">
        <f aca="false">IF(38&lt;$C$29,0,MIN($G$29,ROUNDUP($F$29+($G$29-$F$29)*2/12,0)))</f>
        <v>5</v>
      </c>
      <c r="AR68" s="72" t="n">
        <f aca="false">IF(39&lt;$C$29,0,MIN($G$29,ROUNDUP($F$29+($G$29-$F$29)*3/12,0)))</f>
        <v>5</v>
      </c>
      <c r="AS68" s="72" t="n">
        <f aca="false">IF(40&lt;$C$29,0,MIN($G$29,ROUNDUP($F$29+($G$29-$F$29)*4/12,0)))</f>
        <v>5</v>
      </c>
      <c r="AT68" s="72" t="n">
        <f aca="false">IF(41&lt;$C$29,0,MIN($G$29,ROUNDUP($F$29+($G$29-$F$29)*5/12,0)))</f>
        <v>5</v>
      </c>
      <c r="AU68" s="72" t="n">
        <f aca="false">IF(42&lt;$C$29,0,MIN($G$29,ROUNDUP($F$29+($G$29-$F$29)*6/12,0)))</f>
        <v>5</v>
      </c>
      <c r="AV68" s="72" t="n">
        <f aca="false">IF(43&lt;$C$29,0,MIN($G$29,ROUNDUP($F$29+($G$29-$F$29)*7/12,0)))</f>
        <v>6</v>
      </c>
      <c r="AW68" s="72" t="n">
        <f aca="false">IF(44&lt;$C$29,0,MIN($G$29,ROUNDUP($F$29+($G$29-$F$29)*8/12,0)))</f>
        <v>6</v>
      </c>
      <c r="AX68" s="72" t="n">
        <f aca="false">IF(45&lt;$C$29,0,MIN($G$29,ROUNDUP($F$29+($G$29-$F$29)*9/12,0)))</f>
        <v>6</v>
      </c>
      <c r="AY68" s="72" t="n">
        <f aca="false">IF(46&lt;$C$29,0,MIN($G$29,ROUNDUP($F$29+($G$29-$F$29)*10/12,0)))</f>
        <v>6</v>
      </c>
      <c r="AZ68" s="72" t="n">
        <f aca="false">IF(47&lt;$C$29,0,MIN($G$29,ROUNDUP($F$29+($G$29-$F$29)*11/12,0)))</f>
        <v>6</v>
      </c>
      <c r="BA68" s="72" t="n">
        <f aca="false">IF(48&lt;$C$29,0,MIN($G$29,ROUNDUP($F$29+($G$29-$F$29)*12/12,0)))</f>
        <v>6</v>
      </c>
      <c r="BB68" s="69" t="n">
        <f aca="false">BN68</f>
        <v>8</v>
      </c>
      <c r="BC68" s="72" t="n">
        <f aca="false">IF(49&lt;$C$29,0,MIN($H$29,ROUNDUP($G$29+($H$29-$G$29)*1/12,0)))</f>
        <v>7</v>
      </c>
      <c r="BD68" s="72" t="n">
        <f aca="false">IF(50&lt;$C$29,0,MIN($H$29,ROUNDUP($G$29+($H$29-$G$29)*2/12,0)))</f>
        <v>7</v>
      </c>
      <c r="BE68" s="72" t="n">
        <f aca="false">IF(51&lt;$C$29,0,MIN($H$29,ROUNDUP($G$29+($H$29-$G$29)*3/12,0)))</f>
        <v>7</v>
      </c>
      <c r="BF68" s="72" t="n">
        <f aca="false">IF(52&lt;$C$29,0,MIN($H$29,ROUNDUP($G$29+($H$29-$G$29)*4/12,0)))</f>
        <v>7</v>
      </c>
      <c r="BG68" s="72" t="n">
        <f aca="false">IF(53&lt;$C$29,0,MIN($H$29,ROUNDUP($G$29+($H$29-$G$29)*5/12,0)))</f>
        <v>7</v>
      </c>
      <c r="BH68" s="72" t="n">
        <f aca="false">IF(54&lt;$C$29,0,MIN($H$29,ROUNDUP($G$29+($H$29-$G$29)*6/12,0)))</f>
        <v>7</v>
      </c>
      <c r="BI68" s="72" t="n">
        <f aca="false">IF(55&lt;$C$29,0,MIN($H$29,ROUNDUP($G$29+($H$29-$G$29)*7/12,0)))</f>
        <v>8</v>
      </c>
      <c r="BJ68" s="72" t="n">
        <f aca="false">IF(56&lt;$C$29,0,MIN($H$29,ROUNDUP($G$29+($H$29-$G$29)*8/12,0)))</f>
        <v>8</v>
      </c>
      <c r="BK68" s="72" t="n">
        <f aca="false">IF(57&lt;$C$29,0,MIN($H$29,ROUNDUP($G$29+($H$29-$G$29)*9/12,0)))</f>
        <v>8</v>
      </c>
      <c r="BL68" s="72" t="n">
        <f aca="false">IF(58&lt;$C$29,0,MIN($H$29,ROUNDUP($G$29+($H$29-$G$29)*10/12,0)))</f>
        <v>8</v>
      </c>
      <c r="BM68" s="72" t="n">
        <f aca="false">IF(59&lt;$C$29,0,MIN($H$29,ROUNDUP($G$29+($H$29-$G$29)*11/12,0)))</f>
        <v>8</v>
      </c>
      <c r="BN68" s="72" t="n">
        <f aca="false">IF(60&lt;$C$29,0,MIN($H$29,ROUNDUP($G$29+($H$29-$G$29)*12/12,0)))</f>
        <v>8</v>
      </c>
    </row>
    <row r="69" customFormat="false" ht="15" hidden="false" customHeight="false" outlineLevel="0" collapsed="false">
      <c r="A69" s="4" t="s">
        <v>866</v>
      </c>
      <c r="B69" s="69" t="n">
        <f aca="false">N69</f>
        <v>1</v>
      </c>
      <c r="C69" s="72" t="n">
        <f aca="false">IF(1&lt;$C$30,0,$D$30)</f>
        <v>1</v>
      </c>
      <c r="D69" s="72" t="n">
        <f aca="false">IF(2&lt;$C$30,0,$D$30)</f>
        <v>1</v>
      </c>
      <c r="E69" s="72" t="n">
        <f aca="false">IF(3&lt;$C$30,0,$D$30)</f>
        <v>1</v>
      </c>
      <c r="F69" s="72" t="n">
        <f aca="false">IF(4&lt;$C$30,0,$D$30)</f>
        <v>1</v>
      </c>
      <c r="G69" s="72" t="n">
        <f aca="false">IF(5&lt;$C$30,0,$D$30)</f>
        <v>1</v>
      </c>
      <c r="H69" s="72" t="n">
        <f aca="false">IF(6&lt;$C$30,0,$D$30)</f>
        <v>1</v>
      </c>
      <c r="I69" s="72" t="n">
        <f aca="false">IF(7&lt;$C$30,0,$D$30)</f>
        <v>1</v>
      </c>
      <c r="J69" s="72" t="n">
        <f aca="false">IF(8&lt;$C$30,0,$D$30)</f>
        <v>1</v>
      </c>
      <c r="K69" s="72" t="n">
        <f aca="false">IF(9&lt;$C$30,0,$D$30)</f>
        <v>1</v>
      </c>
      <c r="L69" s="72" t="n">
        <f aca="false">IF(10&lt;$C$30,0,$D$30)</f>
        <v>1</v>
      </c>
      <c r="M69" s="72" t="n">
        <f aca="false">IF(11&lt;$C$30,0,$D$30)</f>
        <v>1</v>
      </c>
      <c r="N69" s="72" t="n">
        <f aca="false">IF(12&lt;$C$30,0,$D$30)</f>
        <v>1</v>
      </c>
      <c r="O69" s="69" t="n">
        <f aca="false">AA69</f>
        <v>4</v>
      </c>
      <c r="P69" s="72" t="n">
        <f aca="false">IF(13&lt;$C$30,0,MIN($E$30,ROUNDUP($D$30+($E$30-$D$30)*1/12,0)))</f>
        <v>2</v>
      </c>
      <c r="Q69" s="72" t="n">
        <f aca="false">IF(14&lt;$C$30,0,MIN($E$30,ROUNDUP($D$30+($E$30-$D$30)*2/12,0)))</f>
        <v>2</v>
      </c>
      <c r="R69" s="72" t="n">
        <f aca="false">IF(15&lt;$C$30,0,MIN($E$30,ROUNDUP($D$30+($E$30-$D$30)*3/12,0)))</f>
        <v>2</v>
      </c>
      <c r="S69" s="72" t="n">
        <f aca="false">IF(16&lt;$C$30,0,MIN($E$30,ROUNDUP($D$30+($E$30-$D$30)*4/12,0)))</f>
        <v>2</v>
      </c>
      <c r="T69" s="72" t="n">
        <f aca="false">IF(17&lt;$C$30,0,MIN($E$30,ROUNDUP($D$30+($E$30-$D$30)*5/12,0)))</f>
        <v>3</v>
      </c>
      <c r="U69" s="72" t="n">
        <f aca="false">IF(18&lt;$C$30,0,MIN($E$30,ROUNDUP($D$30+($E$30-$D$30)*6/12,0)))</f>
        <v>3</v>
      </c>
      <c r="V69" s="72" t="n">
        <f aca="false">IF(19&lt;$C$30,0,MIN($E$30,ROUNDUP($D$30+($E$30-$D$30)*7/12,0)))</f>
        <v>3</v>
      </c>
      <c r="W69" s="72" t="n">
        <f aca="false">IF(20&lt;$C$30,0,MIN($E$30,ROUNDUP($D$30+($E$30-$D$30)*8/12,0)))</f>
        <v>3</v>
      </c>
      <c r="X69" s="72" t="n">
        <f aca="false">IF(21&lt;$C$30,0,MIN($E$30,ROUNDUP($D$30+($E$30-$D$30)*9/12,0)))</f>
        <v>4</v>
      </c>
      <c r="Y69" s="72" t="n">
        <f aca="false">IF(22&lt;$C$30,0,MIN($E$30,ROUNDUP($D$30+($E$30-$D$30)*10/12,0)))</f>
        <v>4</v>
      </c>
      <c r="Z69" s="72" t="n">
        <f aca="false">IF(23&lt;$C$30,0,MIN($E$30,ROUNDUP($D$30+($E$30-$D$30)*11/12,0)))</f>
        <v>4</v>
      </c>
      <c r="AA69" s="72" t="n">
        <f aca="false">IF(24&lt;$C$30,0,MIN($E$30,ROUNDUP($D$30+($E$30-$D$30)*12/12,0)))</f>
        <v>4</v>
      </c>
      <c r="AB69" s="69" t="n">
        <f aca="false">AN69</f>
        <v>8</v>
      </c>
      <c r="AC69" s="72" t="n">
        <f aca="false">IF(25&lt;$C$30,0,MIN($F$30,ROUNDUP($E$30+($F$30-$E$30)*1/12,0)))</f>
        <v>5</v>
      </c>
      <c r="AD69" s="72" t="n">
        <f aca="false">IF(26&lt;$C$30,0,MIN($F$30,ROUNDUP($E$30+($F$30-$E$30)*2/12,0)))</f>
        <v>5</v>
      </c>
      <c r="AE69" s="72" t="n">
        <f aca="false">IF(27&lt;$C$30,0,MIN($F$30,ROUNDUP($E$30+($F$30-$E$30)*3/12,0)))</f>
        <v>5</v>
      </c>
      <c r="AF69" s="72" t="n">
        <f aca="false">IF(28&lt;$C$30,0,MIN($F$30,ROUNDUP($E$30+($F$30-$E$30)*4/12,0)))</f>
        <v>6</v>
      </c>
      <c r="AG69" s="72" t="n">
        <f aca="false">IF(29&lt;$C$30,0,MIN($F$30,ROUNDUP($E$30+($F$30-$E$30)*5/12,0)))</f>
        <v>6</v>
      </c>
      <c r="AH69" s="72" t="n">
        <f aca="false">IF(30&lt;$C$30,0,MIN($F$30,ROUNDUP($E$30+($F$30-$E$30)*6/12,0)))</f>
        <v>6</v>
      </c>
      <c r="AI69" s="72" t="n">
        <f aca="false">IF(31&lt;$C$30,0,MIN($F$30,ROUNDUP($E$30+($F$30-$E$30)*7/12,0)))</f>
        <v>7</v>
      </c>
      <c r="AJ69" s="72" t="n">
        <f aca="false">IF(32&lt;$C$30,0,MIN($F$30,ROUNDUP($E$30+($F$30-$E$30)*8/12,0)))</f>
        <v>7</v>
      </c>
      <c r="AK69" s="72" t="n">
        <f aca="false">IF(33&lt;$C$30,0,MIN($F$30,ROUNDUP($E$30+($F$30-$E$30)*9/12,0)))</f>
        <v>7</v>
      </c>
      <c r="AL69" s="72" t="n">
        <f aca="false">IF(34&lt;$C$30,0,MIN($F$30,ROUNDUP($E$30+($F$30-$E$30)*10/12,0)))</f>
        <v>8</v>
      </c>
      <c r="AM69" s="72" t="n">
        <f aca="false">IF(35&lt;$C$30,0,MIN($F$30,ROUNDUP($E$30+($F$30-$E$30)*11/12,0)))</f>
        <v>8</v>
      </c>
      <c r="AN69" s="72" t="n">
        <f aca="false">IF(36&lt;$C$30,0,MIN($F$30,ROUNDUP($E$30+($F$30-$E$30)*12/12,0)))</f>
        <v>8</v>
      </c>
      <c r="AO69" s="69" t="n">
        <f aca="false">BA69</f>
        <v>15</v>
      </c>
      <c r="AP69" s="72" t="n">
        <f aca="false">IF(37&lt;$C$30,0,MIN($G$30,ROUNDUP($F$30+($G$30-$F$30)*1/12,0)))</f>
        <v>9</v>
      </c>
      <c r="AQ69" s="72" t="n">
        <f aca="false">IF(38&lt;$C$30,0,MIN($G$30,ROUNDUP($F$30+($G$30-$F$30)*2/12,0)))</f>
        <v>10</v>
      </c>
      <c r="AR69" s="72" t="n">
        <f aca="false">IF(39&lt;$C$30,0,MIN($G$30,ROUNDUP($F$30+($G$30-$F$30)*3/12,0)))</f>
        <v>10</v>
      </c>
      <c r="AS69" s="72" t="n">
        <f aca="false">IF(40&lt;$C$30,0,MIN($G$30,ROUNDUP($F$30+($G$30-$F$30)*4/12,0)))</f>
        <v>11</v>
      </c>
      <c r="AT69" s="72" t="n">
        <f aca="false">IF(41&lt;$C$30,0,MIN($G$30,ROUNDUP($F$30+($G$30-$F$30)*5/12,0)))</f>
        <v>11</v>
      </c>
      <c r="AU69" s="72" t="n">
        <f aca="false">IF(42&lt;$C$30,0,MIN($G$30,ROUNDUP($F$30+($G$30-$F$30)*6/12,0)))</f>
        <v>12</v>
      </c>
      <c r="AV69" s="72" t="n">
        <f aca="false">IF(43&lt;$C$30,0,MIN($G$30,ROUNDUP($F$30+($G$30-$F$30)*7/12,0)))</f>
        <v>13</v>
      </c>
      <c r="AW69" s="72" t="n">
        <f aca="false">IF(44&lt;$C$30,0,MIN($G$30,ROUNDUP($F$30+($G$30-$F$30)*8/12,0)))</f>
        <v>13</v>
      </c>
      <c r="AX69" s="72" t="n">
        <f aca="false">IF(45&lt;$C$30,0,MIN($G$30,ROUNDUP($F$30+($G$30-$F$30)*9/12,0)))</f>
        <v>14</v>
      </c>
      <c r="AY69" s="72" t="n">
        <f aca="false">IF(46&lt;$C$30,0,MIN($G$30,ROUNDUP($F$30+($G$30-$F$30)*10/12,0)))</f>
        <v>14</v>
      </c>
      <c r="AZ69" s="72" t="n">
        <f aca="false">IF(47&lt;$C$30,0,MIN($G$30,ROUNDUP($F$30+($G$30-$F$30)*11/12,0)))</f>
        <v>15</v>
      </c>
      <c r="BA69" s="72" t="n">
        <f aca="false">IF(48&lt;$C$30,0,MIN($G$30,ROUNDUP($F$30+($G$30-$F$30)*12/12,0)))</f>
        <v>15</v>
      </c>
      <c r="BB69" s="69" t="n">
        <f aca="false">BN69</f>
        <v>24</v>
      </c>
      <c r="BC69" s="72" t="n">
        <f aca="false">IF(49&lt;$C$30,0,MIN($H$30,ROUNDUP($G$30+($H$30-$G$30)*1/12,0)))</f>
        <v>16</v>
      </c>
      <c r="BD69" s="72" t="n">
        <f aca="false">IF(50&lt;$C$30,0,MIN($H$30,ROUNDUP($G$30+($H$30-$G$30)*2/12,0)))</f>
        <v>17</v>
      </c>
      <c r="BE69" s="72" t="n">
        <f aca="false">IF(51&lt;$C$30,0,MIN($H$30,ROUNDUP($G$30+($H$30-$G$30)*3/12,0)))</f>
        <v>18</v>
      </c>
      <c r="BF69" s="72" t="n">
        <f aca="false">IF(52&lt;$C$30,0,MIN($H$30,ROUNDUP($G$30+($H$30-$G$30)*4/12,0)))</f>
        <v>18</v>
      </c>
      <c r="BG69" s="72" t="n">
        <f aca="false">IF(53&lt;$C$30,0,MIN($H$30,ROUNDUP($G$30+($H$30-$G$30)*5/12,0)))</f>
        <v>19</v>
      </c>
      <c r="BH69" s="72" t="n">
        <f aca="false">IF(54&lt;$C$30,0,MIN($H$30,ROUNDUP($G$30+($H$30-$G$30)*6/12,0)))</f>
        <v>20</v>
      </c>
      <c r="BI69" s="72" t="n">
        <f aca="false">IF(55&lt;$C$30,0,MIN($H$30,ROUNDUP($G$30+($H$30-$G$30)*7/12,0)))</f>
        <v>21</v>
      </c>
      <c r="BJ69" s="72" t="n">
        <f aca="false">IF(56&lt;$C$30,0,MIN($H$30,ROUNDUP($G$30+($H$30-$G$30)*8/12,0)))</f>
        <v>21</v>
      </c>
      <c r="BK69" s="72" t="n">
        <f aca="false">IF(57&lt;$C$30,0,MIN($H$30,ROUNDUP($G$30+($H$30-$G$30)*9/12,0)))</f>
        <v>22</v>
      </c>
      <c r="BL69" s="72" t="n">
        <f aca="false">IF(58&lt;$C$30,0,MIN($H$30,ROUNDUP($G$30+($H$30-$G$30)*10/12,0)))</f>
        <v>23</v>
      </c>
      <c r="BM69" s="72" t="n">
        <f aca="false">IF(59&lt;$C$30,0,MIN($H$30,ROUNDUP($G$30+($H$30-$G$30)*11/12,0)))</f>
        <v>24</v>
      </c>
      <c r="BN69" s="72" t="n">
        <f aca="false">IF(60&lt;$C$30,0,MIN($H$30,ROUNDUP($G$30+($H$30-$G$30)*12/12,0)))</f>
        <v>24</v>
      </c>
    </row>
    <row r="70" customFormat="false" ht="15" hidden="false" customHeight="false" outlineLevel="0" collapsed="false">
      <c r="A70" s="4" t="s">
        <v>868</v>
      </c>
      <c r="B70" s="69" t="n">
        <f aca="false">N70</f>
        <v>3</v>
      </c>
      <c r="C70" s="72" t="n">
        <f aca="false">IF(1&lt;$C$31,0,$D$31)</f>
        <v>3</v>
      </c>
      <c r="D70" s="72" t="n">
        <f aca="false">IF(2&lt;$C$31,0,$D$31)</f>
        <v>3</v>
      </c>
      <c r="E70" s="72" t="n">
        <f aca="false">IF(3&lt;$C$31,0,$D$31)</f>
        <v>3</v>
      </c>
      <c r="F70" s="72" t="n">
        <f aca="false">IF(4&lt;$C$31,0,$D$31)</f>
        <v>3</v>
      </c>
      <c r="G70" s="72" t="n">
        <f aca="false">IF(5&lt;$C$31,0,$D$31)</f>
        <v>3</v>
      </c>
      <c r="H70" s="72" t="n">
        <f aca="false">IF(6&lt;$C$31,0,$D$31)</f>
        <v>3</v>
      </c>
      <c r="I70" s="72" t="n">
        <f aca="false">IF(7&lt;$C$31,0,$D$31)</f>
        <v>3</v>
      </c>
      <c r="J70" s="72" t="n">
        <f aca="false">IF(8&lt;$C$31,0,$D$31)</f>
        <v>3</v>
      </c>
      <c r="K70" s="72" t="n">
        <f aca="false">IF(9&lt;$C$31,0,$D$31)</f>
        <v>3</v>
      </c>
      <c r="L70" s="72" t="n">
        <f aca="false">IF(10&lt;$C$31,0,$D$31)</f>
        <v>3</v>
      </c>
      <c r="M70" s="72" t="n">
        <f aca="false">IF(11&lt;$C$31,0,$D$31)</f>
        <v>3</v>
      </c>
      <c r="N70" s="72" t="n">
        <f aca="false">IF(12&lt;$C$31,0,$D$31)</f>
        <v>3</v>
      </c>
      <c r="O70" s="69" t="n">
        <f aca="false">AA70</f>
        <v>3</v>
      </c>
      <c r="P70" s="72" t="n">
        <f aca="false">IF(13&lt;$C$31,0,MIN($E$31,ROUNDUP($D$31+($E$31-$D$31)*1/12,0)))</f>
        <v>3</v>
      </c>
      <c r="Q70" s="72" t="n">
        <f aca="false">IF(14&lt;$C$31,0,MIN($E$31,ROUNDUP($D$31+($E$31-$D$31)*2/12,0)))</f>
        <v>3</v>
      </c>
      <c r="R70" s="72" t="n">
        <f aca="false">IF(15&lt;$C$31,0,MIN($E$31,ROUNDUP($D$31+($E$31-$D$31)*3/12,0)))</f>
        <v>3</v>
      </c>
      <c r="S70" s="72" t="n">
        <f aca="false">IF(16&lt;$C$31,0,MIN($E$31,ROUNDUP($D$31+($E$31-$D$31)*4/12,0)))</f>
        <v>3</v>
      </c>
      <c r="T70" s="72" t="n">
        <f aca="false">IF(17&lt;$C$31,0,MIN($E$31,ROUNDUP($D$31+($E$31-$D$31)*5/12,0)))</f>
        <v>3</v>
      </c>
      <c r="U70" s="72" t="n">
        <f aca="false">IF(18&lt;$C$31,0,MIN($E$31,ROUNDUP($D$31+($E$31-$D$31)*6/12,0)))</f>
        <v>3</v>
      </c>
      <c r="V70" s="72" t="n">
        <f aca="false">IF(19&lt;$C$31,0,MIN($E$31,ROUNDUP($D$31+($E$31-$D$31)*7/12,0)))</f>
        <v>3</v>
      </c>
      <c r="W70" s="72" t="n">
        <f aca="false">IF(20&lt;$C$31,0,MIN($E$31,ROUNDUP($D$31+($E$31-$D$31)*8/12,0)))</f>
        <v>3</v>
      </c>
      <c r="X70" s="72" t="n">
        <f aca="false">IF(21&lt;$C$31,0,MIN($E$31,ROUNDUP($D$31+($E$31-$D$31)*9/12,0)))</f>
        <v>3</v>
      </c>
      <c r="Y70" s="72" t="n">
        <f aca="false">IF(22&lt;$C$31,0,MIN($E$31,ROUNDUP($D$31+($E$31-$D$31)*10/12,0)))</f>
        <v>3</v>
      </c>
      <c r="Z70" s="72" t="n">
        <f aca="false">IF(23&lt;$C$31,0,MIN($E$31,ROUNDUP($D$31+($E$31-$D$31)*11/12,0)))</f>
        <v>3</v>
      </c>
      <c r="AA70" s="72" t="n">
        <f aca="false">IF(24&lt;$C$31,0,MIN($E$31,ROUNDUP($D$31+($E$31-$D$31)*12/12,0)))</f>
        <v>3</v>
      </c>
      <c r="AB70" s="69" t="n">
        <f aca="false">AN70</f>
        <v>3</v>
      </c>
      <c r="AC70" s="72" t="n">
        <f aca="false">IF(25&lt;$C$31,0,MIN($F$31,ROUNDUP($E$31+($F$31-$E$31)*1/12,0)))</f>
        <v>3</v>
      </c>
      <c r="AD70" s="72" t="n">
        <f aca="false">IF(26&lt;$C$31,0,MIN($F$31,ROUNDUP($E$31+($F$31-$E$31)*2/12,0)))</f>
        <v>3</v>
      </c>
      <c r="AE70" s="72" t="n">
        <f aca="false">IF(27&lt;$C$31,0,MIN($F$31,ROUNDUP($E$31+($F$31-$E$31)*3/12,0)))</f>
        <v>3</v>
      </c>
      <c r="AF70" s="72" t="n">
        <f aca="false">IF(28&lt;$C$31,0,MIN($F$31,ROUNDUP($E$31+($F$31-$E$31)*4/12,0)))</f>
        <v>3</v>
      </c>
      <c r="AG70" s="72" t="n">
        <f aca="false">IF(29&lt;$C$31,0,MIN($F$31,ROUNDUP($E$31+($F$31-$E$31)*5/12,0)))</f>
        <v>3</v>
      </c>
      <c r="AH70" s="72" t="n">
        <f aca="false">IF(30&lt;$C$31,0,MIN($F$31,ROUNDUP($E$31+($F$31-$E$31)*6/12,0)))</f>
        <v>3</v>
      </c>
      <c r="AI70" s="72" t="n">
        <f aca="false">IF(31&lt;$C$31,0,MIN($F$31,ROUNDUP($E$31+($F$31-$E$31)*7/12,0)))</f>
        <v>3</v>
      </c>
      <c r="AJ70" s="72" t="n">
        <f aca="false">IF(32&lt;$C$31,0,MIN($F$31,ROUNDUP($E$31+($F$31-$E$31)*8/12,0)))</f>
        <v>3</v>
      </c>
      <c r="AK70" s="72" t="n">
        <f aca="false">IF(33&lt;$C$31,0,MIN($F$31,ROUNDUP($E$31+($F$31-$E$31)*9/12,0)))</f>
        <v>3</v>
      </c>
      <c r="AL70" s="72" t="n">
        <f aca="false">IF(34&lt;$C$31,0,MIN($F$31,ROUNDUP($E$31+($F$31-$E$31)*10/12,0)))</f>
        <v>3</v>
      </c>
      <c r="AM70" s="72" t="n">
        <f aca="false">IF(35&lt;$C$31,0,MIN($F$31,ROUNDUP($E$31+($F$31-$E$31)*11/12,0)))</f>
        <v>3</v>
      </c>
      <c r="AN70" s="72" t="n">
        <f aca="false">IF(36&lt;$C$31,0,MIN($F$31,ROUNDUP($E$31+($F$31-$E$31)*12/12,0)))</f>
        <v>3</v>
      </c>
      <c r="AO70" s="69" t="n">
        <f aca="false">BA70</f>
        <v>4</v>
      </c>
      <c r="AP70" s="72" t="n">
        <f aca="false">IF(37&lt;$C$31,0,MIN($G$31,ROUNDUP($F$31+($G$31-$F$31)*1/12,0)))</f>
        <v>4</v>
      </c>
      <c r="AQ70" s="72" t="n">
        <f aca="false">IF(38&lt;$C$31,0,MIN($G$31,ROUNDUP($F$31+($G$31-$F$31)*2/12,0)))</f>
        <v>4</v>
      </c>
      <c r="AR70" s="72" t="n">
        <f aca="false">IF(39&lt;$C$31,0,MIN($G$31,ROUNDUP($F$31+($G$31-$F$31)*3/12,0)))</f>
        <v>4</v>
      </c>
      <c r="AS70" s="72" t="n">
        <f aca="false">IF(40&lt;$C$31,0,MIN($G$31,ROUNDUP($F$31+($G$31-$F$31)*4/12,0)))</f>
        <v>4</v>
      </c>
      <c r="AT70" s="72" t="n">
        <f aca="false">IF(41&lt;$C$31,0,MIN($G$31,ROUNDUP($F$31+($G$31-$F$31)*5/12,0)))</f>
        <v>4</v>
      </c>
      <c r="AU70" s="72" t="n">
        <f aca="false">IF(42&lt;$C$31,0,MIN($G$31,ROUNDUP($F$31+($G$31-$F$31)*6/12,0)))</f>
        <v>4</v>
      </c>
      <c r="AV70" s="72" t="n">
        <f aca="false">IF(43&lt;$C$31,0,MIN($G$31,ROUNDUP($F$31+($G$31-$F$31)*7/12,0)))</f>
        <v>4</v>
      </c>
      <c r="AW70" s="72" t="n">
        <f aca="false">IF(44&lt;$C$31,0,MIN($G$31,ROUNDUP($F$31+($G$31-$F$31)*8/12,0)))</f>
        <v>4</v>
      </c>
      <c r="AX70" s="72" t="n">
        <f aca="false">IF(45&lt;$C$31,0,MIN($G$31,ROUNDUP($F$31+($G$31-$F$31)*9/12,0)))</f>
        <v>4</v>
      </c>
      <c r="AY70" s="72" t="n">
        <f aca="false">IF(46&lt;$C$31,0,MIN($G$31,ROUNDUP($F$31+($G$31-$F$31)*10/12,0)))</f>
        <v>4</v>
      </c>
      <c r="AZ70" s="72" t="n">
        <f aca="false">IF(47&lt;$C$31,0,MIN($G$31,ROUNDUP($F$31+($G$31-$F$31)*11/12,0)))</f>
        <v>4</v>
      </c>
      <c r="BA70" s="72" t="n">
        <f aca="false">IF(48&lt;$C$31,0,MIN($G$31,ROUNDUP($F$31+($G$31-$F$31)*12/12,0)))</f>
        <v>4</v>
      </c>
      <c r="BB70" s="69" t="n">
        <f aca="false">BN70</f>
        <v>4</v>
      </c>
      <c r="BC70" s="72" t="n">
        <f aca="false">IF(49&lt;$C$31,0,MIN($H$31,ROUNDUP($G$31+($H$31-$G$31)*1/12,0)))</f>
        <v>4</v>
      </c>
      <c r="BD70" s="72" t="n">
        <f aca="false">IF(50&lt;$C$31,0,MIN($H$31,ROUNDUP($G$31+($H$31-$G$31)*2/12,0)))</f>
        <v>4</v>
      </c>
      <c r="BE70" s="72" t="n">
        <f aca="false">IF(51&lt;$C$31,0,MIN($H$31,ROUNDUP($G$31+($H$31-$G$31)*3/12,0)))</f>
        <v>4</v>
      </c>
      <c r="BF70" s="72" t="n">
        <f aca="false">IF(52&lt;$C$31,0,MIN($H$31,ROUNDUP($G$31+($H$31-$G$31)*4/12,0)))</f>
        <v>4</v>
      </c>
      <c r="BG70" s="72" t="n">
        <f aca="false">IF(53&lt;$C$31,0,MIN($H$31,ROUNDUP($G$31+($H$31-$G$31)*5/12,0)))</f>
        <v>4</v>
      </c>
      <c r="BH70" s="72" t="n">
        <f aca="false">IF(54&lt;$C$31,0,MIN($H$31,ROUNDUP($G$31+($H$31-$G$31)*6/12,0)))</f>
        <v>4</v>
      </c>
      <c r="BI70" s="72" t="n">
        <f aca="false">IF(55&lt;$C$31,0,MIN($H$31,ROUNDUP($G$31+($H$31-$G$31)*7/12,0)))</f>
        <v>4</v>
      </c>
      <c r="BJ70" s="72" t="n">
        <f aca="false">IF(56&lt;$C$31,0,MIN($H$31,ROUNDUP($G$31+($H$31-$G$31)*8/12,0)))</f>
        <v>4</v>
      </c>
      <c r="BK70" s="72" t="n">
        <f aca="false">IF(57&lt;$C$31,0,MIN($H$31,ROUNDUP($G$31+($H$31-$G$31)*9/12,0)))</f>
        <v>4</v>
      </c>
      <c r="BL70" s="72" t="n">
        <f aca="false">IF(58&lt;$C$31,0,MIN($H$31,ROUNDUP($G$31+($H$31-$G$31)*10/12,0)))</f>
        <v>4</v>
      </c>
      <c r="BM70" s="72" t="n">
        <f aca="false">IF(59&lt;$C$31,0,MIN($H$31,ROUNDUP($G$31+($H$31-$G$31)*11/12,0)))</f>
        <v>4</v>
      </c>
      <c r="BN70" s="72" t="n">
        <f aca="false">IF(60&lt;$C$31,0,MIN($H$31,ROUNDUP($G$31+($H$31-$G$31)*12/12,0)))</f>
        <v>4</v>
      </c>
    </row>
    <row r="71" customFormat="false" ht="15" hidden="false" customHeight="false" outlineLevel="0" collapsed="false">
      <c r="A71" s="4" t="s">
        <v>870</v>
      </c>
      <c r="B71" s="69" t="n">
        <f aca="false">N71</f>
        <v>0</v>
      </c>
      <c r="C71" s="72" t="n">
        <f aca="false">IF(1&lt;$C$32,0,$D$32)</f>
        <v>0</v>
      </c>
      <c r="D71" s="72" t="n">
        <f aca="false">IF(2&lt;$C$32,0,$D$32)</f>
        <v>0</v>
      </c>
      <c r="E71" s="72" t="n">
        <f aca="false">IF(3&lt;$C$32,0,$D$32)</f>
        <v>0</v>
      </c>
      <c r="F71" s="72" t="n">
        <f aca="false">IF(4&lt;$C$32,0,$D$32)</f>
        <v>0</v>
      </c>
      <c r="G71" s="72" t="n">
        <f aca="false">IF(5&lt;$C$32,0,$D$32)</f>
        <v>0</v>
      </c>
      <c r="H71" s="72" t="n">
        <f aca="false">IF(6&lt;$C$32,0,$D$32)</f>
        <v>0</v>
      </c>
      <c r="I71" s="72" t="n">
        <f aca="false">IF(7&lt;$C$32,0,$D$32)</f>
        <v>0</v>
      </c>
      <c r="J71" s="72" t="n">
        <f aca="false">IF(8&lt;$C$32,0,$D$32)</f>
        <v>0</v>
      </c>
      <c r="K71" s="72" t="n">
        <f aca="false">IF(9&lt;$C$32,0,$D$32)</f>
        <v>0</v>
      </c>
      <c r="L71" s="72" t="n">
        <f aca="false">IF(10&lt;$C$32,0,$D$32)</f>
        <v>0</v>
      </c>
      <c r="M71" s="72" t="n">
        <f aca="false">IF(11&lt;$C$32,0,$D$32)</f>
        <v>0</v>
      </c>
      <c r="N71" s="72" t="n">
        <f aca="false">IF(12&lt;$C$32,0,$D$32)</f>
        <v>0</v>
      </c>
      <c r="O71" s="69" t="n">
        <f aca="false">AA71</f>
        <v>1</v>
      </c>
      <c r="P71" s="72" t="n">
        <f aca="false">IF(13&lt;$C$32,0,MIN($E$32,ROUNDUP($D$32+($E$32-$D$32)*1/12,0)))</f>
        <v>1</v>
      </c>
      <c r="Q71" s="72" t="n">
        <f aca="false">IF(14&lt;$C$32,0,MIN($E$32,ROUNDUP($D$32+($E$32-$D$32)*2/12,0)))</f>
        <v>1</v>
      </c>
      <c r="R71" s="72" t="n">
        <f aca="false">IF(15&lt;$C$32,0,MIN($E$32,ROUNDUP($D$32+($E$32-$D$32)*3/12,0)))</f>
        <v>1</v>
      </c>
      <c r="S71" s="72" t="n">
        <f aca="false">IF(16&lt;$C$32,0,MIN($E$32,ROUNDUP($D$32+($E$32-$D$32)*4/12,0)))</f>
        <v>1</v>
      </c>
      <c r="T71" s="72" t="n">
        <f aca="false">IF(17&lt;$C$32,0,MIN($E$32,ROUNDUP($D$32+($E$32-$D$32)*5/12,0)))</f>
        <v>1</v>
      </c>
      <c r="U71" s="72" t="n">
        <f aca="false">IF(18&lt;$C$32,0,MIN($E$32,ROUNDUP($D$32+($E$32-$D$32)*6/12,0)))</f>
        <v>1</v>
      </c>
      <c r="V71" s="72" t="n">
        <f aca="false">IF(19&lt;$C$32,0,MIN($E$32,ROUNDUP($D$32+($E$32-$D$32)*7/12,0)))</f>
        <v>1</v>
      </c>
      <c r="W71" s="72" t="n">
        <f aca="false">IF(20&lt;$C$32,0,MIN($E$32,ROUNDUP($D$32+($E$32-$D$32)*8/12,0)))</f>
        <v>1</v>
      </c>
      <c r="X71" s="72" t="n">
        <f aca="false">IF(21&lt;$C$32,0,MIN($E$32,ROUNDUP($D$32+($E$32-$D$32)*9/12,0)))</f>
        <v>1</v>
      </c>
      <c r="Y71" s="72" t="n">
        <f aca="false">IF(22&lt;$C$32,0,MIN($E$32,ROUNDUP($D$32+($E$32-$D$32)*10/12,0)))</f>
        <v>1</v>
      </c>
      <c r="Z71" s="72" t="n">
        <f aca="false">IF(23&lt;$C$32,0,MIN($E$32,ROUNDUP($D$32+($E$32-$D$32)*11/12,0)))</f>
        <v>1</v>
      </c>
      <c r="AA71" s="72" t="n">
        <f aca="false">IF(24&lt;$C$32,0,MIN($E$32,ROUNDUP($D$32+($E$32-$D$32)*12/12,0)))</f>
        <v>1</v>
      </c>
      <c r="AB71" s="69" t="n">
        <f aca="false">AN71</f>
        <v>1</v>
      </c>
      <c r="AC71" s="72" t="n">
        <f aca="false">IF(25&lt;$C$32,0,MIN($F$32,ROUNDUP($E$32+($F$32-$E$32)*1/12,0)))</f>
        <v>1</v>
      </c>
      <c r="AD71" s="72" t="n">
        <f aca="false">IF(26&lt;$C$32,0,MIN($F$32,ROUNDUP($E$32+($F$32-$E$32)*2/12,0)))</f>
        <v>1</v>
      </c>
      <c r="AE71" s="72" t="n">
        <f aca="false">IF(27&lt;$C$32,0,MIN($F$32,ROUNDUP($E$32+($F$32-$E$32)*3/12,0)))</f>
        <v>1</v>
      </c>
      <c r="AF71" s="72" t="n">
        <f aca="false">IF(28&lt;$C$32,0,MIN($F$32,ROUNDUP($E$32+($F$32-$E$32)*4/12,0)))</f>
        <v>1</v>
      </c>
      <c r="AG71" s="72" t="n">
        <f aca="false">IF(29&lt;$C$32,0,MIN($F$32,ROUNDUP($E$32+($F$32-$E$32)*5/12,0)))</f>
        <v>1</v>
      </c>
      <c r="AH71" s="72" t="n">
        <f aca="false">IF(30&lt;$C$32,0,MIN($F$32,ROUNDUP($E$32+($F$32-$E$32)*6/12,0)))</f>
        <v>1</v>
      </c>
      <c r="AI71" s="72" t="n">
        <f aca="false">IF(31&lt;$C$32,0,MIN($F$32,ROUNDUP($E$32+($F$32-$E$32)*7/12,0)))</f>
        <v>1</v>
      </c>
      <c r="AJ71" s="72" t="n">
        <f aca="false">IF(32&lt;$C$32,0,MIN($F$32,ROUNDUP($E$32+($F$32-$E$32)*8/12,0)))</f>
        <v>1</v>
      </c>
      <c r="AK71" s="72" t="n">
        <f aca="false">IF(33&lt;$C$32,0,MIN($F$32,ROUNDUP($E$32+($F$32-$E$32)*9/12,0)))</f>
        <v>1</v>
      </c>
      <c r="AL71" s="72" t="n">
        <f aca="false">IF(34&lt;$C$32,0,MIN($F$32,ROUNDUP($E$32+($F$32-$E$32)*10/12,0)))</f>
        <v>1</v>
      </c>
      <c r="AM71" s="72" t="n">
        <f aca="false">IF(35&lt;$C$32,0,MIN($F$32,ROUNDUP($E$32+($F$32-$E$32)*11/12,0)))</f>
        <v>1</v>
      </c>
      <c r="AN71" s="72" t="n">
        <f aca="false">IF(36&lt;$C$32,0,MIN($F$32,ROUNDUP($E$32+($F$32-$E$32)*12/12,0)))</f>
        <v>1</v>
      </c>
      <c r="AO71" s="69" t="n">
        <f aca="false">BA71</f>
        <v>1</v>
      </c>
      <c r="AP71" s="72" t="n">
        <f aca="false">IF(37&lt;$C$32,0,MIN($G$32,ROUNDUP($F$32+($G$32-$F$32)*1/12,0)))</f>
        <v>1</v>
      </c>
      <c r="AQ71" s="72" t="n">
        <f aca="false">IF(38&lt;$C$32,0,MIN($G$32,ROUNDUP($F$32+($G$32-$F$32)*2/12,0)))</f>
        <v>1</v>
      </c>
      <c r="AR71" s="72" t="n">
        <f aca="false">IF(39&lt;$C$32,0,MIN($G$32,ROUNDUP($F$32+($G$32-$F$32)*3/12,0)))</f>
        <v>1</v>
      </c>
      <c r="AS71" s="72" t="n">
        <f aca="false">IF(40&lt;$C$32,0,MIN($G$32,ROUNDUP($F$32+($G$32-$F$32)*4/12,0)))</f>
        <v>1</v>
      </c>
      <c r="AT71" s="72" t="n">
        <f aca="false">IF(41&lt;$C$32,0,MIN($G$32,ROUNDUP($F$32+($G$32-$F$32)*5/12,0)))</f>
        <v>1</v>
      </c>
      <c r="AU71" s="72" t="n">
        <f aca="false">IF(42&lt;$C$32,0,MIN($G$32,ROUNDUP($F$32+($G$32-$F$32)*6/12,0)))</f>
        <v>1</v>
      </c>
      <c r="AV71" s="72" t="n">
        <f aca="false">IF(43&lt;$C$32,0,MIN($G$32,ROUNDUP($F$32+($G$32-$F$32)*7/12,0)))</f>
        <v>1</v>
      </c>
      <c r="AW71" s="72" t="n">
        <f aca="false">IF(44&lt;$C$32,0,MIN($G$32,ROUNDUP($F$32+($G$32-$F$32)*8/12,0)))</f>
        <v>1</v>
      </c>
      <c r="AX71" s="72" t="n">
        <f aca="false">IF(45&lt;$C$32,0,MIN($G$32,ROUNDUP($F$32+($G$32-$F$32)*9/12,0)))</f>
        <v>1</v>
      </c>
      <c r="AY71" s="72" t="n">
        <f aca="false">IF(46&lt;$C$32,0,MIN($G$32,ROUNDUP($F$32+($G$32-$F$32)*10/12,0)))</f>
        <v>1</v>
      </c>
      <c r="AZ71" s="72" t="n">
        <f aca="false">IF(47&lt;$C$32,0,MIN($G$32,ROUNDUP($F$32+($G$32-$F$32)*11/12,0)))</f>
        <v>1</v>
      </c>
      <c r="BA71" s="72" t="n">
        <f aca="false">IF(48&lt;$C$32,0,MIN($G$32,ROUNDUP($F$32+($G$32-$F$32)*12/12,0)))</f>
        <v>1</v>
      </c>
      <c r="BB71" s="69" t="n">
        <f aca="false">BN71</f>
        <v>1</v>
      </c>
      <c r="BC71" s="72" t="n">
        <f aca="false">IF(49&lt;$C$32,0,MIN($H$32,ROUNDUP($G$32+($H$32-$G$32)*1/12,0)))</f>
        <v>1</v>
      </c>
      <c r="BD71" s="72" t="n">
        <f aca="false">IF(50&lt;$C$32,0,MIN($H$32,ROUNDUP($G$32+($H$32-$G$32)*2/12,0)))</f>
        <v>1</v>
      </c>
      <c r="BE71" s="72" t="n">
        <f aca="false">IF(51&lt;$C$32,0,MIN($H$32,ROUNDUP($G$32+($H$32-$G$32)*3/12,0)))</f>
        <v>1</v>
      </c>
      <c r="BF71" s="72" t="n">
        <f aca="false">IF(52&lt;$C$32,0,MIN($H$32,ROUNDUP($G$32+($H$32-$G$32)*4/12,0)))</f>
        <v>1</v>
      </c>
      <c r="BG71" s="72" t="n">
        <f aca="false">IF(53&lt;$C$32,0,MIN($H$32,ROUNDUP($G$32+($H$32-$G$32)*5/12,0)))</f>
        <v>1</v>
      </c>
      <c r="BH71" s="72" t="n">
        <f aca="false">IF(54&lt;$C$32,0,MIN($H$32,ROUNDUP($G$32+($H$32-$G$32)*6/12,0)))</f>
        <v>1</v>
      </c>
      <c r="BI71" s="72" t="n">
        <f aca="false">IF(55&lt;$C$32,0,MIN($H$32,ROUNDUP($G$32+($H$32-$G$32)*7/12,0)))</f>
        <v>1</v>
      </c>
      <c r="BJ71" s="72" t="n">
        <f aca="false">IF(56&lt;$C$32,0,MIN($H$32,ROUNDUP($G$32+($H$32-$G$32)*8/12,0)))</f>
        <v>1</v>
      </c>
      <c r="BK71" s="72" t="n">
        <f aca="false">IF(57&lt;$C$32,0,MIN($H$32,ROUNDUP($G$32+($H$32-$G$32)*9/12,0)))</f>
        <v>1</v>
      </c>
      <c r="BL71" s="72" t="n">
        <f aca="false">IF(58&lt;$C$32,0,MIN($H$32,ROUNDUP($G$32+($H$32-$G$32)*10/12,0)))</f>
        <v>1</v>
      </c>
      <c r="BM71" s="72" t="n">
        <f aca="false">IF(59&lt;$C$32,0,MIN($H$32,ROUNDUP($G$32+($H$32-$G$32)*11/12,0)))</f>
        <v>1</v>
      </c>
      <c r="BN71" s="72" t="n">
        <f aca="false">IF(60&lt;$C$32,0,MIN($H$32,ROUNDUP($G$32+($H$32-$G$32)*12/12,0)))</f>
        <v>1</v>
      </c>
    </row>
    <row r="72" customFormat="false" ht="15" hidden="false" customHeight="false" outlineLevel="0" collapsed="false">
      <c r="A72" s="4" t="s">
        <v>871</v>
      </c>
      <c r="B72" s="69" t="n">
        <f aca="false">N72</f>
        <v>0</v>
      </c>
      <c r="C72" s="72" t="n">
        <f aca="false">IF(1&lt;$C$33,0,$D$33)</f>
        <v>0</v>
      </c>
      <c r="D72" s="72" t="n">
        <f aca="false">IF(2&lt;$C$33,0,$D$33)</f>
        <v>0</v>
      </c>
      <c r="E72" s="72" t="n">
        <f aca="false">IF(3&lt;$C$33,0,$D$33)</f>
        <v>0</v>
      </c>
      <c r="F72" s="72" t="n">
        <f aca="false">IF(4&lt;$C$33,0,$D$33)</f>
        <v>0</v>
      </c>
      <c r="G72" s="72" t="n">
        <f aca="false">IF(5&lt;$C$33,0,$D$33)</f>
        <v>0</v>
      </c>
      <c r="H72" s="72" t="n">
        <f aca="false">IF(6&lt;$C$33,0,$D$33)</f>
        <v>0</v>
      </c>
      <c r="I72" s="72" t="n">
        <f aca="false">IF(7&lt;$C$33,0,$D$33)</f>
        <v>0</v>
      </c>
      <c r="J72" s="72" t="n">
        <f aca="false">IF(8&lt;$C$33,0,$D$33)</f>
        <v>0</v>
      </c>
      <c r="K72" s="72" t="n">
        <f aca="false">IF(9&lt;$C$33,0,$D$33)</f>
        <v>0</v>
      </c>
      <c r="L72" s="72" t="n">
        <f aca="false">IF(10&lt;$C$33,0,$D$33)</f>
        <v>0</v>
      </c>
      <c r="M72" s="72" t="n">
        <f aca="false">IF(11&lt;$C$33,0,$D$33)</f>
        <v>0</v>
      </c>
      <c r="N72" s="72" t="n">
        <f aca="false">IF(12&lt;$C$33,0,$D$33)</f>
        <v>0</v>
      </c>
      <c r="O72" s="69" t="n">
        <f aca="false">AA72</f>
        <v>0</v>
      </c>
      <c r="P72" s="72" t="n">
        <f aca="false">IF(13&lt;$C$33,0,MIN($E$33,ROUNDUP($D$33+($E$33-$D$33)*1/12,0)))</f>
        <v>0</v>
      </c>
      <c r="Q72" s="72" t="n">
        <f aca="false">IF(14&lt;$C$33,0,MIN($E$33,ROUNDUP($D$33+($E$33-$D$33)*2/12,0)))</f>
        <v>0</v>
      </c>
      <c r="R72" s="72" t="n">
        <f aca="false">IF(15&lt;$C$33,0,MIN($E$33,ROUNDUP($D$33+($E$33-$D$33)*3/12,0)))</f>
        <v>0</v>
      </c>
      <c r="S72" s="72" t="n">
        <f aca="false">IF(16&lt;$C$33,0,MIN($E$33,ROUNDUP($D$33+($E$33-$D$33)*4/12,0)))</f>
        <v>0</v>
      </c>
      <c r="T72" s="72" t="n">
        <f aca="false">IF(17&lt;$C$33,0,MIN($E$33,ROUNDUP($D$33+($E$33-$D$33)*5/12,0)))</f>
        <v>0</v>
      </c>
      <c r="U72" s="72" t="n">
        <f aca="false">IF(18&lt;$C$33,0,MIN($E$33,ROUNDUP($D$33+($E$33-$D$33)*6/12,0)))</f>
        <v>0</v>
      </c>
      <c r="V72" s="72" t="n">
        <f aca="false">IF(19&lt;$C$33,0,MIN($E$33,ROUNDUP($D$33+($E$33-$D$33)*7/12,0)))</f>
        <v>0</v>
      </c>
      <c r="W72" s="72" t="n">
        <f aca="false">IF(20&lt;$C$33,0,MIN($E$33,ROUNDUP($D$33+($E$33-$D$33)*8/12,0)))</f>
        <v>0</v>
      </c>
      <c r="X72" s="72" t="n">
        <f aca="false">IF(21&lt;$C$33,0,MIN($E$33,ROUNDUP($D$33+($E$33-$D$33)*9/12,0)))</f>
        <v>0</v>
      </c>
      <c r="Y72" s="72" t="n">
        <f aca="false">IF(22&lt;$C$33,0,MIN($E$33,ROUNDUP($D$33+($E$33-$D$33)*10/12,0)))</f>
        <v>0</v>
      </c>
      <c r="Z72" s="72" t="n">
        <f aca="false">IF(23&lt;$C$33,0,MIN($E$33,ROUNDUP($D$33+($E$33-$D$33)*11/12,0)))</f>
        <v>0</v>
      </c>
      <c r="AA72" s="72" t="n">
        <f aca="false">IF(24&lt;$C$33,0,MIN($E$33,ROUNDUP($D$33+($E$33-$D$33)*12/12,0)))</f>
        <v>0</v>
      </c>
      <c r="AB72" s="69" t="n">
        <f aca="false">AN72</f>
        <v>1</v>
      </c>
      <c r="AC72" s="72" t="n">
        <f aca="false">IF(25&lt;$C$33,0,MIN($F$33,ROUNDUP($E$33+($F$33-$E$33)*1/12,0)))</f>
        <v>1</v>
      </c>
      <c r="AD72" s="72" t="n">
        <f aca="false">IF(26&lt;$C$33,0,MIN($F$33,ROUNDUP($E$33+($F$33-$E$33)*2/12,0)))</f>
        <v>1</v>
      </c>
      <c r="AE72" s="72" t="n">
        <f aca="false">IF(27&lt;$C$33,0,MIN($F$33,ROUNDUP($E$33+($F$33-$E$33)*3/12,0)))</f>
        <v>1</v>
      </c>
      <c r="AF72" s="72" t="n">
        <f aca="false">IF(28&lt;$C$33,0,MIN($F$33,ROUNDUP($E$33+($F$33-$E$33)*4/12,0)))</f>
        <v>1</v>
      </c>
      <c r="AG72" s="72" t="n">
        <f aca="false">IF(29&lt;$C$33,0,MIN($F$33,ROUNDUP($E$33+($F$33-$E$33)*5/12,0)))</f>
        <v>1</v>
      </c>
      <c r="AH72" s="72" t="n">
        <f aca="false">IF(30&lt;$C$33,0,MIN($F$33,ROUNDUP($E$33+($F$33-$E$33)*6/12,0)))</f>
        <v>1</v>
      </c>
      <c r="AI72" s="72" t="n">
        <f aca="false">IF(31&lt;$C$33,0,MIN($F$33,ROUNDUP($E$33+($F$33-$E$33)*7/12,0)))</f>
        <v>1</v>
      </c>
      <c r="AJ72" s="72" t="n">
        <f aca="false">IF(32&lt;$C$33,0,MIN($F$33,ROUNDUP($E$33+($F$33-$E$33)*8/12,0)))</f>
        <v>1</v>
      </c>
      <c r="AK72" s="72" t="n">
        <f aca="false">IF(33&lt;$C$33,0,MIN($F$33,ROUNDUP($E$33+($F$33-$E$33)*9/12,0)))</f>
        <v>1</v>
      </c>
      <c r="AL72" s="72" t="n">
        <f aca="false">IF(34&lt;$C$33,0,MIN($F$33,ROUNDUP($E$33+($F$33-$E$33)*10/12,0)))</f>
        <v>1</v>
      </c>
      <c r="AM72" s="72" t="n">
        <f aca="false">IF(35&lt;$C$33,0,MIN($F$33,ROUNDUP($E$33+($F$33-$E$33)*11/12,0)))</f>
        <v>1</v>
      </c>
      <c r="AN72" s="72" t="n">
        <f aca="false">IF(36&lt;$C$33,0,MIN($F$33,ROUNDUP($E$33+($F$33-$E$33)*12/12,0)))</f>
        <v>1</v>
      </c>
      <c r="AO72" s="69" t="n">
        <f aca="false">BA72</f>
        <v>1</v>
      </c>
      <c r="AP72" s="72" t="n">
        <f aca="false">IF(37&lt;$C$33,0,MIN($G$33,ROUNDUP($F$33+($G$33-$F$33)*1/12,0)))</f>
        <v>1</v>
      </c>
      <c r="AQ72" s="72" t="n">
        <f aca="false">IF(38&lt;$C$33,0,MIN($G$33,ROUNDUP($F$33+($G$33-$F$33)*2/12,0)))</f>
        <v>1</v>
      </c>
      <c r="AR72" s="72" t="n">
        <f aca="false">IF(39&lt;$C$33,0,MIN($G$33,ROUNDUP($F$33+($G$33-$F$33)*3/12,0)))</f>
        <v>1</v>
      </c>
      <c r="AS72" s="72" t="n">
        <f aca="false">IF(40&lt;$C$33,0,MIN($G$33,ROUNDUP($F$33+($G$33-$F$33)*4/12,0)))</f>
        <v>1</v>
      </c>
      <c r="AT72" s="72" t="n">
        <f aca="false">IF(41&lt;$C$33,0,MIN($G$33,ROUNDUP($F$33+($G$33-$F$33)*5/12,0)))</f>
        <v>1</v>
      </c>
      <c r="AU72" s="72" t="n">
        <f aca="false">IF(42&lt;$C$33,0,MIN($G$33,ROUNDUP($F$33+($G$33-$F$33)*6/12,0)))</f>
        <v>1</v>
      </c>
      <c r="AV72" s="72" t="n">
        <f aca="false">IF(43&lt;$C$33,0,MIN($G$33,ROUNDUP($F$33+($G$33-$F$33)*7/12,0)))</f>
        <v>1</v>
      </c>
      <c r="AW72" s="72" t="n">
        <f aca="false">IF(44&lt;$C$33,0,MIN($G$33,ROUNDUP($F$33+($G$33-$F$33)*8/12,0)))</f>
        <v>1</v>
      </c>
      <c r="AX72" s="72" t="n">
        <f aca="false">IF(45&lt;$C$33,0,MIN($G$33,ROUNDUP($F$33+($G$33-$F$33)*9/12,0)))</f>
        <v>1</v>
      </c>
      <c r="AY72" s="72" t="n">
        <f aca="false">IF(46&lt;$C$33,0,MIN($G$33,ROUNDUP($F$33+($G$33-$F$33)*10/12,0)))</f>
        <v>1</v>
      </c>
      <c r="AZ72" s="72" t="n">
        <f aca="false">IF(47&lt;$C$33,0,MIN($G$33,ROUNDUP($F$33+($G$33-$F$33)*11/12,0)))</f>
        <v>1</v>
      </c>
      <c r="BA72" s="72" t="n">
        <f aca="false">IF(48&lt;$C$33,0,MIN($G$33,ROUNDUP($F$33+($G$33-$F$33)*12/12,0)))</f>
        <v>1</v>
      </c>
      <c r="BB72" s="69" t="n">
        <f aca="false">BN72</f>
        <v>1</v>
      </c>
      <c r="BC72" s="72" t="n">
        <f aca="false">IF(49&lt;$C$33,0,MIN($H$33,ROUNDUP($G$33+($H$33-$G$33)*1/12,0)))</f>
        <v>1</v>
      </c>
      <c r="BD72" s="72" t="n">
        <f aca="false">IF(50&lt;$C$33,0,MIN($H$33,ROUNDUP($G$33+($H$33-$G$33)*2/12,0)))</f>
        <v>1</v>
      </c>
      <c r="BE72" s="72" t="n">
        <f aca="false">IF(51&lt;$C$33,0,MIN($H$33,ROUNDUP($G$33+($H$33-$G$33)*3/12,0)))</f>
        <v>1</v>
      </c>
      <c r="BF72" s="72" t="n">
        <f aca="false">IF(52&lt;$C$33,0,MIN($H$33,ROUNDUP($G$33+($H$33-$G$33)*4/12,0)))</f>
        <v>1</v>
      </c>
      <c r="BG72" s="72" t="n">
        <f aca="false">IF(53&lt;$C$33,0,MIN($H$33,ROUNDUP($G$33+($H$33-$G$33)*5/12,0)))</f>
        <v>1</v>
      </c>
      <c r="BH72" s="72" t="n">
        <f aca="false">IF(54&lt;$C$33,0,MIN($H$33,ROUNDUP($G$33+($H$33-$G$33)*6/12,0)))</f>
        <v>1</v>
      </c>
      <c r="BI72" s="72" t="n">
        <f aca="false">IF(55&lt;$C$33,0,MIN($H$33,ROUNDUP($G$33+($H$33-$G$33)*7/12,0)))</f>
        <v>1</v>
      </c>
      <c r="BJ72" s="72" t="n">
        <f aca="false">IF(56&lt;$C$33,0,MIN($H$33,ROUNDUP($G$33+($H$33-$G$33)*8/12,0)))</f>
        <v>1</v>
      </c>
      <c r="BK72" s="72" t="n">
        <f aca="false">IF(57&lt;$C$33,0,MIN($H$33,ROUNDUP($G$33+($H$33-$G$33)*9/12,0)))</f>
        <v>1</v>
      </c>
      <c r="BL72" s="72" t="n">
        <f aca="false">IF(58&lt;$C$33,0,MIN($H$33,ROUNDUP($G$33+($H$33-$G$33)*10/12,0)))</f>
        <v>1</v>
      </c>
      <c r="BM72" s="72" t="n">
        <f aca="false">IF(59&lt;$C$33,0,MIN($H$33,ROUNDUP($G$33+($H$33-$G$33)*11/12,0)))</f>
        <v>1</v>
      </c>
      <c r="BN72" s="72" t="n">
        <f aca="false">IF(60&lt;$C$33,0,MIN($H$33,ROUNDUP($G$33+($H$33-$G$33)*12/12,0)))</f>
        <v>1</v>
      </c>
    </row>
    <row r="73" customFormat="false" ht="15" hidden="false" customHeight="false" outlineLevel="0" collapsed="false">
      <c r="A73" s="13" t="s">
        <v>883</v>
      </c>
      <c r="B73" s="69" t="n">
        <f aca="false">N73</f>
        <v>24</v>
      </c>
      <c r="C73" s="80" t="n">
        <f aca="false">SUM(C45:C72)</f>
        <v>24</v>
      </c>
      <c r="D73" s="80" t="n">
        <f aca="false">SUM(D45:D72)</f>
        <v>24</v>
      </c>
      <c r="E73" s="80" t="n">
        <f aca="false">SUM(E45:E72)</f>
        <v>24</v>
      </c>
      <c r="F73" s="80" t="n">
        <f aca="false">SUM(F45:F72)</f>
        <v>24</v>
      </c>
      <c r="G73" s="80" t="n">
        <f aca="false">SUM(G45:G72)</f>
        <v>24</v>
      </c>
      <c r="H73" s="80" t="n">
        <f aca="false">SUM(H45:H72)</f>
        <v>24</v>
      </c>
      <c r="I73" s="80" t="n">
        <f aca="false">SUM(I45:I72)</f>
        <v>24</v>
      </c>
      <c r="J73" s="80" t="n">
        <f aca="false">SUM(J45:J72)</f>
        <v>24</v>
      </c>
      <c r="K73" s="80" t="n">
        <f aca="false">SUM(K45:K72)</f>
        <v>24</v>
      </c>
      <c r="L73" s="80" t="n">
        <f aca="false">SUM(L45:L72)</f>
        <v>24</v>
      </c>
      <c r="M73" s="80" t="n">
        <f aca="false">SUM(M45:M72)</f>
        <v>24</v>
      </c>
      <c r="N73" s="80" t="n">
        <f aca="false">SUM(N45:N72)</f>
        <v>24</v>
      </c>
      <c r="O73" s="69" t="n">
        <f aca="false">AA73</f>
        <v>40</v>
      </c>
      <c r="P73" s="80" t="n">
        <f aca="false">SUM(P45:P72)</f>
        <v>36</v>
      </c>
      <c r="Q73" s="80" t="n">
        <f aca="false">SUM(Q45:Q72)</f>
        <v>36</v>
      </c>
      <c r="R73" s="80" t="n">
        <f aca="false">SUM(R45:R72)</f>
        <v>36</v>
      </c>
      <c r="S73" s="80" t="n">
        <f aca="false">SUM(S45:S72)</f>
        <v>36</v>
      </c>
      <c r="T73" s="80" t="n">
        <f aca="false">SUM(T45:T72)</f>
        <v>37</v>
      </c>
      <c r="U73" s="80" t="n">
        <f aca="false">SUM(U45:U72)</f>
        <v>37</v>
      </c>
      <c r="V73" s="80" t="n">
        <f aca="false">SUM(V45:V72)</f>
        <v>39</v>
      </c>
      <c r="W73" s="80" t="n">
        <f aca="false">SUM(W45:W72)</f>
        <v>39</v>
      </c>
      <c r="X73" s="80" t="n">
        <f aca="false">SUM(X45:X72)</f>
        <v>40</v>
      </c>
      <c r="Y73" s="80" t="n">
        <f aca="false">SUM(Y45:Y72)</f>
        <v>40</v>
      </c>
      <c r="Z73" s="80" t="n">
        <f aca="false">SUM(Z45:Z72)</f>
        <v>40</v>
      </c>
      <c r="AA73" s="80" t="n">
        <f aca="false">SUM(AA45:AA72)</f>
        <v>40</v>
      </c>
      <c r="AB73" s="69" t="n">
        <f aca="false">AN73</f>
        <v>60</v>
      </c>
      <c r="AC73" s="80" t="n">
        <f aca="false">SUM(AC45:AC72)</f>
        <v>54</v>
      </c>
      <c r="AD73" s="80" t="n">
        <f aca="false">SUM(AD45:AD72)</f>
        <v>54</v>
      </c>
      <c r="AE73" s="80" t="n">
        <f aca="false">SUM(AE45:AE72)</f>
        <v>54</v>
      </c>
      <c r="AF73" s="80" t="n">
        <f aca="false">SUM(AF45:AF72)</f>
        <v>55</v>
      </c>
      <c r="AG73" s="80" t="n">
        <f aca="false">SUM(AG45:AG72)</f>
        <v>56</v>
      </c>
      <c r="AH73" s="80" t="n">
        <f aca="false">SUM(AH45:AH72)</f>
        <v>56</v>
      </c>
      <c r="AI73" s="80" t="n">
        <f aca="false">SUM(AI45:AI72)</f>
        <v>58</v>
      </c>
      <c r="AJ73" s="80" t="n">
        <f aca="false">SUM(AJ45:AJ72)</f>
        <v>58</v>
      </c>
      <c r="AK73" s="80" t="n">
        <f aca="false">SUM(AK45:AK72)</f>
        <v>59</v>
      </c>
      <c r="AL73" s="80" t="n">
        <f aca="false">SUM(AL45:AL72)</f>
        <v>60</v>
      </c>
      <c r="AM73" s="80" t="n">
        <f aca="false">SUM(AM45:AM72)</f>
        <v>60</v>
      </c>
      <c r="AN73" s="80" t="n">
        <f aca="false">SUM(AN45:AN72)</f>
        <v>60</v>
      </c>
      <c r="AO73" s="69" t="n">
        <f aca="false">BA73</f>
        <v>84</v>
      </c>
      <c r="AP73" s="80" t="n">
        <f aca="false">SUM(AP45:AP72)</f>
        <v>73</v>
      </c>
      <c r="AQ73" s="80" t="n">
        <f aca="false">SUM(AQ45:AQ72)</f>
        <v>74</v>
      </c>
      <c r="AR73" s="80" t="n">
        <f aca="false">SUM(AR45:AR72)</f>
        <v>75</v>
      </c>
      <c r="AS73" s="80" t="n">
        <f aca="false">SUM(AS45:AS72)</f>
        <v>76</v>
      </c>
      <c r="AT73" s="80" t="n">
        <f aca="false">SUM(AT45:AT72)</f>
        <v>77</v>
      </c>
      <c r="AU73" s="80" t="n">
        <f aca="false">SUM(AU45:AU72)</f>
        <v>78</v>
      </c>
      <c r="AV73" s="80" t="n">
        <f aca="false">SUM(AV45:AV72)</f>
        <v>80</v>
      </c>
      <c r="AW73" s="80" t="n">
        <f aca="false">SUM(AW45:AW72)</f>
        <v>81</v>
      </c>
      <c r="AX73" s="80" t="n">
        <f aca="false">SUM(AX45:AX72)</f>
        <v>82</v>
      </c>
      <c r="AY73" s="80" t="n">
        <f aca="false">SUM(AY45:AY72)</f>
        <v>83</v>
      </c>
      <c r="AZ73" s="80" t="n">
        <f aca="false">SUM(AZ45:AZ72)</f>
        <v>84</v>
      </c>
      <c r="BA73" s="80" t="n">
        <f aca="false">SUM(BA45:BA72)</f>
        <v>84</v>
      </c>
      <c r="BB73" s="69" t="n">
        <f aca="false">BN73</f>
        <v>115</v>
      </c>
      <c r="BC73" s="80" t="n">
        <f aca="false">SUM(BC45:BC72)</f>
        <v>98</v>
      </c>
      <c r="BD73" s="80" t="n">
        <f aca="false">SUM(BD45:BD72)</f>
        <v>100</v>
      </c>
      <c r="BE73" s="80" t="n">
        <f aca="false">SUM(BE45:BE72)</f>
        <v>102</v>
      </c>
      <c r="BF73" s="80" t="n">
        <f aca="false">SUM(BF45:BF72)</f>
        <v>102</v>
      </c>
      <c r="BG73" s="80" t="n">
        <f aca="false">SUM(BG45:BG72)</f>
        <v>104</v>
      </c>
      <c r="BH73" s="80" t="n">
        <f aca="false">SUM(BH45:BH72)</f>
        <v>106</v>
      </c>
      <c r="BI73" s="80" t="n">
        <f aca="false">SUM(BI45:BI72)</f>
        <v>109</v>
      </c>
      <c r="BJ73" s="80" t="n">
        <f aca="false">SUM(BJ45:BJ72)</f>
        <v>109</v>
      </c>
      <c r="BK73" s="80" t="n">
        <f aca="false">SUM(BK45:BK72)</f>
        <v>111</v>
      </c>
      <c r="BL73" s="80" t="n">
        <f aca="false">SUM(BL45:BL72)</f>
        <v>113</v>
      </c>
      <c r="BM73" s="80" t="n">
        <f aca="false">SUM(BM45:BM72)</f>
        <v>115</v>
      </c>
      <c r="BN73" s="80" t="n">
        <f aca="false">SUM(BN45:BN72)</f>
        <v>115</v>
      </c>
    </row>
    <row r="74" customFormat="false" ht="15" hidden="false" customHeight="false" outlineLevel="0" collapsed="false">
      <c r="A74" s="4" t="s">
        <v>884</v>
      </c>
      <c r="B74" s="69" t="n">
        <f aca="false">SUM(C74:N74)</f>
        <v>24</v>
      </c>
      <c r="C74" s="72" t="n">
        <f aca="false">C73</f>
        <v>24</v>
      </c>
      <c r="D74" s="72" t="n">
        <f aca="false">MAX(0,D73-C73)</f>
        <v>0</v>
      </c>
      <c r="E74" s="72" t="n">
        <f aca="false">MAX(0,E73-D73)</f>
        <v>0</v>
      </c>
      <c r="F74" s="72" t="n">
        <f aca="false">MAX(0,F73-E73)</f>
        <v>0</v>
      </c>
      <c r="G74" s="72" t="n">
        <f aca="false">MAX(0,G73-F73)</f>
        <v>0</v>
      </c>
      <c r="H74" s="72" t="n">
        <f aca="false">MAX(0,H73-G73)</f>
        <v>0</v>
      </c>
      <c r="I74" s="72" t="n">
        <f aca="false">MAX(0,I73-H73)</f>
        <v>0</v>
      </c>
      <c r="J74" s="72" t="n">
        <f aca="false">MAX(0,J73-I73)</f>
        <v>0</v>
      </c>
      <c r="K74" s="72" t="n">
        <f aca="false">MAX(0,K73-J73)</f>
        <v>0</v>
      </c>
      <c r="L74" s="72" t="n">
        <f aca="false">MAX(0,L73-K73)</f>
        <v>0</v>
      </c>
      <c r="M74" s="72" t="n">
        <f aca="false">MAX(0,M73-L73)</f>
        <v>0</v>
      </c>
      <c r="N74" s="72" t="n">
        <f aca="false">MAX(0,N73-M73)</f>
        <v>0</v>
      </c>
      <c r="O74" s="69" t="n">
        <f aca="false">SUM(P74:AA74)</f>
        <v>16</v>
      </c>
      <c r="P74" s="72" t="n">
        <f aca="false">MAX(0,P73-N73)</f>
        <v>12</v>
      </c>
      <c r="Q74" s="72" t="n">
        <f aca="false">MAX(0,Q73-P73)</f>
        <v>0</v>
      </c>
      <c r="R74" s="72" t="n">
        <f aca="false">MAX(0,R73-Q73)</f>
        <v>0</v>
      </c>
      <c r="S74" s="72" t="n">
        <f aca="false">MAX(0,S73-R73)</f>
        <v>0</v>
      </c>
      <c r="T74" s="72" t="n">
        <f aca="false">MAX(0,T73-S73)</f>
        <v>1</v>
      </c>
      <c r="U74" s="72" t="n">
        <f aca="false">MAX(0,U73-T73)</f>
        <v>0</v>
      </c>
      <c r="V74" s="72" t="n">
        <f aca="false">MAX(0,V73-U73)</f>
        <v>2</v>
      </c>
      <c r="W74" s="72" t="n">
        <f aca="false">MAX(0,W73-V73)</f>
        <v>0</v>
      </c>
      <c r="X74" s="72" t="n">
        <f aca="false">MAX(0,X73-W73)</f>
        <v>1</v>
      </c>
      <c r="Y74" s="72" t="n">
        <f aca="false">MAX(0,Y73-X73)</f>
        <v>0</v>
      </c>
      <c r="Z74" s="72" t="n">
        <f aca="false">MAX(0,Z73-Y73)</f>
        <v>0</v>
      </c>
      <c r="AA74" s="72" t="n">
        <f aca="false">MAX(0,AA73-Z73)</f>
        <v>0</v>
      </c>
      <c r="AB74" s="69" t="n">
        <f aca="false">SUM(AC74:AN74)</f>
        <v>20</v>
      </c>
      <c r="AC74" s="72" t="n">
        <f aca="false">MAX(0,AC73-AA73)</f>
        <v>14</v>
      </c>
      <c r="AD74" s="72" t="n">
        <f aca="false">MAX(0,AD73-AC73)</f>
        <v>0</v>
      </c>
      <c r="AE74" s="72" t="n">
        <f aca="false">MAX(0,AE73-AD73)</f>
        <v>0</v>
      </c>
      <c r="AF74" s="72" t="n">
        <f aca="false">MAX(0,AF73-AE73)</f>
        <v>1</v>
      </c>
      <c r="AG74" s="72" t="n">
        <f aca="false">MAX(0,AG73-AF73)</f>
        <v>1</v>
      </c>
      <c r="AH74" s="72" t="n">
        <f aca="false">MAX(0,AH73-AG73)</f>
        <v>0</v>
      </c>
      <c r="AI74" s="72" t="n">
        <f aca="false">MAX(0,AI73-AH73)</f>
        <v>2</v>
      </c>
      <c r="AJ74" s="72" t="n">
        <f aca="false">MAX(0,AJ73-AI73)</f>
        <v>0</v>
      </c>
      <c r="AK74" s="72" t="n">
        <f aca="false">MAX(0,AK73-AJ73)</f>
        <v>1</v>
      </c>
      <c r="AL74" s="72" t="n">
        <f aca="false">MAX(0,AL73-AK73)</f>
        <v>1</v>
      </c>
      <c r="AM74" s="72" t="n">
        <f aca="false">MAX(0,AM73-AL73)</f>
        <v>0</v>
      </c>
      <c r="AN74" s="72" t="n">
        <f aca="false">MAX(0,AN73-AM73)</f>
        <v>0</v>
      </c>
      <c r="AO74" s="69" t="n">
        <f aca="false">SUM(AP74:BA74)</f>
        <v>24</v>
      </c>
      <c r="AP74" s="72" t="n">
        <f aca="false">MAX(0,AP73-AN73)</f>
        <v>13</v>
      </c>
      <c r="AQ74" s="72" t="n">
        <f aca="false">MAX(0,AQ73-AP73)</f>
        <v>1</v>
      </c>
      <c r="AR74" s="72" t="n">
        <f aca="false">MAX(0,AR73-AQ73)</f>
        <v>1</v>
      </c>
      <c r="AS74" s="72" t="n">
        <f aca="false">MAX(0,AS73-AR73)</f>
        <v>1</v>
      </c>
      <c r="AT74" s="72" t="n">
        <f aca="false">MAX(0,AT73-AS73)</f>
        <v>1</v>
      </c>
      <c r="AU74" s="72" t="n">
        <f aca="false">MAX(0,AU73-AT73)</f>
        <v>1</v>
      </c>
      <c r="AV74" s="72" t="n">
        <f aca="false">MAX(0,AV73-AU73)</f>
        <v>2</v>
      </c>
      <c r="AW74" s="72" t="n">
        <f aca="false">MAX(0,AW73-AV73)</f>
        <v>1</v>
      </c>
      <c r="AX74" s="72" t="n">
        <f aca="false">MAX(0,AX73-AW73)</f>
        <v>1</v>
      </c>
      <c r="AY74" s="72" t="n">
        <f aca="false">MAX(0,AY73-AX73)</f>
        <v>1</v>
      </c>
      <c r="AZ74" s="72" t="n">
        <f aca="false">MAX(0,AZ73-AY73)</f>
        <v>1</v>
      </c>
      <c r="BA74" s="72" t="n">
        <f aca="false">MAX(0,BA73-AZ73)</f>
        <v>0</v>
      </c>
      <c r="BB74" s="69" t="n">
        <f aca="false">SUM(BC74:BN74)</f>
        <v>31</v>
      </c>
      <c r="BC74" s="72" t="n">
        <f aca="false">MAX(0,BC73-BA73)</f>
        <v>14</v>
      </c>
      <c r="BD74" s="72" t="n">
        <f aca="false">MAX(0,BD73-BC73)</f>
        <v>2</v>
      </c>
      <c r="BE74" s="72" t="n">
        <f aca="false">MAX(0,BE73-BD73)</f>
        <v>2</v>
      </c>
      <c r="BF74" s="72" t="n">
        <f aca="false">MAX(0,BF73-BE73)</f>
        <v>0</v>
      </c>
      <c r="BG74" s="72" t="n">
        <f aca="false">MAX(0,BG73-BF73)</f>
        <v>2</v>
      </c>
      <c r="BH74" s="72" t="n">
        <f aca="false">MAX(0,BH73-BG73)</f>
        <v>2</v>
      </c>
      <c r="BI74" s="72" t="n">
        <f aca="false">MAX(0,BI73-BH73)</f>
        <v>3</v>
      </c>
      <c r="BJ74" s="72" t="n">
        <f aca="false">MAX(0,BJ73-BI73)</f>
        <v>0</v>
      </c>
      <c r="BK74" s="72" t="n">
        <f aca="false">MAX(0,BK73-BJ73)</f>
        <v>2</v>
      </c>
      <c r="BL74" s="72" t="n">
        <f aca="false">MAX(0,BL73-BK73)</f>
        <v>2</v>
      </c>
      <c r="BM74" s="72" t="n">
        <f aca="false">MAX(0,BM73-BL73)</f>
        <v>2</v>
      </c>
      <c r="BN74" s="72" t="n">
        <f aca="false">MAX(0,BN73-BM73)</f>
        <v>0</v>
      </c>
    </row>
    <row r="75" customFormat="false" ht="15" hidden="false" customHeight="false" outlineLevel="0" collapsed="false">
      <c r="A75" s="4" t="s">
        <v>885</v>
      </c>
      <c r="B75" s="69" t="n">
        <f aca="false">SUM(C75:N75)</f>
        <v>11</v>
      </c>
      <c r="C75" s="72" t="n">
        <f aca="false">$K$6*C45+$K$7*C46+$K$8*C47+$K$9*C48+$K$10*C49+$K$11*C50+$K$12*C51+$K$13*C52+$K$14*C53+$K$15*C54+$K$16*C55+$K$17*C56+$K$18*C57+$K$19*C58+$K$20*C59+$K$21*C60+$K$22*C61+$K$23*C62+$K$24*C63+$K$25*C64+$K$26*C65+$K$27*C66+$K$28*C67+$K$29*C68+$K$30*C69+$K$31*C70+$K$32*C71+$K$33*C72</f>
        <v>11</v>
      </c>
      <c r="D75" s="72" t="n">
        <f aca="false">$K$6*MAX(0,D45-C45)+$K$7*MAX(0,D46-C46)+$K$8*MAX(0,D47-C47)+$K$9*MAX(0,D48-C48)+$K$10*MAX(0,D49-C49)+$K$11*MAX(0,D50-C50)+$K$12*MAX(0,D51-C51)+$K$13*MAX(0,D52-C52)+$K$14*MAX(0,D53-C53)+$K$15*MAX(0,D54-C54)+$K$16*MAX(0,D55-C55)+$K$17*MAX(0,D56-C56)+$K$18*MAX(0,D57-C57)+$K$19*MAX(0,D58-C58)+$K$20*MAX(0,D59-C59)+$K$21*MAX(0,D60-C60)+$K$22*MAX(0,D61-C61)+$K$23*MAX(0,D62-C62)+$K$24*MAX(0,D63-C63)+$K$25*MAX(0,D64-C64)+$K$26*MAX(0,D65-C65)+$K$27*MAX(0,D66-C66)+$K$28*MAX(0,D67-C67)+$K$29*MAX(0,D68-C68)+$K$30*MAX(0,D69-C69)+$K$31*MAX(0,D70-C70)+$K$32*MAX(0,D71-C71)+$K$33*MAX(0,D72-C72)</f>
        <v>0</v>
      </c>
      <c r="E75" s="72" t="n">
        <f aca="false">$K$6*MAX(0,E45-D45)+$K$7*MAX(0,E46-D46)+$K$8*MAX(0,E47-D47)+$K$9*MAX(0,E48-D48)+$K$10*MAX(0,E49-D49)+$K$11*MAX(0,E50-D50)+$K$12*MAX(0,E51-D51)+$K$13*MAX(0,E52-D52)+$K$14*MAX(0,E53-D53)+$K$15*MAX(0,E54-D54)+$K$16*MAX(0,E55-D55)+$K$17*MAX(0,E56-D56)+$K$18*MAX(0,E57-D57)+$K$19*MAX(0,E58-D58)+$K$20*MAX(0,E59-D59)+$K$21*MAX(0,E60-D60)+$K$22*MAX(0,E61-D61)+$K$23*MAX(0,E62-D62)+$K$24*MAX(0,E63-D63)+$K$25*MAX(0,E64-D64)+$K$26*MAX(0,E65-D65)+$K$27*MAX(0,E66-D66)+$K$28*MAX(0,E67-D67)+$K$29*MAX(0,E68-D68)+$K$30*MAX(0,E69-D69)+$K$31*MAX(0,E70-D70)+$K$32*MAX(0,E71-D71)+$K$33*MAX(0,E72-D72)</f>
        <v>0</v>
      </c>
      <c r="F75" s="72" t="n">
        <f aca="false">$K$6*MAX(0,F45-E45)+$K$7*MAX(0,F46-E46)+$K$8*MAX(0,F47-E47)+$K$9*MAX(0,F48-E48)+$K$10*MAX(0,F49-E49)+$K$11*MAX(0,F50-E50)+$K$12*MAX(0,F51-E51)+$K$13*MAX(0,F52-E52)+$K$14*MAX(0,F53-E53)+$K$15*MAX(0,F54-E54)+$K$16*MAX(0,F55-E55)+$K$17*MAX(0,F56-E56)+$K$18*MAX(0,F57-E57)+$K$19*MAX(0,F58-E58)+$K$20*MAX(0,F59-E59)+$K$21*MAX(0,F60-E60)+$K$22*MAX(0,F61-E61)+$K$23*MAX(0,F62-E62)+$K$24*MAX(0,F63-E63)+$K$25*MAX(0,F64-E64)+$K$26*MAX(0,F65-E65)+$K$27*MAX(0,F66-E66)+$K$28*MAX(0,F67-E67)+$K$29*MAX(0,F68-E68)+$K$30*MAX(0,F69-E69)+$K$31*MAX(0,F70-E70)+$K$32*MAX(0,F71-E71)+$K$33*MAX(0,F72-E72)</f>
        <v>0</v>
      </c>
      <c r="G75" s="72" t="n">
        <f aca="false">$K$6*MAX(0,G45-F45)+$K$7*MAX(0,G46-F46)+$K$8*MAX(0,G47-F47)+$K$9*MAX(0,G48-F48)+$K$10*MAX(0,G49-F49)+$K$11*MAX(0,G50-F50)+$K$12*MAX(0,G51-F51)+$K$13*MAX(0,G52-F52)+$K$14*MAX(0,G53-F53)+$K$15*MAX(0,G54-F54)+$K$16*MAX(0,G55-F55)+$K$17*MAX(0,G56-F56)+$K$18*MAX(0,G57-F57)+$K$19*MAX(0,G58-F58)+$K$20*MAX(0,G59-F59)+$K$21*MAX(0,G60-F60)+$K$22*MAX(0,G61-F61)+$K$23*MAX(0,G62-F62)+$K$24*MAX(0,G63-F63)+$K$25*MAX(0,G64-F64)+$K$26*MAX(0,G65-F65)+$K$27*MAX(0,G66-F66)+$K$28*MAX(0,G67-F67)+$K$29*MAX(0,G68-F68)+$K$30*MAX(0,G69-F69)+$K$31*MAX(0,G70-F70)+$K$32*MAX(0,G71-F71)+$K$33*MAX(0,G72-F72)</f>
        <v>0</v>
      </c>
      <c r="H75" s="72" t="n">
        <f aca="false">$K$6*MAX(0,H45-G45)+$K$7*MAX(0,H46-G46)+$K$8*MAX(0,H47-G47)+$K$9*MAX(0,H48-G48)+$K$10*MAX(0,H49-G49)+$K$11*MAX(0,H50-G50)+$K$12*MAX(0,H51-G51)+$K$13*MAX(0,H52-G52)+$K$14*MAX(0,H53-G53)+$K$15*MAX(0,H54-G54)+$K$16*MAX(0,H55-G55)+$K$17*MAX(0,H56-G56)+$K$18*MAX(0,H57-G57)+$K$19*MAX(0,H58-G58)+$K$20*MAX(0,H59-G59)+$K$21*MAX(0,H60-G60)+$K$22*MAX(0,H61-G61)+$K$23*MAX(0,H62-G62)+$K$24*MAX(0,H63-G63)+$K$25*MAX(0,H64-G64)+$K$26*MAX(0,H65-G65)+$K$27*MAX(0,H66-G66)+$K$28*MAX(0,H67-G67)+$K$29*MAX(0,H68-G68)+$K$30*MAX(0,H69-G69)+$K$31*MAX(0,H70-G70)+$K$32*MAX(0,H71-G71)+$K$33*MAX(0,H72-G72)</f>
        <v>0</v>
      </c>
      <c r="I75" s="72" t="n">
        <f aca="false">$K$6*MAX(0,I45-H45)+$K$7*MAX(0,I46-H46)+$K$8*MAX(0,I47-H47)+$K$9*MAX(0,I48-H48)+$K$10*MAX(0,I49-H49)+$K$11*MAX(0,I50-H50)+$K$12*MAX(0,I51-H51)+$K$13*MAX(0,I52-H52)+$K$14*MAX(0,I53-H53)+$K$15*MAX(0,I54-H54)+$K$16*MAX(0,I55-H55)+$K$17*MAX(0,I56-H56)+$K$18*MAX(0,I57-H57)+$K$19*MAX(0,I58-H58)+$K$20*MAX(0,I59-H59)+$K$21*MAX(0,I60-H60)+$K$22*MAX(0,I61-H61)+$K$23*MAX(0,I62-H62)+$K$24*MAX(0,I63-H63)+$K$25*MAX(0,I64-H64)+$K$26*MAX(0,I65-H65)+$K$27*MAX(0,I66-H66)+$K$28*MAX(0,I67-H67)+$K$29*MAX(0,I68-H68)+$K$30*MAX(0,I69-H69)+$K$31*MAX(0,I70-H70)+$K$32*MAX(0,I71-H71)+$K$33*MAX(0,I72-H72)</f>
        <v>0</v>
      </c>
      <c r="J75" s="72" t="n">
        <f aca="false">$K$6*MAX(0,J45-I45)+$K$7*MAX(0,J46-I46)+$K$8*MAX(0,J47-I47)+$K$9*MAX(0,J48-I48)+$K$10*MAX(0,J49-I49)+$K$11*MAX(0,J50-I50)+$K$12*MAX(0,J51-I51)+$K$13*MAX(0,J52-I52)+$K$14*MAX(0,J53-I53)+$K$15*MAX(0,J54-I54)+$K$16*MAX(0,J55-I55)+$K$17*MAX(0,J56-I56)+$K$18*MAX(0,J57-I57)+$K$19*MAX(0,J58-I58)+$K$20*MAX(0,J59-I59)+$K$21*MAX(0,J60-I60)+$K$22*MAX(0,J61-I61)+$K$23*MAX(0,J62-I62)+$K$24*MAX(0,J63-I63)+$K$25*MAX(0,J64-I64)+$K$26*MAX(0,J65-I65)+$K$27*MAX(0,J66-I66)+$K$28*MAX(0,J67-I67)+$K$29*MAX(0,J68-I68)+$K$30*MAX(0,J69-I69)+$K$31*MAX(0,J70-I70)+$K$32*MAX(0,J71-I71)+$K$33*MAX(0,J72-I72)</f>
        <v>0</v>
      </c>
      <c r="K75" s="72" t="n">
        <f aca="false">$K$6*MAX(0,K45-J45)+$K$7*MAX(0,K46-J46)+$K$8*MAX(0,K47-J47)+$K$9*MAX(0,K48-J48)+$K$10*MAX(0,K49-J49)+$K$11*MAX(0,K50-J50)+$K$12*MAX(0,K51-J51)+$K$13*MAX(0,K52-J52)+$K$14*MAX(0,K53-J53)+$K$15*MAX(0,K54-J54)+$K$16*MAX(0,K55-J55)+$K$17*MAX(0,K56-J56)+$K$18*MAX(0,K57-J57)+$K$19*MAX(0,K58-J58)+$K$20*MAX(0,K59-J59)+$K$21*MAX(0,K60-J60)+$K$22*MAX(0,K61-J61)+$K$23*MAX(0,K62-J62)+$K$24*MAX(0,K63-J63)+$K$25*MAX(0,K64-J64)+$K$26*MAX(0,K65-J65)+$K$27*MAX(0,K66-J66)+$K$28*MAX(0,K67-J67)+$K$29*MAX(0,K68-J68)+$K$30*MAX(0,K69-J69)+$K$31*MAX(0,K70-J70)+$K$32*MAX(0,K71-J71)+$K$33*MAX(0,K72-J72)</f>
        <v>0</v>
      </c>
      <c r="L75" s="72" t="n">
        <f aca="false">$K$6*MAX(0,L45-K45)+$K$7*MAX(0,L46-K46)+$K$8*MAX(0,L47-K47)+$K$9*MAX(0,L48-K48)+$K$10*MAX(0,L49-K49)+$K$11*MAX(0,L50-K50)+$K$12*MAX(0,L51-K51)+$K$13*MAX(0,L52-K52)+$K$14*MAX(0,L53-K53)+$K$15*MAX(0,L54-K54)+$K$16*MAX(0,L55-K55)+$K$17*MAX(0,L56-K56)+$K$18*MAX(0,L57-K57)+$K$19*MAX(0,L58-K58)+$K$20*MAX(0,L59-K59)+$K$21*MAX(0,L60-K60)+$K$22*MAX(0,L61-K61)+$K$23*MAX(0,L62-K62)+$K$24*MAX(0,L63-K63)+$K$25*MAX(0,L64-K64)+$K$26*MAX(0,L65-K65)+$K$27*MAX(0,L66-K66)+$K$28*MAX(0,L67-K67)+$K$29*MAX(0,L68-K68)+$K$30*MAX(0,L69-K69)+$K$31*MAX(0,L70-K70)+$K$32*MAX(0,L71-K71)+$K$33*MAX(0,L72-K72)</f>
        <v>0</v>
      </c>
      <c r="M75" s="72" t="n">
        <f aca="false">$K$6*MAX(0,M45-L45)+$K$7*MAX(0,M46-L46)+$K$8*MAX(0,M47-L47)+$K$9*MAX(0,M48-L48)+$K$10*MAX(0,M49-L49)+$K$11*MAX(0,M50-L50)+$K$12*MAX(0,M51-L51)+$K$13*MAX(0,M52-L52)+$K$14*MAX(0,M53-L53)+$K$15*MAX(0,M54-L54)+$K$16*MAX(0,M55-L55)+$K$17*MAX(0,M56-L56)+$K$18*MAX(0,M57-L57)+$K$19*MAX(0,M58-L58)+$K$20*MAX(0,M59-L59)+$K$21*MAX(0,M60-L60)+$K$22*MAX(0,M61-L61)+$K$23*MAX(0,M62-L62)+$K$24*MAX(0,M63-L63)+$K$25*MAX(0,M64-L64)+$K$26*MAX(0,M65-L65)+$K$27*MAX(0,M66-L66)+$K$28*MAX(0,M67-L67)+$K$29*MAX(0,M68-L68)+$K$30*MAX(0,M69-L69)+$K$31*MAX(0,M70-L70)+$K$32*MAX(0,M71-L71)+$K$33*MAX(0,M72-L72)</f>
        <v>0</v>
      </c>
      <c r="N75" s="72" t="n">
        <f aca="false">$K$6*MAX(0,N45-M45)+$K$7*MAX(0,N46-M46)+$K$8*MAX(0,N47-M47)+$K$9*MAX(0,N48-M48)+$K$10*MAX(0,N49-M49)+$K$11*MAX(0,N50-M50)+$K$12*MAX(0,N51-M51)+$K$13*MAX(0,N52-M52)+$K$14*MAX(0,N53-M53)+$K$15*MAX(0,N54-M54)+$K$16*MAX(0,N55-M55)+$K$17*MAX(0,N56-M56)+$K$18*MAX(0,N57-M57)+$K$19*MAX(0,N58-M58)+$K$20*MAX(0,N59-M59)+$K$21*MAX(0,N60-M60)+$K$22*MAX(0,N61-M61)+$K$23*MAX(0,N62-M62)+$K$24*MAX(0,N63-M63)+$K$25*MAX(0,N64-M64)+$K$26*MAX(0,N65-M65)+$K$27*MAX(0,N66-M66)+$K$28*MAX(0,N67-M67)+$K$29*MAX(0,N68-M68)+$K$30*MAX(0,N69-M69)+$K$31*MAX(0,N70-M70)+$K$32*MAX(0,N71-M71)+$K$33*MAX(0,N72-M72)</f>
        <v>0</v>
      </c>
      <c r="O75" s="69" t="n">
        <f aca="false">SUM(P75:AA75)</f>
        <v>4</v>
      </c>
      <c r="P75" s="72" t="n">
        <f aca="false">$K$6*MAX(0,P45-N45)+$K$7*MAX(0,P46-N46)+$K$8*MAX(0,P47-N47)+$K$9*MAX(0,P48-N48)+$K$10*MAX(0,P49-N49)+$K$11*MAX(0,P50-N50)+$K$12*MAX(0,P51-N51)+$K$13*MAX(0,P52-N52)+$K$14*MAX(0,P53-N53)+$K$15*MAX(0,P54-N54)+$K$16*MAX(0,P55-N55)+$K$17*MAX(0,P56-N56)+$K$18*MAX(0,P57-N57)+$K$19*MAX(0,P58-N58)+$K$20*MAX(0,P59-N59)+$K$21*MAX(0,P60-N60)+$K$22*MAX(0,P61-N61)+$K$23*MAX(0,P62-N62)+$K$24*MAX(0,P63-N63)+$K$25*MAX(0,P64-N64)+$K$26*MAX(0,P65-N65)+$K$27*MAX(0,P66-N66)+$K$28*MAX(0,P67-N67)+$K$29*MAX(0,P68-N68)+$K$30*MAX(0,P69-N69)+$K$31*MAX(0,P70-N70)+$K$32*MAX(0,P71-N71)+$K$33*MAX(0,P72-N72)</f>
        <v>4</v>
      </c>
      <c r="Q75" s="72" t="n">
        <f aca="false">$K$6*MAX(0,Q45-P45)+$K$7*MAX(0,Q46-P46)+$K$8*MAX(0,Q47-P47)+$K$9*MAX(0,Q48-P48)+$K$10*MAX(0,Q49-P49)+$K$11*MAX(0,Q50-P50)+$K$12*MAX(0,Q51-P51)+$K$13*MAX(0,Q52-P52)+$K$14*MAX(0,Q53-P53)+$K$15*MAX(0,Q54-P54)+$K$16*MAX(0,Q55-P55)+$K$17*MAX(0,Q56-P56)+$K$18*MAX(0,Q57-P57)+$K$19*MAX(0,Q58-P58)+$K$20*MAX(0,Q59-P59)+$K$21*MAX(0,Q60-P60)+$K$22*MAX(0,Q61-P61)+$K$23*MAX(0,Q62-P62)+$K$24*MAX(0,Q63-P63)+$K$25*MAX(0,Q64-P64)+$K$26*MAX(0,Q65-P65)+$K$27*MAX(0,Q66-P66)+$K$28*MAX(0,Q67-P67)+$K$29*MAX(0,Q68-P68)+$K$30*MAX(0,Q69-P69)+$K$31*MAX(0,Q70-P70)+$K$32*MAX(0,Q71-P71)+$K$33*MAX(0,Q72-P72)</f>
        <v>0</v>
      </c>
      <c r="R75" s="72" t="n">
        <f aca="false">$K$6*MAX(0,R45-Q45)+$K$7*MAX(0,R46-Q46)+$K$8*MAX(0,R47-Q47)+$K$9*MAX(0,R48-Q48)+$K$10*MAX(0,R49-Q49)+$K$11*MAX(0,R50-Q50)+$K$12*MAX(0,R51-Q51)+$K$13*MAX(0,R52-Q52)+$K$14*MAX(0,R53-Q53)+$K$15*MAX(0,R54-Q54)+$K$16*MAX(0,R55-Q55)+$K$17*MAX(0,R56-Q56)+$K$18*MAX(0,R57-Q57)+$K$19*MAX(0,R58-Q58)+$K$20*MAX(0,R59-Q59)+$K$21*MAX(0,R60-Q60)+$K$22*MAX(0,R61-Q61)+$K$23*MAX(0,R62-Q62)+$K$24*MAX(0,R63-Q63)+$K$25*MAX(0,R64-Q64)+$K$26*MAX(0,R65-Q65)+$K$27*MAX(0,R66-Q66)+$K$28*MAX(0,R67-Q67)+$K$29*MAX(0,R68-Q68)+$K$30*MAX(0,R69-Q69)+$K$31*MAX(0,R70-Q70)+$K$32*MAX(0,R71-Q71)+$K$33*MAX(0,R72-Q72)</f>
        <v>0</v>
      </c>
      <c r="S75" s="72" t="n">
        <f aca="false">$K$6*MAX(0,S45-R45)+$K$7*MAX(0,S46-R46)+$K$8*MAX(0,S47-R47)+$K$9*MAX(0,S48-R48)+$K$10*MAX(0,S49-R49)+$K$11*MAX(0,S50-R50)+$K$12*MAX(0,S51-R51)+$K$13*MAX(0,S52-R52)+$K$14*MAX(0,S53-R53)+$K$15*MAX(0,S54-R54)+$K$16*MAX(0,S55-R55)+$K$17*MAX(0,S56-R56)+$K$18*MAX(0,S57-R57)+$K$19*MAX(0,S58-R58)+$K$20*MAX(0,S59-R59)+$K$21*MAX(0,S60-R60)+$K$22*MAX(0,S61-R61)+$K$23*MAX(0,S62-R62)+$K$24*MAX(0,S63-R63)+$K$25*MAX(0,S64-R64)+$K$26*MAX(0,S65-R65)+$K$27*MAX(0,S66-R66)+$K$28*MAX(0,S67-R67)+$K$29*MAX(0,S68-R68)+$K$30*MAX(0,S69-R69)+$K$31*MAX(0,S70-R70)+$K$32*MAX(0,S71-R71)+$K$33*MAX(0,S72-R72)</f>
        <v>0</v>
      </c>
      <c r="T75" s="72" t="n">
        <f aca="false">$K$6*MAX(0,T45-S45)+$K$7*MAX(0,T46-S46)+$K$8*MAX(0,T47-S47)+$K$9*MAX(0,T48-S48)+$K$10*MAX(0,T49-S49)+$K$11*MAX(0,T50-S50)+$K$12*MAX(0,T51-S51)+$K$13*MAX(0,T52-S52)+$K$14*MAX(0,T53-S53)+$K$15*MAX(0,T54-S54)+$K$16*MAX(0,T55-S55)+$K$17*MAX(0,T56-S56)+$K$18*MAX(0,T57-S57)+$K$19*MAX(0,T58-S58)+$K$20*MAX(0,T59-S59)+$K$21*MAX(0,T60-S60)+$K$22*MAX(0,T61-S61)+$K$23*MAX(0,T62-S62)+$K$24*MAX(0,T63-S63)+$K$25*MAX(0,T64-S64)+$K$26*MAX(0,T65-S65)+$K$27*MAX(0,T66-S66)+$K$28*MAX(0,T67-S67)+$K$29*MAX(0,T68-S68)+$K$30*MAX(0,T69-S69)+$K$31*MAX(0,T70-S70)+$K$32*MAX(0,T71-S71)+$K$33*MAX(0,T72-S72)</f>
        <v>0</v>
      </c>
      <c r="U75" s="72" t="n">
        <f aca="false">$K$6*MAX(0,U45-T45)+$K$7*MAX(0,U46-T46)+$K$8*MAX(0,U47-T47)+$K$9*MAX(0,U48-T48)+$K$10*MAX(0,U49-T49)+$K$11*MAX(0,U50-T50)+$K$12*MAX(0,U51-T51)+$K$13*MAX(0,U52-T52)+$K$14*MAX(0,U53-T53)+$K$15*MAX(0,U54-T54)+$K$16*MAX(0,U55-T55)+$K$17*MAX(0,U56-T56)+$K$18*MAX(0,U57-T57)+$K$19*MAX(0,U58-T58)+$K$20*MAX(0,U59-T59)+$K$21*MAX(0,U60-T60)+$K$22*MAX(0,U61-T61)+$K$23*MAX(0,U62-T62)+$K$24*MAX(0,U63-T63)+$K$25*MAX(0,U64-T64)+$K$26*MAX(0,U65-T65)+$K$27*MAX(0,U66-T66)+$K$28*MAX(0,U67-T67)+$K$29*MAX(0,U68-T68)+$K$30*MAX(0,U69-T69)+$K$31*MAX(0,U70-T70)+$K$32*MAX(0,U71-T71)+$K$33*MAX(0,U72-T72)</f>
        <v>0</v>
      </c>
      <c r="V75" s="72" t="n">
        <f aca="false">$K$6*MAX(0,V45-U45)+$K$7*MAX(0,V46-U46)+$K$8*MAX(0,V47-U47)+$K$9*MAX(0,V48-U48)+$K$10*MAX(0,V49-U49)+$K$11*MAX(0,V50-U50)+$K$12*MAX(0,V51-U51)+$K$13*MAX(0,V52-U52)+$K$14*MAX(0,V53-U53)+$K$15*MAX(0,V54-U54)+$K$16*MAX(0,V55-U55)+$K$17*MAX(0,V56-U56)+$K$18*MAX(0,V57-U57)+$K$19*MAX(0,V58-U58)+$K$20*MAX(0,V59-U59)+$K$21*MAX(0,V60-U60)+$K$22*MAX(0,V61-U61)+$K$23*MAX(0,V62-U62)+$K$24*MAX(0,V63-U63)+$K$25*MAX(0,V64-U64)+$K$26*MAX(0,V65-U65)+$K$27*MAX(0,V66-U66)+$K$28*MAX(0,V67-U67)+$K$29*MAX(0,V68-U68)+$K$30*MAX(0,V69-U69)+$K$31*MAX(0,V70-U70)+$K$32*MAX(0,V71-U71)+$K$33*MAX(0,V72-U72)</f>
        <v>0</v>
      </c>
      <c r="W75" s="72" t="n">
        <f aca="false">$K$6*MAX(0,W45-V45)+$K$7*MAX(0,W46-V46)+$K$8*MAX(0,W47-V47)+$K$9*MAX(0,W48-V48)+$K$10*MAX(0,W49-V49)+$K$11*MAX(0,W50-V50)+$K$12*MAX(0,W51-V51)+$K$13*MAX(0,W52-V52)+$K$14*MAX(0,W53-V53)+$K$15*MAX(0,W54-V54)+$K$16*MAX(0,W55-V55)+$K$17*MAX(0,W56-V56)+$K$18*MAX(0,W57-V57)+$K$19*MAX(0,W58-V58)+$K$20*MAX(0,W59-V59)+$K$21*MAX(0,W60-V60)+$K$22*MAX(0,W61-V61)+$K$23*MAX(0,W62-V62)+$K$24*MAX(0,W63-V63)+$K$25*MAX(0,W64-V64)+$K$26*MAX(0,W65-V65)+$K$27*MAX(0,W66-V66)+$K$28*MAX(0,W67-V67)+$K$29*MAX(0,W68-V68)+$K$30*MAX(0,W69-V69)+$K$31*MAX(0,W70-V70)+$K$32*MAX(0,W71-V71)+$K$33*MAX(0,W72-V72)</f>
        <v>0</v>
      </c>
      <c r="X75" s="72" t="n">
        <f aca="false">$K$6*MAX(0,X45-W45)+$K$7*MAX(0,X46-W46)+$K$8*MAX(0,X47-W47)+$K$9*MAX(0,X48-W48)+$K$10*MAX(0,X49-W49)+$K$11*MAX(0,X50-W50)+$K$12*MAX(0,X51-W51)+$K$13*MAX(0,X52-W52)+$K$14*MAX(0,X53-W53)+$K$15*MAX(0,X54-W54)+$K$16*MAX(0,X55-W55)+$K$17*MAX(0,X56-W56)+$K$18*MAX(0,X57-W57)+$K$19*MAX(0,X58-W58)+$K$20*MAX(0,X59-W59)+$K$21*MAX(0,X60-W60)+$K$22*MAX(0,X61-W61)+$K$23*MAX(0,X62-W62)+$K$24*MAX(0,X63-W63)+$K$25*MAX(0,X64-W64)+$K$26*MAX(0,X65-W65)+$K$27*MAX(0,X66-W66)+$K$28*MAX(0,X67-W67)+$K$29*MAX(0,X68-W68)+$K$30*MAX(0,X69-W69)+$K$31*MAX(0,X70-W70)+$K$32*MAX(0,X71-W71)+$K$33*MAX(0,X72-W72)</f>
        <v>0</v>
      </c>
      <c r="Y75" s="72" t="n">
        <f aca="false">$K$6*MAX(0,Y45-X45)+$K$7*MAX(0,Y46-X46)+$K$8*MAX(0,Y47-X47)+$K$9*MAX(0,Y48-X48)+$K$10*MAX(0,Y49-X49)+$K$11*MAX(0,Y50-X50)+$K$12*MAX(0,Y51-X51)+$K$13*MAX(0,Y52-X52)+$K$14*MAX(0,Y53-X53)+$K$15*MAX(0,Y54-X54)+$K$16*MAX(0,Y55-X55)+$K$17*MAX(0,Y56-X56)+$K$18*MAX(0,Y57-X57)+$K$19*MAX(0,Y58-X58)+$K$20*MAX(0,Y59-X59)+$K$21*MAX(0,Y60-X60)+$K$22*MAX(0,Y61-X61)+$K$23*MAX(0,Y62-X62)+$K$24*MAX(0,Y63-X63)+$K$25*MAX(0,Y64-X64)+$K$26*MAX(0,Y65-X65)+$K$27*MAX(0,Y66-X66)+$K$28*MAX(0,Y67-X67)+$K$29*MAX(0,Y68-X68)+$K$30*MAX(0,Y69-X69)+$K$31*MAX(0,Y70-X70)+$K$32*MAX(0,Y71-X71)+$K$33*MAX(0,Y72-X72)</f>
        <v>0</v>
      </c>
      <c r="Z75" s="72" t="n">
        <f aca="false">$K$6*MAX(0,Z45-Y45)+$K$7*MAX(0,Z46-Y46)+$K$8*MAX(0,Z47-Y47)+$K$9*MAX(0,Z48-Y48)+$K$10*MAX(0,Z49-Y49)+$K$11*MAX(0,Z50-Y50)+$K$12*MAX(0,Z51-Y51)+$K$13*MAX(0,Z52-Y52)+$K$14*MAX(0,Z53-Y53)+$K$15*MAX(0,Z54-Y54)+$K$16*MAX(0,Z55-Y55)+$K$17*MAX(0,Z56-Y56)+$K$18*MAX(0,Z57-Y57)+$K$19*MAX(0,Z58-Y58)+$K$20*MAX(0,Z59-Y59)+$K$21*MAX(0,Z60-Y60)+$K$22*MAX(0,Z61-Y61)+$K$23*MAX(0,Z62-Y62)+$K$24*MAX(0,Z63-Y63)+$K$25*MAX(0,Z64-Y64)+$K$26*MAX(0,Z65-Y65)+$K$27*MAX(0,Z66-Y66)+$K$28*MAX(0,Z67-Y67)+$K$29*MAX(0,Z68-Y68)+$K$30*MAX(0,Z69-Y69)+$K$31*MAX(0,Z70-Y70)+$K$32*MAX(0,Z71-Y71)+$K$33*MAX(0,Z72-Y72)</f>
        <v>0</v>
      </c>
      <c r="AA75" s="72" t="n">
        <f aca="false">$K$6*MAX(0,AA45-Z45)+$K$7*MAX(0,AA46-Z46)+$K$8*MAX(0,AA47-Z47)+$K$9*MAX(0,AA48-Z48)+$K$10*MAX(0,AA49-Z49)+$K$11*MAX(0,AA50-Z50)+$K$12*MAX(0,AA51-Z51)+$K$13*MAX(0,AA52-Z52)+$K$14*MAX(0,AA53-Z53)+$K$15*MAX(0,AA54-Z54)+$K$16*MAX(0,AA55-Z55)+$K$17*MAX(0,AA56-Z56)+$K$18*MAX(0,AA57-Z57)+$K$19*MAX(0,AA58-Z58)+$K$20*MAX(0,AA59-Z59)+$K$21*MAX(0,AA60-Z60)+$K$22*MAX(0,AA61-Z61)+$K$23*MAX(0,AA62-Z62)+$K$24*MAX(0,AA63-Z63)+$K$25*MAX(0,AA64-Z64)+$K$26*MAX(0,AA65-Z65)+$K$27*MAX(0,AA66-Z66)+$K$28*MAX(0,AA67-Z67)+$K$29*MAX(0,AA68-Z68)+$K$30*MAX(0,AA69-Z69)+$K$31*MAX(0,AA70-Z70)+$K$32*MAX(0,AA71-Z71)+$K$33*MAX(0,AA72-Z72)</f>
        <v>0</v>
      </c>
      <c r="AB75" s="69" t="n">
        <f aca="false">SUM(AC75:AN75)</f>
        <v>6</v>
      </c>
      <c r="AC75" s="72" t="n">
        <f aca="false">$K$6*MAX(0,AC45-AA45)+$K$7*MAX(0,AC46-AA46)+$K$8*MAX(0,AC47-AA47)+$K$9*MAX(0,AC48-AA48)+$K$10*MAX(0,AC49-AA49)+$K$11*MAX(0,AC50-AA50)+$K$12*MAX(0,AC51-AA51)+$K$13*MAX(0,AC52-AA52)+$K$14*MAX(0,AC53-AA53)+$K$15*MAX(0,AC54-AA54)+$K$16*MAX(0,AC55-AA55)+$K$17*MAX(0,AC56-AA56)+$K$18*MAX(0,AC57-AA57)+$K$19*MAX(0,AC58-AA58)+$K$20*MAX(0,AC59-AA59)+$K$21*MAX(0,AC60-AA60)+$K$22*MAX(0,AC61-AA61)+$K$23*MAX(0,AC62-AA62)+$K$24*MAX(0,AC63-AA63)+$K$25*MAX(0,AC64-AA64)+$K$26*MAX(0,AC65-AA65)+$K$27*MAX(0,AC66-AA66)+$K$28*MAX(0,AC67-AA67)+$K$29*MAX(0,AC68-AA68)+$K$30*MAX(0,AC69-AA69)+$K$31*MAX(0,AC70-AA70)+$K$32*MAX(0,AC71-AA71)+$K$33*MAX(0,AC72-AA72)</f>
        <v>6</v>
      </c>
      <c r="AD75" s="72" t="n">
        <f aca="false">$K$6*MAX(0,AD45-AC45)+$K$7*MAX(0,AD46-AC46)+$K$8*MAX(0,AD47-AC47)+$K$9*MAX(0,AD48-AC48)+$K$10*MAX(0,AD49-AC49)+$K$11*MAX(0,AD50-AC50)+$K$12*MAX(0,AD51-AC51)+$K$13*MAX(0,AD52-AC52)+$K$14*MAX(0,AD53-AC53)+$K$15*MAX(0,AD54-AC54)+$K$16*MAX(0,AD55-AC55)+$K$17*MAX(0,AD56-AC56)+$K$18*MAX(0,AD57-AC57)+$K$19*MAX(0,AD58-AC58)+$K$20*MAX(0,AD59-AC59)+$K$21*MAX(0,AD60-AC60)+$K$22*MAX(0,AD61-AC61)+$K$23*MAX(0,AD62-AC62)+$K$24*MAX(0,AD63-AC63)+$K$25*MAX(0,AD64-AC64)+$K$26*MAX(0,AD65-AC65)+$K$27*MAX(0,AD66-AC66)+$K$28*MAX(0,AD67-AC67)+$K$29*MAX(0,AD68-AC68)+$K$30*MAX(0,AD69-AC69)+$K$31*MAX(0,AD70-AC70)+$K$32*MAX(0,AD71-AC71)+$K$33*MAX(0,AD72-AC72)</f>
        <v>0</v>
      </c>
      <c r="AE75" s="72" t="n">
        <f aca="false">$K$6*MAX(0,AE45-AD45)+$K$7*MAX(0,AE46-AD46)+$K$8*MAX(0,AE47-AD47)+$K$9*MAX(0,AE48-AD48)+$K$10*MAX(0,AE49-AD49)+$K$11*MAX(0,AE50-AD50)+$K$12*MAX(0,AE51-AD51)+$K$13*MAX(0,AE52-AD52)+$K$14*MAX(0,AE53-AD53)+$K$15*MAX(0,AE54-AD54)+$K$16*MAX(0,AE55-AD55)+$K$17*MAX(0,AE56-AD56)+$K$18*MAX(0,AE57-AD57)+$K$19*MAX(0,AE58-AD58)+$K$20*MAX(0,AE59-AD59)+$K$21*MAX(0,AE60-AD60)+$K$22*MAX(0,AE61-AD61)+$K$23*MAX(0,AE62-AD62)+$K$24*MAX(0,AE63-AD63)+$K$25*MAX(0,AE64-AD64)+$K$26*MAX(0,AE65-AD65)+$K$27*MAX(0,AE66-AD66)+$K$28*MAX(0,AE67-AD67)+$K$29*MAX(0,AE68-AD68)+$K$30*MAX(0,AE69-AD69)+$K$31*MAX(0,AE70-AD70)+$K$32*MAX(0,AE71-AD71)+$K$33*MAX(0,AE72-AD72)</f>
        <v>0</v>
      </c>
      <c r="AF75" s="72" t="n">
        <f aca="false">$K$6*MAX(0,AF45-AE45)+$K$7*MAX(0,AF46-AE46)+$K$8*MAX(0,AF47-AE47)+$K$9*MAX(0,AF48-AE48)+$K$10*MAX(0,AF49-AE49)+$K$11*MAX(0,AF50-AE50)+$K$12*MAX(0,AF51-AE51)+$K$13*MAX(0,AF52-AE52)+$K$14*MAX(0,AF53-AE53)+$K$15*MAX(0,AF54-AE54)+$K$16*MAX(0,AF55-AE55)+$K$17*MAX(0,AF56-AE56)+$K$18*MAX(0,AF57-AE57)+$K$19*MAX(0,AF58-AE58)+$K$20*MAX(0,AF59-AE59)+$K$21*MAX(0,AF60-AE60)+$K$22*MAX(0,AF61-AE61)+$K$23*MAX(0,AF62-AE62)+$K$24*MAX(0,AF63-AE63)+$K$25*MAX(0,AF64-AE64)+$K$26*MAX(0,AF65-AE65)+$K$27*MAX(0,AF66-AE66)+$K$28*MAX(0,AF67-AE67)+$K$29*MAX(0,AF68-AE68)+$K$30*MAX(0,AF69-AE69)+$K$31*MAX(0,AF70-AE70)+$K$32*MAX(0,AF71-AE71)+$K$33*MAX(0,AF72-AE72)</f>
        <v>0</v>
      </c>
      <c r="AG75" s="72" t="n">
        <f aca="false">$K$6*MAX(0,AG45-AF45)+$K$7*MAX(0,AG46-AF46)+$K$8*MAX(0,AG47-AF47)+$K$9*MAX(0,AG48-AF48)+$K$10*MAX(0,AG49-AF49)+$K$11*MAX(0,AG50-AF50)+$K$12*MAX(0,AG51-AF51)+$K$13*MAX(0,AG52-AF52)+$K$14*MAX(0,AG53-AF53)+$K$15*MAX(0,AG54-AF54)+$K$16*MAX(0,AG55-AF55)+$K$17*MAX(0,AG56-AF56)+$K$18*MAX(0,AG57-AF57)+$K$19*MAX(0,AG58-AF58)+$K$20*MAX(0,AG59-AF59)+$K$21*MAX(0,AG60-AF60)+$K$22*MAX(0,AG61-AF61)+$K$23*MAX(0,AG62-AF62)+$K$24*MAX(0,AG63-AF63)+$K$25*MAX(0,AG64-AF64)+$K$26*MAX(0,AG65-AF65)+$K$27*MAX(0,AG66-AF66)+$K$28*MAX(0,AG67-AF67)+$K$29*MAX(0,AG68-AF68)+$K$30*MAX(0,AG69-AF69)+$K$31*MAX(0,AG70-AF70)+$K$32*MAX(0,AG71-AF71)+$K$33*MAX(0,AG72-AF72)</f>
        <v>0</v>
      </c>
      <c r="AH75" s="72" t="n">
        <f aca="false">$K$6*MAX(0,AH45-AG45)+$K$7*MAX(0,AH46-AG46)+$K$8*MAX(0,AH47-AG47)+$K$9*MAX(0,AH48-AG48)+$K$10*MAX(0,AH49-AG49)+$K$11*MAX(0,AH50-AG50)+$K$12*MAX(0,AH51-AG51)+$K$13*MAX(0,AH52-AG52)+$K$14*MAX(0,AH53-AG53)+$K$15*MAX(0,AH54-AG54)+$K$16*MAX(0,AH55-AG55)+$K$17*MAX(0,AH56-AG56)+$K$18*MAX(0,AH57-AG57)+$K$19*MAX(0,AH58-AG58)+$K$20*MAX(0,AH59-AG59)+$K$21*MAX(0,AH60-AG60)+$K$22*MAX(0,AH61-AG61)+$K$23*MAX(0,AH62-AG62)+$K$24*MAX(0,AH63-AG63)+$K$25*MAX(0,AH64-AG64)+$K$26*MAX(0,AH65-AG65)+$K$27*MAX(0,AH66-AG66)+$K$28*MAX(0,AH67-AG67)+$K$29*MAX(0,AH68-AG68)+$K$30*MAX(0,AH69-AG69)+$K$31*MAX(0,AH70-AG70)+$K$32*MAX(0,AH71-AG71)+$K$33*MAX(0,AH72-AG72)</f>
        <v>0</v>
      </c>
      <c r="AI75" s="72" t="n">
        <f aca="false">$K$6*MAX(0,AI45-AH45)+$K$7*MAX(0,AI46-AH46)+$K$8*MAX(0,AI47-AH47)+$K$9*MAX(0,AI48-AH48)+$K$10*MAX(0,AI49-AH49)+$K$11*MAX(0,AI50-AH50)+$K$12*MAX(0,AI51-AH51)+$K$13*MAX(0,AI52-AH52)+$K$14*MAX(0,AI53-AH53)+$K$15*MAX(0,AI54-AH54)+$K$16*MAX(0,AI55-AH55)+$K$17*MAX(0,AI56-AH56)+$K$18*MAX(0,AI57-AH57)+$K$19*MAX(0,AI58-AH58)+$K$20*MAX(0,AI59-AH59)+$K$21*MAX(0,AI60-AH60)+$K$22*MAX(0,AI61-AH61)+$K$23*MAX(0,AI62-AH62)+$K$24*MAX(0,AI63-AH63)+$K$25*MAX(0,AI64-AH64)+$K$26*MAX(0,AI65-AH65)+$K$27*MAX(0,AI66-AH66)+$K$28*MAX(0,AI67-AH67)+$K$29*MAX(0,AI68-AH68)+$K$30*MAX(0,AI69-AH69)+$K$31*MAX(0,AI70-AH70)+$K$32*MAX(0,AI71-AH71)+$K$33*MAX(0,AI72-AH72)</f>
        <v>0</v>
      </c>
      <c r="AJ75" s="72" t="n">
        <f aca="false">$K$6*MAX(0,AJ45-AI45)+$K$7*MAX(0,AJ46-AI46)+$K$8*MAX(0,AJ47-AI47)+$K$9*MAX(0,AJ48-AI48)+$K$10*MAX(0,AJ49-AI49)+$K$11*MAX(0,AJ50-AI50)+$K$12*MAX(0,AJ51-AI51)+$K$13*MAX(0,AJ52-AI52)+$K$14*MAX(0,AJ53-AI53)+$K$15*MAX(0,AJ54-AI54)+$K$16*MAX(0,AJ55-AI55)+$K$17*MAX(0,AJ56-AI56)+$K$18*MAX(0,AJ57-AI57)+$K$19*MAX(0,AJ58-AI58)+$K$20*MAX(0,AJ59-AI59)+$K$21*MAX(0,AJ60-AI60)+$K$22*MAX(0,AJ61-AI61)+$K$23*MAX(0,AJ62-AI62)+$K$24*MAX(0,AJ63-AI63)+$K$25*MAX(0,AJ64-AI64)+$K$26*MAX(0,AJ65-AI65)+$K$27*MAX(0,AJ66-AI66)+$K$28*MAX(0,AJ67-AI67)+$K$29*MAX(0,AJ68-AI68)+$K$30*MAX(0,AJ69-AI69)+$K$31*MAX(0,AJ70-AI70)+$K$32*MAX(0,AJ71-AI71)+$K$33*MAX(0,AJ72-AI72)</f>
        <v>0</v>
      </c>
      <c r="AK75" s="72" t="n">
        <f aca="false">$K$6*MAX(0,AK45-AJ45)+$K$7*MAX(0,AK46-AJ46)+$K$8*MAX(0,AK47-AJ47)+$K$9*MAX(0,AK48-AJ48)+$K$10*MAX(0,AK49-AJ49)+$K$11*MAX(0,AK50-AJ50)+$K$12*MAX(0,AK51-AJ51)+$K$13*MAX(0,AK52-AJ52)+$K$14*MAX(0,AK53-AJ53)+$K$15*MAX(0,AK54-AJ54)+$K$16*MAX(0,AK55-AJ55)+$K$17*MAX(0,AK56-AJ56)+$K$18*MAX(0,AK57-AJ57)+$K$19*MAX(0,AK58-AJ58)+$K$20*MAX(0,AK59-AJ59)+$K$21*MAX(0,AK60-AJ60)+$K$22*MAX(0,AK61-AJ61)+$K$23*MAX(0,AK62-AJ62)+$K$24*MAX(0,AK63-AJ63)+$K$25*MAX(0,AK64-AJ64)+$K$26*MAX(0,AK65-AJ65)+$K$27*MAX(0,AK66-AJ66)+$K$28*MAX(0,AK67-AJ67)+$K$29*MAX(0,AK68-AJ68)+$K$30*MAX(0,AK69-AJ69)+$K$31*MAX(0,AK70-AJ70)+$K$32*MAX(0,AK71-AJ71)+$K$33*MAX(0,AK72-AJ72)</f>
        <v>0</v>
      </c>
      <c r="AL75" s="72" t="n">
        <f aca="false">$K$6*MAX(0,AL45-AK45)+$K$7*MAX(0,AL46-AK46)+$K$8*MAX(0,AL47-AK47)+$K$9*MAX(0,AL48-AK48)+$K$10*MAX(0,AL49-AK49)+$K$11*MAX(0,AL50-AK50)+$K$12*MAX(0,AL51-AK51)+$K$13*MAX(0,AL52-AK52)+$K$14*MAX(0,AL53-AK53)+$K$15*MAX(0,AL54-AK54)+$K$16*MAX(0,AL55-AK55)+$K$17*MAX(0,AL56-AK56)+$K$18*MAX(0,AL57-AK57)+$K$19*MAX(0,AL58-AK58)+$K$20*MAX(0,AL59-AK59)+$K$21*MAX(0,AL60-AK60)+$K$22*MAX(0,AL61-AK61)+$K$23*MAX(0,AL62-AK62)+$K$24*MAX(0,AL63-AK63)+$K$25*MAX(0,AL64-AK64)+$K$26*MAX(0,AL65-AK65)+$K$27*MAX(0,AL66-AK66)+$K$28*MAX(0,AL67-AK67)+$K$29*MAX(0,AL68-AK68)+$K$30*MAX(0,AL69-AK69)+$K$31*MAX(0,AL70-AK70)+$K$32*MAX(0,AL71-AK71)+$K$33*MAX(0,AL72-AK72)</f>
        <v>0</v>
      </c>
      <c r="AM75" s="72" t="n">
        <f aca="false">$K$6*MAX(0,AM45-AL45)+$K$7*MAX(0,AM46-AL46)+$K$8*MAX(0,AM47-AL47)+$K$9*MAX(0,AM48-AL48)+$K$10*MAX(0,AM49-AL49)+$K$11*MAX(0,AM50-AL50)+$K$12*MAX(0,AM51-AL51)+$K$13*MAX(0,AM52-AL52)+$K$14*MAX(0,AM53-AL53)+$K$15*MAX(0,AM54-AL54)+$K$16*MAX(0,AM55-AL55)+$K$17*MAX(0,AM56-AL56)+$K$18*MAX(0,AM57-AL57)+$K$19*MAX(0,AM58-AL58)+$K$20*MAX(0,AM59-AL59)+$K$21*MAX(0,AM60-AL60)+$K$22*MAX(0,AM61-AL61)+$K$23*MAX(0,AM62-AL62)+$K$24*MAX(0,AM63-AL63)+$K$25*MAX(0,AM64-AL64)+$K$26*MAX(0,AM65-AL65)+$K$27*MAX(0,AM66-AL66)+$K$28*MAX(0,AM67-AL67)+$K$29*MAX(0,AM68-AL68)+$K$30*MAX(0,AM69-AL69)+$K$31*MAX(0,AM70-AL70)+$K$32*MAX(0,AM71-AL71)+$K$33*MAX(0,AM72-AL72)</f>
        <v>0</v>
      </c>
      <c r="AN75" s="72" t="n">
        <f aca="false">$K$6*MAX(0,AN45-AM45)+$K$7*MAX(0,AN46-AM46)+$K$8*MAX(0,AN47-AM47)+$K$9*MAX(0,AN48-AM48)+$K$10*MAX(0,AN49-AM49)+$K$11*MAX(0,AN50-AM50)+$K$12*MAX(0,AN51-AM51)+$K$13*MAX(0,AN52-AM52)+$K$14*MAX(0,AN53-AM53)+$K$15*MAX(0,AN54-AM54)+$K$16*MAX(0,AN55-AM55)+$K$17*MAX(0,AN56-AM56)+$K$18*MAX(0,AN57-AM57)+$K$19*MAX(0,AN58-AM58)+$K$20*MAX(0,AN59-AM59)+$K$21*MAX(0,AN60-AM60)+$K$22*MAX(0,AN61-AM61)+$K$23*MAX(0,AN62-AM62)+$K$24*MAX(0,AN63-AM63)+$K$25*MAX(0,AN64-AM64)+$K$26*MAX(0,AN65-AM65)+$K$27*MAX(0,AN66-AM66)+$K$28*MAX(0,AN67-AM67)+$K$29*MAX(0,AN68-AM68)+$K$30*MAX(0,AN69-AM69)+$K$31*MAX(0,AN70-AM70)+$K$32*MAX(0,AN71-AM71)+$K$33*MAX(0,AN72-AM72)</f>
        <v>0</v>
      </c>
      <c r="AO75" s="69" t="n">
        <f aca="false">SUM(AP75:BA75)</f>
        <v>5</v>
      </c>
      <c r="AP75" s="72" t="n">
        <f aca="false">$K$6*MAX(0,AP45-AN45)+$K$7*MAX(0,AP46-AN46)+$K$8*MAX(0,AP47-AN47)+$K$9*MAX(0,AP48-AN48)+$K$10*MAX(0,AP49-AN49)+$K$11*MAX(0,AP50-AN50)+$K$12*MAX(0,AP51-AN51)+$K$13*MAX(0,AP52-AN52)+$K$14*MAX(0,AP53-AN53)+$K$15*MAX(0,AP54-AN54)+$K$16*MAX(0,AP55-AN55)+$K$17*MAX(0,AP56-AN56)+$K$18*MAX(0,AP57-AN57)+$K$19*MAX(0,AP58-AN58)+$K$20*MAX(0,AP59-AN59)+$K$21*MAX(0,AP60-AN60)+$K$22*MAX(0,AP61-AN61)+$K$23*MAX(0,AP62-AN62)+$K$24*MAX(0,AP63-AN63)+$K$25*MAX(0,AP64-AN64)+$K$26*MAX(0,AP65-AN65)+$K$27*MAX(0,AP66-AN66)+$K$28*MAX(0,AP67-AN67)+$K$29*MAX(0,AP68-AN68)+$K$30*MAX(0,AP69-AN69)+$K$31*MAX(0,AP70-AN70)+$K$32*MAX(0,AP71-AN71)+$K$33*MAX(0,AP72-AN72)</f>
        <v>5</v>
      </c>
      <c r="AQ75" s="72" t="n">
        <f aca="false">$K$6*MAX(0,AQ45-AP45)+$K$7*MAX(0,AQ46-AP46)+$K$8*MAX(0,AQ47-AP47)+$K$9*MAX(0,AQ48-AP48)+$K$10*MAX(0,AQ49-AP49)+$K$11*MAX(0,AQ50-AP50)+$K$12*MAX(0,AQ51-AP51)+$K$13*MAX(0,AQ52-AP52)+$K$14*MAX(0,AQ53-AP53)+$K$15*MAX(0,AQ54-AP54)+$K$16*MAX(0,AQ55-AP55)+$K$17*MAX(0,AQ56-AP56)+$K$18*MAX(0,AQ57-AP57)+$K$19*MAX(0,AQ58-AP58)+$K$20*MAX(0,AQ59-AP59)+$K$21*MAX(0,AQ60-AP60)+$K$22*MAX(0,AQ61-AP61)+$K$23*MAX(0,AQ62-AP62)+$K$24*MAX(0,AQ63-AP63)+$K$25*MAX(0,AQ64-AP64)+$K$26*MAX(0,AQ65-AP65)+$K$27*MAX(0,AQ66-AP66)+$K$28*MAX(0,AQ67-AP67)+$K$29*MAX(0,AQ68-AP68)+$K$30*MAX(0,AQ69-AP69)+$K$31*MAX(0,AQ70-AP70)+$K$32*MAX(0,AQ71-AP71)+$K$33*MAX(0,AQ72-AP72)</f>
        <v>0</v>
      </c>
      <c r="AR75" s="72" t="n">
        <f aca="false">$K$6*MAX(0,AR45-AQ45)+$K$7*MAX(0,AR46-AQ46)+$K$8*MAX(0,AR47-AQ47)+$K$9*MAX(0,AR48-AQ48)+$K$10*MAX(0,AR49-AQ49)+$K$11*MAX(0,AR50-AQ50)+$K$12*MAX(0,AR51-AQ51)+$K$13*MAX(0,AR52-AQ52)+$K$14*MAX(0,AR53-AQ53)+$K$15*MAX(0,AR54-AQ54)+$K$16*MAX(0,AR55-AQ55)+$K$17*MAX(0,AR56-AQ56)+$K$18*MAX(0,AR57-AQ57)+$K$19*MAX(0,AR58-AQ58)+$K$20*MAX(0,AR59-AQ59)+$K$21*MAX(0,AR60-AQ60)+$K$22*MAX(0,AR61-AQ61)+$K$23*MAX(0,AR62-AQ62)+$K$24*MAX(0,AR63-AQ63)+$K$25*MAX(0,AR64-AQ64)+$K$26*MAX(0,AR65-AQ65)+$K$27*MAX(0,AR66-AQ66)+$K$28*MAX(0,AR67-AQ67)+$K$29*MAX(0,AR68-AQ68)+$K$30*MAX(0,AR69-AQ69)+$K$31*MAX(0,AR70-AQ70)+$K$32*MAX(0,AR71-AQ71)+$K$33*MAX(0,AR72-AQ72)</f>
        <v>0</v>
      </c>
      <c r="AS75" s="72" t="n">
        <f aca="false">$K$6*MAX(0,AS45-AR45)+$K$7*MAX(0,AS46-AR46)+$K$8*MAX(0,AS47-AR47)+$K$9*MAX(0,AS48-AR48)+$K$10*MAX(0,AS49-AR49)+$K$11*MAX(0,AS50-AR50)+$K$12*MAX(0,AS51-AR51)+$K$13*MAX(0,AS52-AR52)+$K$14*MAX(0,AS53-AR53)+$K$15*MAX(0,AS54-AR54)+$K$16*MAX(0,AS55-AR55)+$K$17*MAX(0,AS56-AR56)+$K$18*MAX(0,AS57-AR57)+$K$19*MAX(0,AS58-AR58)+$K$20*MAX(0,AS59-AR59)+$K$21*MAX(0,AS60-AR60)+$K$22*MAX(0,AS61-AR61)+$K$23*MAX(0,AS62-AR62)+$K$24*MAX(0,AS63-AR63)+$K$25*MAX(0,AS64-AR64)+$K$26*MAX(0,AS65-AR65)+$K$27*MAX(0,AS66-AR66)+$K$28*MAX(0,AS67-AR67)+$K$29*MAX(0,AS68-AR68)+$K$30*MAX(0,AS69-AR69)+$K$31*MAX(0,AS70-AR70)+$K$32*MAX(0,AS71-AR71)+$K$33*MAX(0,AS72-AR72)</f>
        <v>0</v>
      </c>
      <c r="AT75" s="72" t="n">
        <f aca="false">$K$6*MAX(0,AT45-AS45)+$K$7*MAX(0,AT46-AS46)+$K$8*MAX(0,AT47-AS47)+$K$9*MAX(0,AT48-AS48)+$K$10*MAX(0,AT49-AS49)+$K$11*MAX(0,AT50-AS50)+$K$12*MAX(0,AT51-AS51)+$K$13*MAX(0,AT52-AS52)+$K$14*MAX(0,AT53-AS53)+$K$15*MAX(0,AT54-AS54)+$K$16*MAX(0,AT55-AS55)+$K$17*MAX(0,AT56-AS56)+$K$18*MAX(0,AT57-AS57)+$K$19*MAX(0,AT58-AS58)+$K$20*MAX(0,AT59-AS59)+$K$21*MAX(0,AT60-AS60)+$K$22*MAX(0,AT61-AS61)+$K$23*MAX(0,AT62-AS62)+$K$24*MAX(0,AT63-AS63)+$K$25*MAX(0,AT64-AS64)+$K$26*MAX(0,AT65-AS65)+$K$27*MAX(0,AT66-AS66)+$K$28*MAX(0,AT67-AS67)+$K$29*MAX(0,AT68-AS68)+$K$30*MAX(0,AT69-AS69)+$K$31*MAX(0,AT70-AS70)+$K$32*MAX(0,AT71-AS71)+$K$33*MAX(0,AT72-AS72)</f>
        <v>0</v>
      </c>
      <c r="AU75" s="72" t="n">
        <f aca="false">$K$6*MAX(0,AU45-AT45)+$K$7*MAX(0,AU46-AT46)+$K$8*MAX(0,AU47-AT47)+$K$9*MAX(0,AU48-AT48)+$K$10*MAX(0,AU49-AT49)+$K$11*MAX(0,AU50-AT50)+$K$12*MAX(0,AU51-AT51)+$K$13*MAX(0,AU52-AT52)+$K$14*MAX(0,AU53-AT53)+$K$15*MAX(0,AU54-AT54)+$K$16*MAX(0,AU55-AT55)+$K$17*MAX(0,AU56-AT56)+$K$18*MAX(0,AU57-AT57)+$K$19*MAX(0,AU58-AT58)+$K$20*MAX(0,AU59-AT59)+$K$21*MAX(0,AU60-AT60)+$K$22*MAX(0,AU61-AT61)+$K$23*MAX(0,AU62-AT62)+$K$24*MAX(0,AU63-AT63)+$K$25*MAX(0,AU64-AT64)+$K$26*MAX(0,AU65-AT65)+$K$27*MAX(0,AU66-AT66)+$K$28*MAX(0,AU67-AT67)+$K$29*MAX(0,AU68-AT68)+$K$30*MAX(0,AU69-AT69)+$K$31*MAX(0,AU70-AT70)+$K$32*MAX(0,AU71-AT71)+$K$33*MAX(0,AU72-AT72)</f>
        <v>0</v>
      </c>
      <c r="AV75" s="72" t="n">
        <f aca="false">$K$6*MAX(0,AV45-AU45)+$K$7*MAX(0,AV46-AU46)+$K$8*MAX(0,AV47-AU47)+$K$9*MAX(0,AV48-AU48)+$K$10*MAX(0,AV49-AU49)+$K$11*MAX(0,AV50-AU50)+$K$12*MAX(0,AV51-AU51)+$K$13*MAX(0,AV52-AU52)+$K$14*MAX(0,AV53-AU53)+$K$15*MAX(0,AV54-AU54)+$K$16*MAX(0,AV55-AU55)+$K$17*MAX(0,AV56-AU56)+$K$18*MAX(0,AV57-AU57)+$K$19*MAX(0,AV58-AU58)+$K$20*MAX(0,AV59-AU59)+$K$21*MAX(0,AV60-AU60)+$K$22*MAX(0,AV61-AU61)+$K$23*MAX(0,AV62-AU62)+$K$24*MAX(0,AV63-AU63)+$K$25*MAX(0,AV64-AU64)+$K$26*MAX(0,AV65-AU65)+$K$27*MAX(0,AV66-AU66)+$K$28*MAX(0,AV67-AU67)+$K$29*MAX(0,AV68-AU68)+$K$30*MAX(0,AV69-AU69)+$K$31*MAX(0,AV70-AU70)+$K$32*MAX(0,AV71-AU71)+$K$33*MAX(0,AV72-AU72)</f>
        <v>0</v>
      </c>
      <c r="AW75" s="72" t="n">
        <f aca="false">$K$6*MAX(0,AW45-AV45)+$K$7*MAX(0,AW46-AV46)+$K$8*MAX(0,AW47-AV47)+$K$9*MAX(0,AW48-AV48)+$K$10*MAX(0,AW49-AV49)+$K$11*MAX(0,AW50-AV50)+$K$12*MAX(0,AW51-AV51)+$K$13*MAX(0,AW52-AV52)+$K$14*MAX(0,AW53-AV53)+$K$15*MAX(0,AW54-AV54)+$K$16*MAX(0,AW55-AV55)+$K$17*MAX(0,AW56-AV56)+$K$18*MAX(0,AW57-AV57)+$K$19*MAX(0,AW58-AV58)+$K$20*MAX(0,AW59-AV59)+$K$21*MAX(0,AW60-AV60)+$K$22*MAX(0,AW61-AV61)+$K$23*MAX(0,AW62-AV62)+$K$24*MAX(0,AW63-AV63)+$K$25*MAX(0,AW64-AV64)+$K$26*MAX(0,AW65-AV65)+$K$27*MAX(0,AW66-AV66)+$K$28*MAX(0,AW67-AV67)+$K$29*MAX(0,AW68-AV68)+$K$30*MAX(0,AW69-AV69)+$K$31*MAX(0,AW70-AV70)+$K$32*MAX(0,AW71-AV71)+$K$33*MAX(0,AW72-AV72)</f>
        <v>0</v>
      </c>
      <c r="AX75" s="72" t="n">
        <f aca="false">$K$6*MAX(0,AX45-AW45)+$K$7*MAX(0,AX46-AW46)+$K$8*MAX(0,AX47-AW47)+$K$9*MAX(0,AX48-AW48)+$K$10*MAX(0,AX49-AW49)+$K$11*MAX(0,AX50-AW50)+$K$12*MAX(0,AX51-AW51)+$K$13*MAX(0,AX52-AW52)+$K$14*MAX(0,AX53-AW53)+$K$15*MAX(0,AX54-AW54)+$K$16*MAX(0,AX55-AW55)+$K$17*MAX(0,AX56-AW56)+$K$18*MAX(0,AX57-AW57)+$K$19*MAX(0,AX58-AW58)+$K$20*MAX(0,AX59-AW59)+$K$21*MAX(0,AX60-AW60)+$K$22*MAX(0,AX61-AW61)+$K$23*MAX(0,AX62-AW62)+$K$24*MAX(0,AX63-AW63)+$K$25*MAX(0,AX64-AW64)+$K$26*MAX(0,AX65-AW65)+$K$27*MAX(0,AX66-AW66)+$K$28*MAX(0,AX67-AW67)+$K$29*MAX(0,AX68-AW68)+$K$30*MAX(0,AX69-AW69)+$K$31*MAX(0,AX70-AW70)+$K$32*MAX(0,AX71-AW71)+$K$33*MAX(0,AX72-AW72)</f>
        <v>0</v>
      </c>
      <c r="AY75" s="72" t="n">
        <f aca="false">$K$6*MAX(0,AY45-AX45)+$K$7*MAX(0,AY46-AX46)+$K$8*MAX(0,AY47-AX47)+$K$9*MAX(0,AY48-AX48)+$K$10*MAX(0,AY49-AX49)+$K$11*MAX(0,AY50-AX50)+$K$12*MAX(0,AY51-AX51)+$K$13*MAX(0,AY52-AX52)+$K$14*MAX(0,AY53-AX53)+$K$15*MAX(0,AY54-AX54)+$K$16*MAX(0,AY55-AX55)+$K$17*MAX(0,AY56-AX56)+$K$18*MAX(0,AY57-AX57)+$K$19*MAX(0,AY58-AX58)+$K$20*MAX(0,AY59-AX59)+$K$21*MAX(0,AY60-AX60)+$K$22*MAX(0,AY61-AX61)+$K$23*MAX(0,AY62-AX62)+$K$24*MAX(0,AY63-AX63)+$K$25*MAX(0,AY64-AX64)+$K$26*MAX(0,AY65-AX65)+$K$27*MAX(0,AY66-AX66)+$K$28*MAX(0,AY67-AX67)+$K$29*MAX(0,AY68-AX68)+$K$30*MAX(0,AY69-AX69)+$K$31*MAX(0,AY70-AX70)+$K$32*MAX(0,AY71-AX71)+$K$33*MAX(0,AY72-AX72)</f>
        <v>0</v>
      </c>
      <c r="AZ75" s="72" t="n">
        <f aca="false">$K$6*MAX(0,AZ45-AY45)+$K$7*MAX(0,AZ46-AY46)+$K$8*MAX(0,AZ47-AY47)+$K$9*MAX(0,AZ48-AY48)+$K$10*MAX(0,AZ49-AY49)+$K$11*MAX(0,AZ50-AY50)+$K$12*MAX(0,AZ51-AY51)+$K$13*MAX(0,AZ52-AY52)+$K$14*MAX(0,AZ53-AY53)+$K$15*MAX(0,AZ54-AY54)+$K$16*MAX(0,AZ55-AY55)+$K$17*MAX(0,AZ56-AY56)+$K$18*MAX(0,AZ57-AY57)+$K$19*MAX(0,AZ58-AY58)+$K$20*MAX(0,AZ59-AY59)+$K$21*MAX(0,AZ60-AY60)+$K$22*MAX(0,AZ61-AY61)+$K$23*MAX(0,AZ62-AY62)+$K$24*MAX(0,AZ63-AY63)+$K$25*MAX(0,AZ64-AY64)+$K$26*MAX(0,AZ65-AY65)+$K$27*MAX(0,AZ66-AY66)+$K$28*MAX(0,AZ67-AY67)+$K$29*MAX(0,AZ68-AY68)+$K$30*MAX(0,AZ69-AY69)+$K$31*MAX(0,AZ70-AY70)+$K$32*MAX(0,AZ71-AY71)+$K$33*MAX(0,AZ72-AY72)</f>
        <v>0</v>
      </c>
      <c r="BA75" s="72" t="n">
        <f aca="false">$K$6*MAX(0,BA45-AZ45)+$K$7*MAX(0,BA46-AZ46)+$K$8*MAX(0,BA47-AZ47)+$K$9*MAX(0,BA48-AZ48)+$K$10*MAX(0,BA49-AZ49)+$K$11*MAX(0,BA50-AZ50)+$K$12*MAX(0,BA51-AZ51)+$K$13*MAX(0,BA52-AZ52)+$K$14*MAX(0,BA53-AZ53)+$K$15*MAX(0,BA54-AZ54)+$K$16*MAX(0,BA55-AZ55)+$K$17*MAX(0,BA56-AZ56)+$K$18*MAX(0,BA57-AZ57)+$K$19*MAX(0,BA58-AZ58)+$K$20*MAX(0,BA59-AZ59)+$K$21*MAX(0,BA60-AZ60)+$K$22*MAX(0,BA61-AZ61)+$K$23*MAX(0,BA62-AZ62)+$K$24*MAX(0,BA63-AZ63)+$K$25*MAX(0,BA64-AZ64)+$K$26*MAX(0,BA65-AZ65)+$K$27*MAX(0,BA66-AZ66)+$K$28*MAX(0,BA67-AZ67)+$K$29*MAX(0,BA68-AZ68)+$K$30*MAX(0,BA69-AZ69)+$K$31*MAX(0,BA70-AZ70)+$K$32*MAX(0,BA71-AZ71)+$K$33*MAX(0,BA72-AZ72)</f>
        <v>0</v>
      </c>
      <c r="BB75" s="69" t="n">
        <f aca="false">SUM(BC75:BN75)</f>
        <v>7</v>
      </c>
      <c r="BC75" s="72" t="n">
        <f aca="false">$K$6*MAX(0,BC45-BA45)+$K$7*MAX(0,BC46-BA46)+$K$8*MAX(0,BC47-BA47)+$K$9*MAX(0,BC48-BA48)+$K$10*MAX(0,BC49-BA49)+$K$11*MAX(0,BC50-BA50)+$K$12*MAX(0,BC51-BA51)+$K$13*MAX(0,BC52-BA52)+$K$14*MAX(0,BC53-BA53)+$K$15*MAX(0,BC54-BA54)+$K$16*MAX(0,BC55-BA55)+$K$17*MAX(0,BC56-BA56)+$K$18*MAX(0,BC57-BA57)+$K$19*MAX(0,BC58-BA58)+$K$20*MAX(0,BC59-BA59)+$K$21*MAX(0,BC60-BA60)+$K$22*MAX(0,BC61-BA61)+$K$23*MAX(0,BC62-BA62)+$K$24*MAX(0,BC63-BA63)+$K$25*MAX(0,BC64-BA64)+$K$26*MAX(0,BC65-BA65)+$K$27*MAX(0,BC66-BA66)+$K$28*MAX(0,BC67-BA67)+$K$29*MAX(0,BC68-BA68)+$K$30*MAX(0,BC69-BA69)+$K$31*MAX(0,BC70-BA70)+$K$32*MAX(0,BC71-BA71)+$K$33*MAX(0,BC72-BA72)</f>
        <v>7</v>
      </c>
      <c r="BD75" s="72" t="n">
        <f aca="false">$K$6*MAX(0,BD45-BC45)+$K$7*MAX(0,BD46-BC46)+$K$8*MAX(0,BD47-BC47)+$K$9*MAX(0,BD48-BC48)+$K$10*MAX(0,BD49-BC49)+$K$11*MAX(0,BD50-BC50)+$K$12*MAX(0,BD51-BC51)+$K$13*MAX(0,BD52-BC52)+$K$14*MAX(0,BD53-BC53)+$K$15*MAX(0,BD54-BC54)+$K$16*MAX(0,BD55-BC55)+$K$17*MAX(0,BD56-BC56)+$K$18*MAX(0,BD57-BC57)+$K$19*MAX(0,BD58-BC58)+$K$20*MAX(0,BD59-BC59)+$K$21*MAX(0,BD60-BC60)+$K$22*MAX(0,BD61-BC61)+$K$23*MAX(0,BD62-BC62)+$K$24*MAX(0,BD63-BC63)+$K$25*MAX(0,BD64-BC64)+$K$26*MAX(0,BD65-BC65)+$K$27*MAX(0,BD66-BC66)+$K$28*MAX(0,BD67-BC67)+$K$29*MAX(0,BD68-BC68)+$K$30*MAX(0,BD69-BC69)+$K$31*MAX(0,BD70-BC70)+$K$32*MAX(0,BD71-BC71)+$K$33*MAX(0,BD72-BC72)</f>
        <v>0</v>
      </c>
      <c r="BE75" s="72" t="n">
        <f aca="false">$K$6*MAX(0,BE45-BD45)+$K$7*MAX(0,BE46-BD46)+$K$8*MAX(0,BE47-BD47)+$K$9*MAX(0,BE48-BD48)+$K$10*MAX(0,BE49-BD49)+$K$11*MAX(0,BE50-BD50)+$K$12*MAX(0,BE51-BD51)+$K$13*MAX(0,BE52-BD52)+$K$14*MAX(0,BE53-BD53)+$K$15*MAX(0,BE54-BD54)+$K$16*MAX(0,BE55-BD55)+$K$17*MAX(0,BE56-BD56)+$K$18*MAX(0,BE57-BD57)+$K$19*MAX(0,BE58-BD58)+$K$20*MAX(0,BE59-BD59)+$K$21*MAX(0,BE60-BD60)+$K$22*MAX(0,BE61-BD61)+$K$23*MAX(0,BE62-BD62)+$K$24*MAX(0,BE63-BD63)+$K$25*MAX(0,BE64-BD64)+$K$26*MAX(0,BE65-BD65)+$K$27*MAX(0,BE66-BD66)+$K$28*MAX(0,BE67-BD67)+$K$29*MAX(0,BE68-BD68)+$K$30*MAX(0,BE69-BD69)+$K$31*MAX(0,BE70-BD70)+$K$32*MAX(0,BE71-BD71)+$K$33*MAX(0,BE72-BD72)</f>
        <v>0</v>
      </c>
      <c r="BF75" s="72" t="n">
        <f aca="false">$K$6*MAX(0,BF45-BE45)+$K$7*MAX(0,BF46-BE46)+$K$8*MAX(0,BF47-BE47)+$K$9*MAX(0,BF48-BE48)+$K$10*MAX(0,BF49-BE49)+$K$11*MAX(0,BF50-BE50)+$K$12*MAX(0,BF51-BE51)+$K$13*MAX(0,BF52-BE52)+$K$14*MAX(0,BF53-BE53)+$K$15*MAX(0,BF54-BE54)+$K$16*MAX(0,BF55-BE55)+$K$17*MAX(0,BF56-BE56)+$K$18*MAX(0,BF57-BE57)+$K$19*MAX(0,BF58-BE58)+$K$20*MAX(0,BF59-BE59)+$K$21*MAX(0,BF60-BE60)+$K$22*MAX(0,BF61-BE61)+$K$23*MAX(0,BF62-BE62)+$K$24*MAX(0,BF63-BE63)+$K$25*MAX(0,BF64-BE64)+$K$26*MAX(0,BF65-BE65)+$K$27*MAX(0,BF66-BE66)+$K$28*MAX(0,BF67-BE67)+$K$29*MAX(0,BF68-BE68)+$K$30*MAX(0,BF69-BE69)+$K$31*MAX(0,BF70-BE70)+$K$32*MAX(0,BF71-BE71)+$K$33*MAX(0,BF72-BE72)</f>
        <v>0</v>
      </c>
      <c r="BG75" s="72" t="n">
        <f aca="false">$K$6*MAX(0,BG45-BF45)+$K$7*MAX(0,BG46-BF46)+$K$8*MAX(0,BG47-BF47)+$K$9*MAX(0,BG48-BF48)+$K$10*MAX(0,BG49-BF49)+$K$11*MAX(0,BG50-BF50)+$K$12*MAX(0,BG51-BF51)+$K$13*MAX(0,BG52-BF52)+$K$14*MAX(0,BG53-BF53)+$K$15*MAX(0,BG54-BF54)+$K$16*MAX(0,BG55-BF55)+$K$17*MAX(0,BG56-BF56)+$K$18*MAX(0,BG57-BF57)+$K$19*MAX(0,BG58-BF58)+$K$20*MAX(0,BG59-BF59)+$K$21*MAX(0,BG60-BF60)+$K$22*MAX(0,BG61-BF61)+$K$23*MAX(0,BG62-BF62)+$K$24*MAX(0,BG63-BF63)+$K$25*MAX(0,BG64-BF64)+$K$26*MAX(0,BG65-BF65)+$K$27*MAX(0,BG66-BF66)+$K$28*MAX(0,BG67-BF67)+$K$29*MAX(0,BG68-BF68)+$K$30*MAX(0,BG69-BF69)+$K$31*MAX(0,BG70-BF70)+$K$32*MAX(0,BG71-BF71)+$K$33*MAX(0,BG72-BF72)</f>
        <v>0</v>
      </c>
      <c r="BH75" s="72" t="n">
        <f aca="false">$K$6*MAX(0,BH45-BG45)+$K$7*MAX(0,BH46-BG46)+$K$8*MAX(0,BH47-BG47)+$K$9*MAX(0,BH48-BG48)+$K$10*MAX(0,BH49-BG49)+$K$11*MAX(0,BH50-BG50)+$K$12*MAX(0,BH51-BG51)+$K$13*MAX(0,BH52-BG52)+$K$14*MAX(0,BH53-BG53)+$K$15*MAX(0,BH54-BG54)+$K$16*MAX(0,BH55-BG55)+$K$17*MAX(0,BH56-BG56)+$K$18*MAX(0,BH57-BG57)+$K$19*MAX(0,BH58-BG58)+$K$20*MAX(0,BH59-BG59)+$K$21*MAX(0,BH60-BG60)+$K$22*MAX(0,BH61-BG61)+$K$23*MAX(0,BH62-BG62)+$K$24*MAX(0,BH63-BG63)+$K$25*MAX(0,BH64-BG64)+$K$26*MAX(0,BH65-BG65)+$K$27*MAX(0,BH66-BG66)+$K$28*MAX(0,BH67-BG67)+$K$29*MAX(0,BH68-BG68)+$K$30*MAX(0,BH69-BG69)+$K$31*MAX(0,BH70-BG70)+$K$32*MAX(0,BH71-BG71)+$K$33*MAX(0,BH72-BG72)</f>
        <v>0</v>
      </c>
      <c r="BI75" s="72" t="n">
        <f aca="false">$K$6*MAX(0,BI45-BH45)+$K$7*MAX(0,BI46-BH46)+$K$8*MAX(0,BI47-BH47)+$K$9*MAX(0,BI48-BH48)+$K$10*MAX(0,BI49-BH49)+$K$11*MAX(0,BI50-BH50)+$K$12*MAX(0,BI51-BH51)+$K$13*MAX(0,BI52-BH52)+$K$14*MAX(0,BI53-BH53)+$K$15*MAX(0,BI54-BH54)+$K$16*MAX(0,BI55-BH55)+$K$17*MAX(0,BI56-BH56)+$K$18*MAX(0,BI57-BH57)+$K$19*MAX(0,BI58-BH58)+$K$20*MAX(0,BI59-BH59)+$K$21*MAX(0,BI60-BH60)+$K$22*MAX(0,BI61-BH61)+$K$23*MAX(0,BI62-BH62)+$K$24*MAX(0,BI63-BH63)+$K$25*MAX(0,BI64-BH64)+$K$26*MAX(0,BI65-BH65)+$K$27*MAX(0,BI66-BH66)+$K$28*MAX(0,BI67-BH67)+$K$29*MAX(0,BI68-BH68)+$K$30*MAX(0,BI69-BH69)+$K$31*MAX(0,BI70-BH70)+$K$32*MAX(0,BI71-BH71)+$K$33*MAX(0,BI72-BH72)</f>
        <v>0</v>
      </c>
      <c r="BJ75" s="72" t="n">
        <f aca="false">$K$6*MAX(0,BJ45-BI45)+$K$7*MAX(0,BJ46-BI46)+$K$8*MAX(0,BJ47-BI47)+$K$9*MAX(0,BJ48-BI48)+$K$10*MAX(0,BJ49-BI49)+$K$11*MAX(0,BJ50-BI50)+$K$12*MAX(0,BJ51-BI51)+$K$13*MAX(0,BJ52-BI52)+$K$14*MAX(0,BJ53-BI53)+$K$15*MAX(0,BJ54-BI54)+$K$16*MAX(0,BJ55-BI55)+$K$17*MAX(0,BJ56-BI56)+$K$18*MAX(0,BJ57-BI57)+$K$19*MAX(0,BJ58-BI58)+$K$20*MAX(0,BJ59-BI59)+$K$21*MAX(0,BJ60-BI60)+$K$22*MAX(0,BJ61-BI61)+$K$23*MAX(0,BJ62-BI62)+$K$24*MAX(0,BJ63-BI63)+$K$25*MAX(0,BJ64-BI64)+$K$26*MAX(0,BJ65-BI65)+$K$27*MAX(0,BJ66-BI66)+$K$28*MAX(0,BJ67-BI67)+$K$29*MAX(0,BJ68-BI68)+$K$30*MAX(0,BJ69-BI69)+$K$31*MAX(0,BJ70-BI70)+$K$32*MAX(0,BJ71-BI71)+$K$33*MAX(0,BJ72-BI72)</f>
        <v>0</v>
      </c>
      <c r="BK75" s="72" t="n">
        <f aca="false">$K$6*MAX(0,BK45-BJ45)+$K$7*MAX(0,BK46-BJ46)+$K$8*MAX(0,BK47-BJ47)+$K$9*MAX(0,BK48-BJ48)+$K$10*MAX(0,BK49-BJ49)+$K$11*MAX(0,BK50-BJ50)+$K$12*MAX(0,BK51-BJ51)+$K$13*MAX(0,BK52-BJ52)+$K$14*MAX(0,BK53-BJ53)+$K$15*MAX(0,BK54-BJ54)+$K$16*MAX(0,BK55-BJ55)+$K$17*MAX(0,BK56-BJ56)+$K$18*MAX(0,BK57-BJ57)+$K$19*MAX(0,BK58-BJ58)+$K$20*MAX(0,BK59-BJ59)+$K$21*MAX(0,BK60-BJ60)+$K$22*MAX(0,BK61-BJ61)+$K$23*MAX(0,BK62-BJ62)+$K$24*MAX(0,BK63-BJ63)+$K$25*MAX(0,BK64-BJ64)+$K$26*MAX(0,BK65-BJ65)+$K$27*MAX(0,BK66-BJ66)+$K$28*MAX(0,BK67-BJ67)+$K$29*MAX(0,BK68-BJ68)+$K$30*MAX(0,BK69-BJ69)+$K$31*MAX(0,BK70-BJ70)+$K$32*MAX(0,BK71-BJ71)+$K$33*MAX(0,BK72-BJ72)</f>
        <v>0</v>
      </c>
      <c r="BL75" s="72" t="n">
        <f aca="false">$K$6*MAX(0,BL45-BK45)+$K$7*MAX(0,BL46-BK46)+$K$8*MAX(0,BL47-BK47)+$K$9*MAX(0,BL48-BK48)+$K$10*MAX(0,BL49-BK49)+$K$11*MAX(0,BL50-BK50)+$K$12*MAX(0,BL51-BK51)+$K$13*MAX(0,BL52-BK52)+$K$14*MAX(0,BL53-BK53)+$K$15*MAX(0,BL54-BK54)+$K$16*MAX(0,BL55-BK55)+$K$17*MAX(0,BL56-BK56)+$K$18*MAX(0,BL57-BK57)+$K$19*MAX(0,BL58-BK58)+$K$20*MAX(0,BL59-BK59)+$K$21*MAX(0,BL60-BK60)+$K$22*MAX(0,BL61-BK61)+$K$23*MAX(0,BL62-BK62)+$K$24*MAX(0,BL63-BK63)+$K$25*MAX(0,BL64-BK64)+$K$26*MAX(0,BL65-BK65)+$K$27*MAX(0,BL66-BK66)+$K$28*MAX(0,BL67-BK67)+$K$29*MAX(0,BL68-BK68)+$K$30*MAX(0,BL69-BK69)+$K$31*MAX(0,BL70-BK70)+$K$32*MAX(0,BL71-BK71)+$K$33*MAX(0,BL72-BK72)</f>
        <v>0</v>
      </c>
      <c r="BM75" s="72" t="n">
        <f aca="false">$K$6*MAX(0,BM45-BL45)+$K$7*MAX(0,BM46-BL46)+$K$8*MAX(0,BM47-BL47)+$K$9*MAX(0,BM48-BL48)+$K$10*MAX(0,BM49-BL49)+$K$11*MAX(0,BM50-BL50)+$K$12*MAX(0,BM51-BL51)+$K$13*MAX(0,BM52-BL52)+$K$14*MAX(0,BM53-BL53)+$K$15*MAX(0,BM54-BL54)+$K$16*MAX(0,BM55-BL55)+$K$17*MAX(0,BM56-BL56)+$K$18*MAX(0,BM57-BL57)+$K$19*MAX(0,BM58-BL58)+$K$20*MAX(0,BM59-BL59)+$K$21*MAX(0,BM60-BL60)+$K$22*MAX(0,BM61-BL61)+$K$23*MAX(0,BM62-BL62)+$K$24*MAX(0,BM63-BL63)+$K$25*MAX(0,BM64-BL64)+$K$26*MAX(0,BM65-BL65)+$K$27*MAX(0,BM66-BL66)+$K$28*MAX(0,BM67-BL67)+$K$29*MAX(0,BM68-BL68)+$K$30*MAX(0,BM69-BL69)+$K$31*MAX(0,BM70-BL70)+$K$32*MAX(0,BM71-BL71)+$K$33*MAX(0,BM72-BL72)</f>
        <v>0</v>
      </c>
      <c r="BN75" s="72" t="n">
        <f aca="false">$K$6*MAX(0,BN45-BM45)+$K$7*MAX(0,BN46-BM46)+$K$8*MAX(0,BN47-BM47)+$K$9*MAX(0,BN48-BM48)+$K$10*MAX(0,BN49-BM49)+$K$11*MAX(0,BN50-BM50)+$K$12*MAX(0,BN51-BM51)+$K$13*MAX(0,BN52-BM52)+$K$14*MAX(0,BN53-BM53)+$K$15*MAX(0,BN54-BM54)+$K$16*MAX(0,BN55-BM55)+$K$17*MAX(0,BN56-BM56)+$K$18*MAX(0,BN57-BM57)+$K$19*MAX(0,BN58-BM58)+$K$20*MAX(0,BN59-BM59)+$K$21*MAX(0,BN60-BM60)+$K$22*MAX(0,BN61-BM61)+$K$23*MAX(0,BN62-BM62)+$K$24*MAX(0,BN63-BM63)+$K$25*MAX(0,BN64-BM64)+$K$26*MAX(0,BN65-BM65)+$K$27*MAX(0,BN66-BM66)+$K$28*MAX(0,BN67-BM67)+$K$29*MAX(0,BN68-BM68)+$K$30*MAX(0,BN69-BM69)+$K$31*MAX(0,BN70-BM70)+$K$32*MAX(0,BN71-BM71)+$K$33*MAX(0,BN72-BM72)</f>
        <v>0</v>
      </c>
    </row>
    <row r="76" customFormat="false" ht="15" hidden="false" customHeight="false" outlineLevel="0" collapsed="false">
      <c r="A76" s="4" t="s">
        <v>886</v>
      </c>
      <c r="B76" s="69" t="n">
        <f aca="false">SUM(C76:N76)</f>
        <v>13</v>
      </c>
      <c r="C76" s="72" t="n">
        <f aca="false">C74-C75</f>
        <v>13</v>
      </c>
      <c r="D76" s="72" t="n">
        <f aca="false">D74-D75</f>
        <v>0</v>
      </c>
      <c r="E76" s="72" t="n">
        <f aca="false">E74-E75</f>
        <v>0</v>
      </c>
      <c r="F76" s="72" t="n">
        <f aca="false">F74-F75</f>
        <v>0</v>
      </c>
      <c r="G76" s="72" t="n">
        <f aca="false">G74-G75</f>
        <v>0</v>
      </c>
      <c r="H76" s="72" t="n">
        <f aca="false">H74-H75</f>
        <v>0</v>
      </c>
      <c r="I76" s="72" t="n">
        <f aca="false">I74-I75</f>
        <v>0</v>
      </c>
      <c r="J76" s="72" t="n">
        <f aca="false">J74-J75</f>
        <v>0</v>
      </c>
      <c r="K76" s="72" t="n">
        <f aca="false">K74-K75</f>
        <v>0</v>
      </c>
      <c r="L76" s="72" t="n">
        <f aca="false">L74-L75</f>
        <v>0</v>
      </c>
      <c r="M76" s="72" t="n">
        <f aca="false">M74-M75</f>
        <v>0</v>
      </c>
      <c r="N76" s="72" t="n">
        <f aca="false">N74-N75</f>
        <v>0</v>
      </c>
      <c r="O76" s="69" t="n">
        <f aca="false">SUM(P76:AA76)</f>
        <v>12</v>
      </c>
      <c r="P76" s="72" t="n">
        <f aca="false">P74-P75</f>
        <v>8</v>
      </c>
      <c r="Q76" s="72" t="n">
        <f aca="false">Q74-Q75</f>
        <v>0</v>
      </c>
      <c r="R76" s="72" t="n">
        <f aca="false">R74-R75</f>
        <v>0</v>
      </c>
      <c r="S76" s="72" t="n">
        <f aca="false">S74-S75</f>
        <v>0</v>
      </c>
      <c r="T76" s="72" t="n">
        <f aca="false">T74-T75</f>
        <v>1</v>
      </c>
      <c r="U76" s="72" t="n">
        <f aca="false">U74-U75</f>
        <v>0</v>
      </c>
      <c r="V76" s="72" t="n">
        <f aca="false">V74-V75</f>
        <v>2</v>
      </c>
      <c r="W76" s="72" t="n">
        <f aca="false">W74-W75</f>
        <v>0</v>
      </c>
      <c r="X76" s="72" t="n">
        <f aca="false">X74-X75</f>
        <v>1</v>
      </c>
      <c r="Y76" s="72" t="n">
        <f aca="false">Y74-Y75</f>
        <v>0</v>
      </c>
      <c r="Z76" s="72" t="n">
        <f aca="false">Z74-Z75</f>
        <v>0</v>
      </c>
      <c r="AA76" s="72" t="n">
        <f aca="false">AA74-AA75</f>
        <v>0</v>
      </c>
      <c r="AB76" s="69" t="n">
        <f aca="false">SUM(AC76:AN76)</f>
        <v>14</v>
      </c>
      <c r="AC76" s="72" t="n">
        <f aca="false">AC74-AC75</f>
        <v>8</v>
      </c>
      <c r="AD76" s="72" t="n">
        <f aca="false">AD74-AD75</f>
        <v>0</v>
      </c>
      <c r="AE76" s="72" t="n">
        <f aca="false">AE74-AE75</f>
        <v>0</v>
      </c>
      <c r="AF76" s="72" t="n">
        <f aca="false">AF74-AF75</f>
        <v>1</v>
      </c>
      <c r="AG76" s="72" t="n">
        <f aca="false">AG74-AG75</f>
        <v>1</v>
      </c>
      <c r="AH76" s="72" t="n">
        <f aca="false">AH74-AH75</f>
        <v>0</v>
      </c>
      <c r="AI76" s="72" t="n">
        <f aca="false">AI74-AI75</f>
        <v>2</v>
      </c>
      <c r="AJ76" s="72" t="n">
        <f aca="false">AJ74-AJ75</f>
        <v>0</v>
      </c>
      <c r="AK76" s="72" t="n">
        <f aca="false">AK74-AK75</f>
        <v>1</v>
      </c>
      <c r="AL76" s="72" t="n">
        <f aca="false">AL74-AL75</f>
        <v>1</v>
      </c>
      <c r="AM76" s="72" t="n">
        <f aca="false">AM74-AM75</f>
        <v>0</v>
      </c>
      <c r="AN76" s="72" t="n">
        <f aca="false">AN74-AN75</f>
        <v>0</v>
      </c>
      <c r="AO76" s="69" t="n">
        <f aca="false">SUM(AP76:BA76)</f>
        <v>19</v>
      </c>
      <c r="AP76" s="72" t="n">
        <f aca="false">AP74-AP75</f>
        <v>8</v>
      </c>
      <c r="AQ76" s="72" t="n">
        <f aca="false">AQ74-AQ75</f>
        <v>1</v>
      </c>
      <c r="AR76" s="72" t="n">
        <f aca="false">AR74-AR75</f>
        <v>1</v>
      </c>
      <c r="AS76" s="72" t="n">
        <f aca="false">AS74-AS75</f>
        <v>1</v>
      </c>
      <c r="AT76" s="72" t="n">
        <f aca="false">AT74-AT75</f>
        <v>1</v>
      </c>
      <c r="AU76" s="72" t="n">
        <f aca="false">AU74-AU75</f>
        <v>1</v>
      </c>
      <c r="AV76" s="72" t="n">
        <f aca="false">AV74-AV75</f>
        <v>2</v>
      </c>
      <c r="AW76" s="72" t="n">
        <f aca="false">AW74-AW75</f>
        <v>1</v>
      </c>
      <c r="AX76" s="72" t="n">
        <f aca="false">AX74-AX75</f>
        <v>1</v>
      </c>
      <c r="AY76" s="72" t="n">
        <f aca="false">AY74-AY75</f>
        <v>1</v>
      </c>
      <c r="AZ76" s="72" t="n">
        <f aca="false">AZ74-AZ75</f>
        <v>1</v>
      </c>
      <c r="BA76" s="72" t="n">
        <f aca="false">BA74-BA75</f>
        <v>0</v>
      </c>
      <c r="BB76" s="69" t="n">
        <f aca="false">SUM(BC76:BN76)</f>
        <v>24</v>
      </c>
      <c r="BC76" s="72" t="n">
        <f aca="false">BC74-BC75</f>
        <v>7</v>
      </c>
      <c r="BD76" s="72" t="n">
        <f aca="false">BD74-BD75</f>
        <v>2</v>
      </c>
      <c r="BE76" s="72" t="n">
        <f aca="false">BE74-BE75</f>
        <v>2</v>
      </c>
      <c r="BF76" s="72" t="n">
        <f aca="false">BF74-BF75</f>
        <v>0</v>
      </c>
      <c r="BG76" s="72" t="n">
        <f aca="false">BG74-BG75</f>
        <v>2</v>
      </c>
      <c r="BH76" s="72" t="n">
        <f aca="false">BH74-BH75</f>
        <v>2</v>
      </c>
      <c r="BI76" s="72" t="n">
        <f aca="false">BI74-BI75</f>
        <v>3</v>
      </c>
      <c r="BJ76" s="72" t="n">
        <f aca="false">BJ74-BJ75</f>
        <v>0</v>
      </c>
      <c r="BK76" s="72" t="n">
        <f aca="false">BK74-BK75</f>
        <v>2</v>
      </c>
      <c r="BL76" s="72" t="n">
        <f aca="false">BL74-BL75</f>
        <v>2</v>
      </c>
      <c r="BM76" s="72" t="n">
        <f aca="false">BM74-BM75</f>
        <v>2</v>
      </c>
      <c r="BN76" s="72" t="n">
        <f aca="false">BN74-BN75</f>
        <v>0</v>
      </c>
    </row>
    <row r="77" customFormat="false" ht="15" hidden="false" customHeight="false" outlineLevel="0" collapsed="false">
      <c r="A77" s="4" t="s">
        <v>734</v>
      </c>
      <c r="B77" s="69" t="n">
        <f aca="false">N77</f>
        <v>1</v>
      </c>
      <c r="C77" s="72" t="n">
        <f aca="false">SUMPRODUCT(($L$6:$L$33="AE")*(C45:C72))</f>
        <v>1</v>
      </c>
      <c r="D77" s="72" t="n">
        <f aca="false">SUMPRODUCT(($L$6:$L$33="AE")*(D45:D72))</f>
        <v>1</v>
      </c>
      <c r="E77" s="72" t="n">
        <f aca="false">SUMPRODUCT(($L$6:$L$33="AE")*(E45:E72))</f>
        <v>1</v>
      </c>
      <c r="F77" s="72" t="n">
        <f aca="false">SUMPRODUCT(($L$6:$L$33="AE")*(F45:F72))</f>
        <v>1</v>
      </c>
      <c r="G77" s="72" t="n">
        <f aca="false">SUMPRODUCT(($L$6:$L$33="AE")*(G45:G72))</f>
        <v>1</v>
      </c>
      <c r="H77" s="72" t="n">
        <f aca="false">SUMPRODUCT(($L$6:$L$33="AE")*(H45:H72))</f>
        <v>1</v>
      </c>
      <c r="I77" s="72" t="n">
        <f aca="false">SUMPRODUCT(($L$6:$L$33="AE")*(I45:I72))</f>
        <v>1</v>
      </c>
      <c r="J77" s="72" t="n">
        <f aca="false">SUMPRODUCT(($L$6:$L$33="AE")*(J45:J72))</f>
        <v>1</v>
      </c>
      <c r="K77" s="72" t="n">
        <f aca="false">SUMPRODUCT(($L$6:$L$33="AE")*(K45:K72))</f>
        <v>1</v>
      </c>
      <c r="L77" s="72" t="n">
        <f aca="false">SUMPRODUCT(($L$6:$L$33="AE")*(L45:L72))</f>
        <v>1</v>
      </c>
      <c r="M77" s="72" t="n">
        <f aca="false">SUMPRODUCT(($L$6:$L$33="AE")*(M45:M72))</f>
        <v>1</v>
      </c>
      <c r="N77" s="72" t="n">
        <f aca="false">SUMPRODUCT(($L$6:$L$33="AE")*(N45:N72))</f>
        <v>1</v>
      </c>
      <c r="O77" s="69" t="n">
        <f aca="false">AA77</f>
        <v>2</v>
      </c>
      <c r="P77" s="72" t="n">
        <f aca="false">SUMPRODUCT(($L$6:$L$33="AE")*(P45:P72))</f>
        <v>2</v>
      </c>
      <c r="Q77" s="72" t="n">
        <f aca="false">SUMPRODUCT(($L$6:$L$33="AE")*(Q45:Q72))</f>
        <v>2</v>
      </c>
      <c r="R77" s="72" t="n">
        <f aca="false">SUMPRODUCT(($L$6:$L$33="AE")*(R45:R72))</f>
        <v>2</v>
      </c>
      <c r="S77" s="72" t="n">
        <f aca="false">SUMPRODUCT(($L$6:$L$33="AE")*(S45:S72))</f>
        <v>2</v>
      </c>
      <c r="T77" s="72" t="n">
        <f aca="false">SUMPRODUCT(($L$6:$L$33="AE")*(T45:T72))</f>
        <v>2</v>
      </c>
      <c r="U77" s="72" t="n">
        <f aca="false">SUMPRODUCT(($L$6:$L$33="AE")*(U45:U72))</f>
        <v>2</v>
      </c>
      <c r="V77" s="72" t="n">
        <f aca="false">SUMPRODUCT(($L$6:$L$33="AE")*(V45:V72))</f>
        <v>2</v>
      </c>
      <c r="W77" s="72" t="n">
        <f aca="false">SUMPRODUCT(($L$6:$L$33="AE")*(W45:W72))</f>
        <v>2</v>
      </c>
      <c r="X77" s="72" t="n">
        <f aca="false">SUMPRODUCT(($L$6:$L$33="AE")*(X45:X72))</f>
        <v>2</v>
      </c>
      <c r="Y77" s="72" t="n">
        <f aca="false">SUMPRODUCT(($L$6:$L$33="AE")*(Y45:Y72))</f>
        <v>2</v>
      </c>
      <c r="Z77" s="72" t="n">
        <f aca="false">SUMPRODUCT(($L$6:$L$33="AE")*(Z45:Z72))</f>
        <v>2</v>
      </c>
      <c r="AA77" s="72" t="n">
        <f aca="false">SUMPRODUCT(($L$6:$L$33="AE")*(AA45:AA72))</f>
        <v>2</v>
      </c>
      <c r="AB77" s="69" t="n">
        <f aca="false">AN77</f>
        <v>3</v>
      </c>
      <c r="AC77" s="72" t="n">
        <f aca="false">SUMPRODUCT(($L$6:$L$33="AE")*(AC45:AC72))</f>
        <v>3</v>
      </c>
      <c r="AD77" s="72" t="n">
        <f aca="false">SUMPRODUCT(($L$6:$L$33="AE")*(AD45:AD72))</f>
        <v>3</v>
      </c>
      <c r="AE77" s="72" t="n">
        <f aca="false">SUMPRODUCT(($L$6:$L$33="AE")*(AE45:AE72))</f>
        <v>3</v>
      </c>
      <c r="AF77" s="72" t="n">
        <f aca="false">SUMPRODUCT(($L$6:$L$33="AE")*(AF45:AF72))</f>
        <v>3</v>
      </c>
      <c r="AG77" s="72" t="n">
        <f aca="false">SUMPRODUCT(($L$6:$L$33="AE")*(AG45:AG72))</f>
        <v>3</v>
      </c>
      <c r="AH77" s="72" t="n">
        <f aca="false">SUMPRODUCT(($L$6:$L$33="AE")*(AH45:AH72))</f>
        <v>3</v>
      </c>
      <c r="AI77" s="72" t="n">
        <f aca="false">SUMPRODUCT(($L$6:$L$33="AE")*(AI45:AI72))</f>
        <v>3</v>
      </c>
      <c r="AJ77" s="72" t="n">
        <f aca="false">SUMPRODUCT(($L$6:$L$33="AE")*(AJ45:AJ72))</f>
        <v>3</v>
      </c>
      <c r="AK77" s="72" t="n">
        <f aca="false">SUMPRODUCT(($L$6:$L$33="AE")*(AK45:AK72))</f>
        <v>3</v>
      </c>
      <c r="AL77" s="72" t="n">
        <f aca="false">SUMPRODUCT(($L$6:$L$33="AE")*(AL45:AL72))</f>
        <v>3</v>
      </c>
      <c r="AM77" s="72" t="n">
        <f aca="false">SUMPRODUCT(($L$6:$L$33="AE")*(AM45:AM72))</f>
        <v>3</v>
      </c>
      <c r="AN77" s="72" t="n">
        <f aca="false">SUMPRODUCT(($L$6:$L$33="AE")*(AN45:AN72))</f>
        <v>3</v>
      </c>
      <c r="AO77" s="69" t="n">
        <f aca="false">BA77</f>
        <v>4</v>
      </c>
      <c r="AP77" s="72" t="n">
        <f aca="false">SUMPRODUCT(($L$6:$L$33="AE")*(AP45:AP72))</f>
        <v>4</v>
      </c>
      <c r="AQ77" s="72" t="n">
        <f aca="false">SUMPRODUCT(($L$6:$L$33="AE")*(AQ45:AQ72))</f>
        <v>4</v>
      </c>
      <c r="AR77" s="72" t="n">
        <f aca="false">SUMPRODUCT(($L$6:$L$33="AE")*(AR45:AR72))</f>
        <v>4</v>
      </c>
      <c r="AS77" s="72" t="n">
        <f aca="false">SUMPRODUCT(($L$6:$L$33="AE")*(AS45:AS72))</f>
        <v>4</v>
      </c>
      <c r="AT77" s="72" t="n">
        <f aca="false">SUMPRODUCT(($L$6:$L$33="AE")*(AT45:AT72))</f>
        <v>4</v>
      </c>
      <c r="AU77" s="72" t="n">
        <f aca="false">SUMPRODUCT(($L$6:$L$33="AE")*(AU45:AU72))</f>
        <v>4</v>
      </c>
      <c r="AV77" s="72" t="n">
        <f aca="false">SUMPRODUCT(($L$6:$L$33="AE")*(AV45:AV72))</f>
        <v>4</v>
      </c>
      <c r="AW77" s="72" t="n">
        <f aca="false">SUMPRODUCT(($L$6:$L$33="AE")*(AW45:AW72))</f>
        <v>4</v>
      </c>
      <c r="AX77" s="72" t="n">
        <f aca="false">SUMPRODUCT(($L$6:$L$33="AE")*(AX45:AX72))</f>
        <v>4</v>
      </c>
      <c r="AY77" s="72" t="n">
        <f aca="false">SUMPRODUCT(($L$6:$L$33="AE")*(AY45:AY72))</f>
        <v>4</v>
      </c>
      <c r="AZ77" s="72" t="n">
        <f aca="false">SUMPRODUCT(($L$6:$L$33="AE")*(AZ45:AZ72))</f>
        <v>4</v>
      </c>
      <c r="BA77" s="72" t="n">
        <f aca="false">SUMPRODUCT(($L$6:$L$33="AE")*(BA45:BA72))</f>
        <v>4</v>
      </c>
      <c r="BB77" s="69" t="n">
        <f aca="false">BN77</f>
        <v>5</v>
      </c>
      <c r="BC77" s="72" t="n">
        <f aca="false">SUMPRODUCT(($L$6:$L$33="AE")*(BC45:BC72))</f>
        <v>5</v>
      </c>
      <c r="BD77" s="72" t="n">
        <f aca="false">SUMPRODUCT(($L$6:$L$33="AE")*(BD45:BD72))</f>
        <v>5</v>
      </c>
      <c r="BE77" s="72" t="n">
        <f aca="false">SUMPRODUCT(($L$6:$L$33="AE")*(BE45:BE72))</f>
        <v>5</v>
      </c>
      <c r="BF77" s="72" t="n">
        <f aca="false">SUMPRODUCT(($L$6:$L$33="AE")*(BF45:BF72))</f>
        <v>5</v>
      </c>
      <c r="BG77" s="72" t="n">
        <f aca="false">SUMPRODUCT(($L$6:$L$33="AE")*(BG45:BG72))</f>
        <v>5</v>
      </c>
      <c r="BH77" s="72" t="n">
        <f aca="false">SUMPRODUCT(($L$6:$L$33="AE")*(BH45:BH72))</f>
        <v>5</v>
      </c>
      <c r="BI77" s="72" t="n">
        <f aca="false">SUMPRODUCT(($L$6:$L$33="AE")*(BI45:BI72))</f>
        <v>5</v>
      </c>
      <c r="BJ77" s="72" t="n">
        <f aca="false">SUMPRODUCT(($L$6:$L$33="AE")*(BJ45:BJ72))</f>
        <v>5</v>
      </c>
      <c r="BK77" s="72" t="n">
        <f aca="false">SUMPRODUCT(($L$6:$L$33="AE")*(BK45:BK72))</f>
        <v>5</v>
      </c>
      <c r="BL77" s="72" t="n">
        <f aca="false">SUMPRODUCT(($L$6:$L$33="AE")*(BL45:BL72))</f>
        <v>5</v>
      </c>
      <c r="BM77" s="72" t="n">
        <f aca="false">SUMPRODUCT(($L$6:$L$33="AE")*(BM45:BM72))</f>
        <v>5</v>
      </c>
      <c r="BN77" s="72" t="n">
        <f aca="false">SUMPRODUCT(($L$6:$L$33="AE")*(BN45:BN72))</f>
        <v>5</v>
      </c>
    </row>
    <row r="78" customFormat="false" ht="15" hidden="false" customHeight="false" outlineLevel="0" collapsed="false">
      <c r="A78" s="4" t="s">
        <v>745</v>
      </c>
      <c r="B78" s="69" t="n">
        <f aca="false">N78</f>
        <v>1</v>
      </c>
      <c r="C78" s="72" t="n">
        <f aca="false">SUMPRODUCT(($L$6:$L$33="CSM")*(C45:C72))</f>
        <v>1</v>
      </c>
      <c r="D78" s="72" t="n">
        <f aca="false">SUMPRODUCT(($L$6:$L$33="CSM")*(D45:D72))</f>
        <v>1</v>
      </c>
      <c r="E78" s="72" t="n">
        <f aca="false">SUMPRODUCT(($L$6:$L$33="CSM")*(E45:E72))</f>
        <v>1</v>
      </c>
      <c r="F78" s="72" t="n">
        <f aca="false">SUMPRODUCT(($L$6:$L$33="CSM")*(F45:F72))</f>
        <v>1</v>
      </c>
      <c r="G78" s="72" t="n">
        <f aca="false">SUMPRODUCT(($L$6:$L$33="CSM")*(G45:G72))</f>
        <v>1</v>
      </c>
      <c r="H78" s="72" t="n">
        <f aca="false">SUMPRODUCT(($L$6:$L$33="CSM")*(H45:H72))</f>
        <v>1</v>
      </c>
      <c r="I78" s="72" t="n">
        <f aca="false">SUMPRODUCT(($L$6:$L$33="CSM")*(I45:I72))</f>
        <v>1</v>
      </c>
      <c r="J78" s="72" t="n">
        <f aca="false">SUMPRODUCT(($L$6:$L$33="CSM")*(J45:J72))</f>
        <v>1</v>
      </c>
      <c r="K78" s="72" t="n">
        <f aca="false">SUMPRODUCT(($L$6:$L$33="CSM")*(K45:K72))</f>
        <v>1</v>
      </c>
      <c r="L78" s="72" t="n">
        <f aca="false">SUMPRODUCT(($L$6:$L$33="CSM")*(L45:L72))</f>
        <v>1</v>
      </c>
      <c r="M78" s="72" t="n">
        <f aca="false">SUMPRODUCT(($L$6:$L$33="CSM")*(M45:M72))</f>
        <v>1</v>
      </c>
      <c r="N78" s="72" t="n">
        <f aca="false">SUMPRODUCT(($L$6:$L$33="CSM")*(N45:N72))</f>
        <v>1</v>
      </c>
      <c r="O78" s="69" t="n">
        <f aca="false">AA78</f>
        <v>3</v>
      </c>
      <c r="P78" s="72" t="n">
        <f aca="false">SUMPRODUCT(($L$6:$L$33="CSM")*(P45:P72))</f>
        <v>2</v>
      </c>
      <c r="Q78" s="72" t="n">
        <f aca="false">SUMPRODUCT(($L$6:$L$33="CSM")*(Q45:Q72))</f>
        <v>2</v>
      </c>
      <c r="R78" s="72" t="n">
        <f aca="false">SUMPRODUCT(($L$6:$L$33="CSM")*(R45:R72))</f>
        <v>2</v>
      </c>
      <c r="S78" s="72" t="n">
        <f aca="false">SUMPRODUCT(($L$6:$L$33="CSM")*(S45:S72))</f>
        <v>2</v>
      </c>
      <c r="T78" s="72" t="n">
        <f aca="false">SUMPRODUCT(($L$6:$L$33="CSM")*(T45:T72))</f>
        <v>2</v>
      </c>
      <c r="U78" s="72" t="n">
        <f aca="false">SUMPRODUCT(($L$6:$L$33="CSM")*(U45:U72))</f>
        <v>2</v>
      </c>
      <c r="V78" s="72" t="n">
        <f aca="false">SUMPRODUCT(($L$6:$L$33="CSM")*(V45:V72))</f>
        <v>3</v>
      </c>
      <c r="W78" s="72" t="n">
        <f aca="false">SUMPRODUCT(($L$6:$L$33="CSM")*(W45:W72))</f>
        <v>3</v>
      </c>
      <c r="X78" s="72" t="n">
        <f aca="false">SUMPRODUCT(($L$6:$L$33="CSM")*(X45:X72))</f>
        <v>3</v>
      </c>
      <c r="Y78" s="72" t="n">
        <f aca="false">SUMPRODUCT(($L$6:$L$33="CSM")*(Y45:Y72))</f>
        <v>3</v>
      </c>
      <c r="Z78" s="72" t="n">
        <f aca="false">SUMPRODUCT(($L$6:$L$33="CSM")*(Z45:Z72))</f>
        <v>3</v>
      </c>
      <c r="AA78" s="72" t="n">
        <f aca="false">SUMPRODUCT(($L$6:$L$33="CSM")*(AA45:AA72))</f>
        <v>3</v>
      </c>
      <c r="AB78" s="69" t="n">
        <f aca="false">AN78</f>
        <v>6</v>
      </c>
      <c r="AC78" s="72" t="n">
        <f aca="false">SUMPRODUCT(($L$6:$L$33="CSM")*(AC45:AC72))</f>
        <v>4</v>
      </c>
      <c r="AD78" s="72" t="n">
        <f aca="false">SUMPRODUCT(($L$6:$L$33="CSM")*(AD45:AD72))</f>
        <v>4</v>
      </c>
      <c r="AE78" s="72" t="n">
        <f aca="false">SUMPRODUCT(($L$6:$L$33="CSM")*(AE45:AE72))</f>
        <v>4</v>
      </c>
      <c r="AF78" s="72" t="n">
        <f aca="false">SUMPRODUCT(($L$6:$L$33="CSM")*(AF45:AF72))</f>
        <v>4</v>
      </c>
      <c r="AG78" s="72" t="n">
        <f aca="false">SUMPRODUCT(($L$6:$L$33="CSM")*(AG45:AG72))</f>
        <v>5</v>
      </c>
      <c r="AH78" s="72" t="n">
        <f aca="false">SUMPRODUCT(($L$6:$L$33="CSM")*(AH45:AH72))</f>
        <v>5</v>
      </c>
      <c r="AI78" s="72" t="n">
        <f aca="false">SUMPRODUCT(($L$6:$L$33="CSM")*(AI45:AI72))</f>
        <v>5</v>
      </c>
      <c r="AJ78" s="72" t="n">
        <f aca="false">SUMPRODUCT(($L$6:$L$33="CSM")*(AJ45:AJ72))</f>
        <v>5</v>
      </c>
      <c r="AK78" s="72" t="n">
        <f aca="false">SUMPRODUCT(($L$6:$L$33="CSM")*(AK45:AK72))</f>
        <v>6</v>
      </c>
      <c r="AL78" s="72" t="n">
        <f aca="false">SUMPRODUCT(($L$6:$L$33="CSM")*(AL45:AL72))</f>
        <v>6</v>
      </c>
      <c r="AM78" s="72" t="n">
        <f aca="false">SUMPRODUCT(($L$6:$L$33="CSM")*(AM45:AM72))</f>
        <v>6</v>
      </c>
      <c r="AN78" s="72" t="n">
        <f aca="false">SUMPRODUCT(($L$6:$L$33="CSM")*(AN45:AN72))</f>
        <v>6</v>
      </c>
      <c r="AO78" s="69" t="n">
        <f aca="false">BA78</f>
        <v>11</v>
      </c>
      <c r="AP78" s="72" t="n">
        <f aca="false">SUMPRODUCT(($L$6:$L$33="CSM")*(AP45:AP72))</f>
        <v>7</v>
      </c>
      <c r="AQ78" s="72" t="n">
        <f aca="false">SUMPRODUCT(($L$6:$L$33="CSM")*(AQ45:AQ72))</f>
        <v>7</v>
      </c>
      <c r="AR78" s="72" t="n">
        <f aca="false">SUMPRODUCT(($L$6:$L$33="CSM")*(AR45:AR72))</f>
        <v>8</v>
      </c>
      <c r="AS78" s="72" t="n">
        <f aca="false">SUMPRODUCT(($L$6:$L$33="CSM")*(AS45:AS72))</f>
        <v>8</v>
      </c>
      <c r="AT78" s="72" t="n">
        <f aca="false">SUMPRODUCT(($L$6:$L$33="CSM")*(AT45:AT72))</f>
        <v>9</v>
      </c>
      <c r="AU78" s="72" t="n">
        <f aca="false">SUMPRODUCT(($L$6:$L$33="CSM")*(AU45:AU72))</f>
        <v>9</v>
      </c>
      <c r="AV78" s="72" t="n">
        <f aca="false">SUMPRODUCT(($L$6:$L$33="CSM")*(AV45:AV72))</f>
        <v>9</v>
      </c>
      <c r="AW78" s="72" t="n">
        <f aca="false">SUMPRODUCT(($L$6:$L$33="CSM")*(AW45:AW72))</f>
        <v>10</v>
      </c>
      <c r="AX78" s="72" t="n">
        <f aca="false">SUMPRODUCT(($L$6:$L$33="CSM")*(AX45:AX72))</f>
        <v>10</v>
      </c>
      <c r="AY78" s="72" t="n">
        <f aca="false">SUMPRODUCT(($L$6:$L$33="CSM")*(AY45:AY72))</f>
        <v>11</v>
      </c>
      <c r="AZ78" s="72" t="n">
        <f aca="false">SUMPRODUCT(($L$6:$L$33="CSM")*(AZ45:AZ72))</f>
        <v>11</v>
      </c>
      <c r="BA78" s="72" t="n">
        <f aca="false">SUMPRODUCT(($L$6:$L$33="CSM")*(BA45:BA72))</f>
        <v>11</v>
      </c>
      <c r="BB78" s="69" t="n">
        <f aca="false">BN78</f>
        <v>20</v>
      </c>
      <c r="BC78" s="72" t="n">
        <f aca="false">SUMPRODUCT(($L$6:$L$33="CSM")*(BC45:BC72))</f>
        <v>12</v>
      </c>
      <c r="BD78" s="72" t="n">
        <f aca="false">SUMPRODUCT(($L$6:$L$33="CSM")*(BD45:BD72))</f>
        <v>13</v>
      </c>
      <c r="BE78" s="72" t="n">
        <f aca="false">SUMPRODUCT(($L$6:$L$33="CSM")*(BE45:BE72))</f>
        <v>14</v>
      </c>
      <c r="BF78" s="72" t="n">
        <f aca="false">SUMPRODUCT(($L$6:$L$33="CSM")*(BF45:BF72))</f>
        <v>14</v>
      </c>
      <c r="BG78" s="72" t="n">
        <f aca="false">SUMPRODUCT(($L$6:$L$33="CSM")*(BG45:BG72))</f>
        <v>15</v>
      </c>
      <c r="BH78" s="72" t="n">
        <f aca="false">SUMPRODUCT(($L$6:$L$33="CSM")*(BH45:BH72))</f>
        <v>16</v>
      </c>
      <c r="BI78" s="72" t="n">
        <f aca="false">SUMPRODUCT(($L$6:$L$33="CSM")*(BI45:BI72))</f>
        <v>17</v>
      </c>
      <c r="BJ78" s="72" t="n">
        <f aca="false">SUMPRODUCT(($L$6:$L$33="CSM")*(BJ45:BJ72))</f>
        <v>17</v>
      </c>
      <c r="BK78" s="72" t="n">
        <f aca="false">SUMPRODUCT(($L$6:$L$33="CSM")*(BK45:BK72))</f>
        <v>18</v>
      </c>
      <c r="BL78" s="72" t="n">
        <f aca="false">SUMPRODUCT(($L$6:$L$33="CSM")*(BL45:BL72))</f>
        <v>19</v>
      </c>
      <c r="BM78" s="72" t="n">
        <f aca="false">SUMPRODUCT(($L$6:$L$33="CSM")*(BM45:BM72))</f>
        <v>20</v>
      </c>
      <c r="BN78" s="72" t="n">
        <f aca="false">SUMPRODUCT(($L$6:$L$33="CSM")*(BN45:BN72))</f>
        <v>20</v>
      </c>
    </row>
    <row r="79" customFormat="false" ht="15" hidden="false" customHeight="false" outlineLevel="0" collapsed="false">
      <c r="A79" s="4" t="s">
        <v>738</v>
      </c>
      <c r="B79" s="69" t="n">
        <f aca="false">N79</f>
        <v>1</v>
      </c>
      <c r="C79" s="72" t="n">
        <f aca="false">SUMPRODUCT(($L$6:$L$33="ONB")*(C45:C72))</f>
        <v>1</v>
      </c>
      <c r="D79" s="72" t="n">
        <f aca="false">SUMPRODUCT(($L$6:$L$33="ONB")*(D45:D72))</f>
        <v>1</v>
      </c>
      <c r="E79" s="72" t="n">
        <f aca="false">SUMPRODUCT(($L$6:$L$33="ONB")*(E45:E72))</f>
        <v>1</v>
      </c>
      <c r="F79" s="72" t="n">
        <f aca="false">SUMPRODUCT(($L$6:$L$33="ONB")*(F45:F72))</f>
        <v>1</v>
      </c>
      <c r="G79" s="72" t="n">
        <f aca="false">SUMPRODUCT(($L$6:$L$33="ONB")*(G45:G72))</f>
        <v>1</v>
      </c>
      <c r="H79" s="72" t="n">
        <f aca="false">SUMPRODUCT(($L$6:$L$33="ONB")*(H45:H72))</f>
        <v>1</v>
      </c>
      <c r="I79" s="72" t="n">
        <f aca="false">SUMPRODUCT(($L$6:$L$33="ONB")*(I45:I72))</f>
        <v>1</v>
      </c>
      <c r="J79" s="72" t="n">
        <f aca="false">SUMPRODUCT(($L$6:$L$33="ONB")*(J45:J72))</f>
        <v>1</v>
      </c>
      <c r="K79" s="72" t="n">
        <f aca="false">SUMPRODUCT(($L$6:$L$33="ONB")*(K45:K72))</f>
        <v>1</v>
      </c>
      <c r="L79" s="72" t="n">
        <f aca="false">SUMPRODUCT(($L$6:$L$33="ONB")*(L45:L72))</f>
        <v>1</v>
      </c>
      <c r="M79" s="72" t="n">
        <f aca="false">SUMPRODUCT(($L$6:$L$33="ONB")*(M45:M72))</f>
        <v>1</v>
      </c>
      <c r="N79" s="72" t="n">
        <f aca="false">SUMPRODUCT(($L$6:$L$33="ONB")*(N45:N72))</f>
        <v>1</v>
      </c>
      <c r="O79" s="69" t="n">
        <f aca="false">AA79</f>
        <v>2</v>
      </c>
      <c r="P79" s="72" t="n">
        <f aca="false">SUMPRODUCT(($L$6:$L$33="ONB")*(P45:P72))</f>
        <v>2</v>
      </c>
      <c r="Q79" s="72" t="n">
        <f aca="false">SUMPRODUCT(($L$6:$L$33="ONB")*(Q45:Q72))</f>
        <v>2</v>
      </c>
      <c r="R79" s="72" t="n">
        <f aca="false">SUMPRODUCT(($L$6:$L$33="ONB")*(R45:R72))</f>
        <v>2</v>
      </c>
      <c r="S79" s="72" t="n">
        <f aca="false">SUMPRODUCT(($L$6:$L$33="ONB")*(S45:S72))</f>
        <v>2</v>
      </c>
      <c r="T79" s="72" t="n">
        <f aca="false">SUMPRODUCT(($L$6:$L$33="ONB")*(T45:T72))</f>
        <v>2</v>
      </c>
      <c r="U79" s="72" t="n">
        <f aca="false">SUMPRODUCT(($L$6:$L$33="ONB")*(U45:U72))</f>
        <v>2</v>
      </c>
      <c r="V79" s="72" t="n">
        <f aca="false">SUMPRODUCT(($L$6:$L$33="ONB")*(V45:V72))</f>
        <v>2</v>
      </c>
      <c r="W79" s="72" t="n">
        <f aca="false">SUMPRODUCT(($L$6:$L$33="ONB")*(W45:W72))</f>
        <v>2</v>
      </c>
      <c r="X79" s="72" t="n">
        <f aca="false">SUMPRODUCT(($L$6:$L$33="ONB")*(X45:X72))</f>
        <v>2</v>
      </c>
      <c r="Y79" s="72" t="n">
        <f aca="false">SUMPRODUCT(($L$6:$L$33="ONB")*(Y45:Y72))</f>
        <v>2</v>
      </c>
      <c r="Z79" s="72" t="n">
        <f aca="false">SUMPRODUCT(($L$6:$L$33="ONB")*(Z45:Z72))</f>
        <v>2</v>
      </c>
      <c r="AA79" s="72" t="n">
        <f aca="false">SUMPRODUCT(($L$6:$L$33="ONB")*(AA45:AA72))</f>
        <v>2</v>
      </c>
      <c r="AB79" s="69" t="n">
        <f aca="false">AN79</f>
        <v>4</v>
      </c>
      <c r="AC79" s="72" t="n">
        <f aca="false">SUMPRODUCT(($L$6:$L$33="ONB")*(AC45:AC72))</f>
        <v>3</v>
      </c>
      <c r="AD79" s="72" t="n">
        <f aca="false">SUMPRODUCT(($L$6:$L$33="ONB")*(AD45:AD72))</f>
        <v>3</v>
      </c>
      <c r="AE79" s="72" t="n">
        <f aca="false">SUMPRODUCT(($L$6:$L$33="ONB")*(AE45:AE72))</f>
        <v>3</v>
      </c>
      <c r="AF79" s="72" t="n">
        <f aca="false">SUMPRODUCT(($L$6:$L$33="ONB")*(AF45:AF72))</f>
        <v>3</v>
      </c>
      <c r="AG79" s="72" t="n">
        <f aca="false">SUMPRODUCT(($L$6:$L$33="ONB")*(AG45:AG72))</f>
        <v>3</v>
      </c>
      <c r="AH79" s="72" t="n">
        <f aca="false">SUMPRODUCT(($L$6:$L$33="ONB")*(AH45:AH72))</f>
        <v>3</v>
      </c>
      <c r="AI79" s="72" t="n">
        <f aca="false">SUMPRODUCT(($L$6:$L$33="ONB")*(AI45:AI72))</f>
        <v>4</v>
      </c>
      <c r="AJ79" s="72" t="n">
        <f aca="false">SUMPRODUCT(($L$6:$L$33="ONB")*(AJ45:AJ72))</f>
        <v>4</v>
      </c>
      <c r="AK79" s="72" t="n">
        <f aca="false">SUMPRODUCT(($L$6:$L$33="ONB")*(AK45:AK72))</f>
        <v>4</v>
      </c>
      <c r="AL79" s="72" t="n">
        <f aca="false">SUMPRODUCT(($L$6:$L$33="ONB")*(AL45:AL72))</f>
        <v>4</v>
      </c>
      <c r="AM79" s="72" t="n">
        <f aca="false">SUMPRODUCT(($L$6:$L$33="ONB")*(AM45:AM72))</f>
        <v>4</v>
      </c>
      <c r="AN79" s="72" t="n">
        <f aca="false">SUMPRODUCT(($L$6:$L$33="ONB")*(AN45:AN72))</f>
        <v>4</v>
      </c>
      <c r="AO79" s="69" t="n">
        <f aca="false">BA79</f>
        <v>6</v>
      </c>
      <c r="AP79" s="72" t="n">
        <f aca="false">SUMPRODUCT(($L$6:$L$33="ONB")*(AP45:AP72))</f>
        <v>5</v>
      </c>
      <c r="AQ79" s="72" t="n">
        <f aca="false">SUMPRODUCT(($L$6:$L$33="ONB")*(AQ45:AQ72))</f>
        <v>5</v>
      </c>
      <c r="AR79" s="72" t="n">
        <f aca="false">SUMPRODUCT(($L$6:$L$33="ONB")*(AR45:AR72))</f>
        <v>5</v>
      </c>
      <c r="AS79" s="72" t="n">
        <f aca="false">SUMPRODUCT(($L$6:$L$33="ONB")*(AS45:AS72))</f>
        <v>5</v>
      </c>
      <c r="AT79" s="72" t="n">
        <f aca="false">SUMPRODUCT(($L$6:$L$33="ONB")*(AT45:AT72))</f>
        <v>5</v>
      </c>
      <c r="AU79" s="72" t="n">
        <f aca="false">SUMPRODUCT(($L$6:$L$33="ONB")*(AU45:AU72))</f>
        <v>5</v>
      </c>
      <c r="AV79" s="72" t="n">
        <f aca="false">SUMPRODUCT(($L$6:$L$33="ONB")*(AV45:AV72))</f>
        <v>6</v>
      </c>
      <c r="AW79" s="72" t="n">
        <f aca="false">SUMPRODUCT(($L$6:$L$33="ONB")*(AW45:AW72))</f>
        <v>6</v>
      </c>
      <c r="AX79" s="72" t="n">
        <f aca="false">SUMPRODUCT(($L$6:$L$33="ONB")*(AX45:AX72))</f>
        <v>6</v>
      </c>
      <c r="AY79" s="72" t="n">
        <f aca="false">SUMPRODUCT(($L$6:$L$33="ONB")*(AY45:AY72))</f>
        <v>6</v>
      </c>
      <c r="AZ79" s="72" t="n">
        <f aca="false">SUMPRODUCT(($L$6:$L$33="ONB")*(AZ45:AZ72))</f>
        <v>6</v>
      </c>
      <c r="BA79" s="72" t="n">
        <f aca="false">SUMPRODUCT(($L$6:$L$33="ONB")*(BA45:BA72))</f>
        <v>6</v>
      </c>
      <c r="BB79" s="69" t="n">
        <f aca="false">BN79</f>
        <v>8</v>
      </c>
      <c r="BC79" s="72" t="n">
        <f aca="false">SUMPRODUCT(($L$6:$L$33="ONB")*(BC45:BC72))</f>
        <v>7</v>
      </c>
      <c r="BD79" s="72" t="n">
        <f aca="false">SUMPRODUCT(($L$6:$L$33="ONB")*(BD45:BD72))</f>
        <v>7</v>
      </c>
      <c r="BE79" s="72" t="n">
        <f aca="false">SUMPRODUCT(($L$6:$L$33="ONB")*(BE45:BE72))</f>
        <v>7</v>
      </c>
      <c r="BF79" s="72" t="n">
        <f aca="false">SUMPRODUCT(($L$6:$L$33="ONB")*(BF45:BF72))</f>
        <v>7</v>
      </c>
      <c r="BG79" s="72" t="n">
        <f aca="false">SUMPRODUCT(($L$6:$L$33="ONB")*(BG45:BG72))</f>
        <v>7</v>
      </c>
      <c r="BH79" s="72" t="n">
        <f aca="false">SUMPRODUCT(($L$6:$L$33="ONB")*(BH45:BH72))</f>
        <v>7</v>
      </c>
      <c r="BI79" s="72" t="n">
        <f aca="false">SUMPRODUCT(($L$6:$L$33="ONB")*(BI45:BI72))</f>
        <v>8</v>
      </c>
      <c r="BJ79" s="72" t="n">
        <f aca="false">SUMPRODUCT(($L$6:$L$33="ONB")*(BJ45:BJ72))</f>
        <v>8</v>
      </c>
      <c r="BK79" s="72" t="n">
        <f aca="false">SUMPRODUCT(($L$6:$L$33="ONB")*(BK45:BK72))</f>
        <v>8</v>
      </c>
      <c r="BL79" s="72" t="n">
        <f aca="false">SUMPRODUCT(($L$6:$L$33="ONB")*(BL45:BL72))</f>
        <v>8</v>
      </c>
      <c r="BM79" s="72" t="n">
        <f aca="false">SUMPRODUCT(($L$6:$L$33="ONB")*(BM45:BM72))</f>
        <v>8</v>
      </c>
      <c r="BN79" s="72" t="n">
        <f aca="false">SUMPRODUCT(($L$6:$L$33="ONB")*(BN45:BN72))</f>
        <v>8</v>
      </c>
    </row>
    <row r="80" customFormat="false" ht="15" hidden="false" customHeight="false" outlineLevel="0" collapsed="false">
      <c r="A80" s="4" t="s">
        <v>742</v>
      </c>
      <c r="B80" s="69" t="n">
        <f aca="false">N80</f>
        <v>1</v>
      </c>
      <c r="C80" s="72" t="n">
        <f aca="false">SUMPRODUCT(($L$6:$L$33="SUP")*(C45:C72))</f>
        <v>1</v>
      </c>
      <c r="D80" s="72" t="n">
        <f aca="false">SUMPRODUCT(($L$6:$L$33="SUP")*(D45:D72))</f>
        <v>1</v>
      </c>
      <c r="E80" s="72" t="n">
        <f aca="false">SUMPRODUCT(($L$6:$L$33="SUP")*(E45:E72))</f>
        <v>1</v>
      </c>
      <c r="F80" s="72" t="n">
        <f aca="false">SUMPRODUCT(($L$6:$L$33="SUP")*(F45:F72))</f>
        <v>1</v>
      </c>
      <c r="G80" s="72" t="n">
        <f aca="false">SUMPRODUCT(($L$6:$L$33="SUP")*(G45:G72))</f>
        <v>1</v>
      </c>
      <c r="H80" s="72" t="n">
        <f aca="false">SUMPRODUCT(($L$6:$L$33="SUP")*(H45:H72))</f>
        <v>1</v>
      </c>
      <c r="I80" s="72" t="n">
        <f aca="false">SUMPRODUCT(($L$6:$L$33="SUP")*(I45:I72))</f>
        <v>1</v>
      </c>
      <c r="J80" s="72" t="n">
        <f aca="false">SUMPRODUCT(($L$6:$L$33="SUP")*(J45:J72))</f>
        <v>1</v>
      </c>
      <c r="K80" s="72" t="n">
        <f aca="false">SUMPRODUCT(($L$6:$L$33="SUP")*(K45:K72))</f>
        <v>1</v>
      </c>
      <c r="L80" s="72" t="n">
        <f aca="false">SUMPRODUCT(($L$6:$L$33="SUP")*(L45:L72))</f>
        <v>1</v>
      </c>
      <c r="M80" s="72" t="n">
        <f aca="false">SUMPRODUCT(($L$6:$L$33="SUP")*(M45:M72))</f>
        <v>1</v>
      </c>
      <c r="N80" s="72" t="n">
        <f aca="false">SUMPRODUCT(($L$6:$L$33="SUP")*(N45:N72))</f>
        <v>1</v>
      </c>
      <c r="O80" s="69" t="n">
        <f aca="false">AA80</f>
        <v>4</v>
      </c>
      <c r="P80" s="72" t="n">
        <f aca="false">SUMPRODUCT(($L$6:$L$33="SUP")*(P45:P72))</f>
        <v>2</v>
      </c>
      <c r="Q80" s="72" t="n">
        <f aca="false">SUMPRODUCT(($L$6:$L$33="SUP")*(Q45:Q72))</f>
        <v>2</v>
      </c>
      <c r="R80" s="72" t="n">
        <f aca="false">SUMPRODUCT(($L$6:$L$33="SUP")*(R45:R72))</f>
        <v>2</v>
      </c>
      <c r="S80" s="72" t="n">
        <f aca="false">SUMPRODUCT(($L$6:$L$33="SUP")*(S45:S72))</f>
        <v>2</v>
      </c>
      <c r="T80" s="72" t="n">
        <f aca="false">SUMPRODUCT(($L$6:$L$33="SUP")*(T45:T72))</f>
        <v>3</v>
      </c>
      <c r="U80" s="72" t="n">
        <f aca="false">SUMPRODUCT(($L$6:$L$33="SUP")*(U45:U72))</f>
        <v>3</v>
      </c>
      <c r="V80" s="72" t="n">
        <f aca="false">SUMPRODUCT(($L$6:$L$33="SUP")*(V45:V72))</f>
        <v>3</v>
      </c>
      <c r="W80" s="72" t="n">
        <f aca="false">SUMPRODUCT(($L$6:$L$33="SUP")*(W45:W72))</f>
        <v>3</v>
      </c>
      <c r="X80" s="72" t="n">
        <f aca="false">SUMPRODUCT(($L$6:$L$33="SUP")*(X45:X72))</f>
        <v>4</v>
      </c>
      <c r="Y80" s="72" t="n">
        <f aca="false">SUMPRODUCT(($L$6:$L$33="SUP")*(Y45:Y72))</f>
        <v>4</v>
      </c>
      <c r="Z80" s="72" t="n">
        <f aca="false">SUMPRODUCT(($L$6:$L$33="SUP")*(Z45:Z72))</f>
        <v>4</v>
      </c>
      <c r="AA80" s="72" t="n">
        <f aca="false">SUMPRODUCT(($L$6:$L$33="SUP")*(AA45:AA72))</f>
        <v>4</v>
      </c>
      <c r="AB80" s="69" t="n">
        <f aca="false">AN80</f>
        <v>8</v>
      </c>
      <c r="AC80" s="72" t="n">
        <f aca="false">SUMPRODUCT(($L$6:$L$33="SUP")*(AC45:AC72))</f>
        <v>5</v>
      </c>
      <c r="AD80" s="72" t="n">
        <f aca="false">SUMPRODUCT(($L$6:$L$33="SUP")*(AD45:AD72))</f>
        <v>5</v>
      </c>
      <c r="AE80" s="72" t="n">
        <f aca="false">SUMPRODUCT(($L$6:$L$33="SUP")*(AE45:AE72))</f>
        <v>5</v>
      </c>
      <c r="AF80" s="72" t="n">
        <f aca="false">SUMPRODUCT(($L$6:$L$33="SUP")*(AF45:AF72))</f>
        <v>6</v>
      </c>
      <c r="AG80" s="72" t="n">
        <f aca="false">SUMPRODUCT(($L$6:$L$33="SUP")*(AG45:AG72))</f>
        <v>6</v>
      </c>
      <c r="AH80" s="72" t="n">
        <f aca="false">SUMPRODUCT(($L$6:$L$33="SUP")*(AH45:AH72))</f>
        <v>6</v>
      </c>
      <c r="AI80" s="72" t="n">
        <f aca="false">SUMPRODUCT(($L$6:$L$33="SUP")*(AI45:AI72))</f>
        <v>7</v>
      </c>
      <c r="AJ80" s="72" t="n">
        <f aca="false">SUMPRODUCT(($L$6:$L$33="SUP")*(AJ45:AJ72))</f>
        <v>7</v>
      </c>
      <c r="AK80" s="72" t="n">
        <f aca="false">SUMPRODUCT(($L$6:$L$33="SUP")*(AK45:AK72))</f>
        <v>7</v>
      </c>
      <c r="AL80" s="72" t="n">
        <f aca="false">SUMPRODUCT(($L$6:$L$33="SUP")*(AL45:AL72))</f>
        <v>8</v>
      </c>
      <c r="AM80" s="72" t="n">
        <f aca="false">SUMPRODUCT(($L$6:$L$33="SUP")*(AM45:AM72))</f>
        <v>8</v>
      </c>
      <c r="AN80" s="72" t="n">
        <f aca="false">SUMPRODUCT(($L$6:$L$33="SUP")*(AN45:AN72))</f>
        <v>8</v>
      </c>
      <c r="AO80" s="69" t="n">
        <f aca="false">BA80</f>
        <v>15</v>
      </c>
      <c r="AP80" s="72" t="n">
        <f aca="false">SUMPRODUCT(($L$6:$L$33="SUP")*(AP45:AP72))</f>
        <v>9</v>
      </c>
      <c r="AQ80" s="72" t="n">
        <f aca="false">SUMPRODUCT(($L$6:$L$33="SUP")*(AQ45:AQ72))</f>
        <v>10</v>
      </c>
      <c r="AR80" s="72" t="n">
        <f aca="false">SUMPRODUCT(($L$6:$L$33="SUP")*(AR45:AR72))</f>
        <v>10</v>
      </c>
      <c r="AS80" s="72" t="n">
        <f aca="false">SUMPRODUCT(($L$6:$L$33="SUP")*(AS45:AS72))</f>
        <v>11</v>
      </c>
      <c r="AT80" s="72" t="n">
        <f aca="false">SUMPRODUCT(($L$6:$L$33="SUP")*(AT45:AT72))</f>
        <v>11</v>
      </c>
      <c r="AU80" s="72" t="n">
        <f aca="false">SUMPRODUCT(($L$6:$L$33="SUP")*(AU45:AU72))</f>
        <v>12</v>
      </c>
      <c r="AV80" s="72" t="n">
        <f aca="false">SUMPRODUCT(($L$6:$L$33="SUP")*(AV45:AV72))</f>
        <v>13</v>
      </c>
      <c r="AW80" s="72" t="n">
        <f aca="false">SUMPRODUCT(($L$6:$L$33="SUP")*(AW45:AW72))</f>
        <v>13</v>
      </c>
      <c r="AX80" s="72" t="n">
        <f aca="false">SUMPRODUCT(($L$6:$L$33="SUP")*(AX45:AX72))</f>
        <v>14</v>
      </c>
      <c r="AY80" s="72" t="n">
        <f aca="false">SUMPRODUCT(($L$6:$L$33="SUP")*(AY45:AY72))</f>
        <v>14</v>
      </c>
      <c r="AZ80" s="72" t="n">
        <f aca="false">SUMPRODUCT(($L$6:$L$33="SUP")*(AZ45:AZ72))</f>
        <v>15</v>
      </c>
      <c r="BA80" s="72" t="n">
        <f aca="false">SUMPRODUCT(($L$6:$L$33="SUP")*(BA45:BA72))</f>
        <v>15</v>
      </c>
      <c r="BB80" s="69" t="n">
        <f aca="false">BN80</f>
        <v>24</v>
      </c>
      <c r="BC80" s="72" t="n">
        <f aca="false">SUMPRODUCT(($L$6:$L$33="SUP")*(BC45:BC72))</f>
        <v>16</v>
      </c>
      <c r="BD80" s="72" t="n">
        <f aca="false">SUMPRODUCT(($L$6:$L$33="SUP")*(BD45:BD72))</f>
        <v>17</v>
      </c>
      <c r="BE80" s="72" t="n">
        <f aca="false">SUMPRODUCT(($L$6:$L$33="SUP")*(BE45:BE72))</f>
        <v>18</v>
      </c>
      <c r="BF80" s="72" t="n">
        <f aca="false">SUMPRODUCT(($L$6:$L$33="SUP")*(BF45:BF72))</f>
        <v>18</v>
      </c>
      <c r="BG80" s="72" t="n">
        <f aca="false">SUMPRODUCT(($L$6:$L$33="SUP")*(BG45:BG72))</f>
        <v>19</v>
      </c>
      <c r="BH80" s="72" t="n">
        <f aca="false">SUMPRODUCT(($L$6:$L$33="SUP")*(BH45:BH72))</f>
        <v>20</v>
      </c>
      <c r="BI80" s="72" t="n">
        <f aca="false">SUMPRODUCT(($L$6:$L$33="SUP")*(BI45:BI72))</f>
        <v>21</v>
      </c>
      <c r="BJ80" s="72" t="n">
        <f aca="false">SUMPRODUCT(($L$6:$L$33="SUP")*(BJ45:BJ72))</f>
        <v>21</v>
      </c>
      <c r="BK80" s="72" t="n">
        <f aca="false">SUMPRODUCT(($L$6:$L$33="SUP")*(BK45:BK72))</f>
        <v>22</v>
      </c>
      <c r="BL80" s="72" t="n">
        <f aca="false">SUMPRODUCT(($L$6:$L$33="SUP")*(BL45:BL72))</f>
        <v>23</v>
      </c>
      <c r="BM80" s="72" t="n">
        <f aca="false">SUMPRODUCT(($L$6:$L$33="SUP")*(BM45:BM72))</f>
        <v>24</v>
      </c>
      <c r="BN80" s="72" t="n">
        <f aca="false">SUMPRODUCT(($L$6:$L$33="SUP")*(BN45:BN72))</f>
        <v>24</v>
      </c>
    </row>
    <row r="81" customFormat="false" ht="15" hidden="false" customHeight="false" outlineLevel="0" collapsed="false">
      <c r="A81" s="4" t="s">
        <v>887</v>
      </c>
      <c r="B81" s="69" t="n">
        <f aca="false">N81</f>
        <v>5</v>
      </c>
      <c r="C81" s="72" t="n">
        <f aca="false">SUMPRODUCT(($B$6:$B$33="Sales")*(C45:C72))+SUMPRODUCT(($B$6:$B$33="Partnerships")*(C45:C72))+SUMPRODUCT(($B$6:$B$33="Customer")*(C45:C72))</f>
        <v>5</v>
      </c>
      <c r="D81" s="72" t="n">
        <f aca="false">SUMPRODUCT(($B$6:$B$33="Sales")*(D45:D72))+SUMPRODUCT(($B$6:$B$33="Partnerships")*(D45:D72))+SUMPRODUCT(($B$6:$B$33="Customer")*(D45:D72))</f>
        <v>5</v>
      </c>
      <c r="E81" s="72" t="n">
        <f aca="false">SUMPRODUCT(($B$6:$B$33="Sales")*(E45:E72))+SUMPRODUCT(($B$6:$B$33="Partnerships")*(E45:E72))+SUMPRODUCT(($B$6:$B$33="Customer")*(E45:E72))</f>
        <v>5</v>
      </c>
      <c r="F81" s="72" t="n">
        <f aca="false">SUMPRODUCT(($B$6:$B$33="Sales")*(F45:F72))+SUMPRODUCT(($B$6:$B$33="Partnerships")*(F45:F72))+SUMPRODUCT(($B$6:$B$33="Customer")*(F45:F72))</f>
        <v>5</v>
      </c>
      <c r="G81" s="72" t="n">
        <f aca="false">SUMPRODUCT(($B$6:$B$33="Sales")*(G45:G72))+SUMPRODUCT(($B$6:$B$33="Partnerships")*(G45:G72))+SUMPRODUCT(($B$6:$B$33="Customer")*(G45:G72))</f>
        <v>5</v>
      </c>
      <c r="H81" s="72" t="n">
        <f aca="false">SUMPRODUCT(($B$6:$B$33="Sales")*(H45:H72))+SUMPRODUCT(($B$6:$B$33="Partnerships")*(H45:H72))+SUMPRODUCT(($B$6:$B$33="Customer")*(H45:H72))</f>
        <v>5</v>
      </c>
      <c r="I81" s="72" t="n">
        <f aca="false">SUMPRODUCT(($B$6:$B$33="Sales")*(I45:I72))+SUMPRODUCT(($B$6:$B$33="Partnerships")*(I45:I72))+SUMPRODUCT(($B$6:$B$33="Customer")*(I45:I72))</f>
        <v>5</v>
      </c>
      <c r="J81" s="72" t="n">
        <f aca="false">SUMPRODUCT(($B$6:$B$33="Sales")*(J45:J72))+SUMPRODUCT(($B$6:$B$33="Partnerships")*(J45:J72))+SUMPRODUCT(($B$6:$B$33="Customer")*(J45:J72))</f>
        <v>5</v>
      </c>
      <c r="K81" s="72" t="n">
        <f aca="false">SUMPRODUCT(($B$6:$B$33="Sales")*(K45:K72))+SUMPRODUCT(($B$6:$B$33="Partnerships")*(K45:K72))+SUMPRODUCT(($B$6:$B$33="Customer")*(K45:K72))</f>
        <v>5</v>
      </c>
      <c r="L81" s="72" t="n">
        <f aca="false">SUMPRODUCT(($B$6:$B$33="Sales")*(L45:L72))+SUMPRODUCT(($B$6:$B$33="Partnerships")*(L45:L72))+SUMPRODUCT(($B$6:$B$33="Customer")*(L45:L72))</f>
        <v>5</v>
      </c>
      <c r="M81" s="72" t="n">
        <f aca="false">SUMPRODUCT(($B$6:$B$33="Sales")*(M45:M72))+SUMPRODUCT(($B$6:$B$33="Partnerships")*(M45:M72))+SUMPRODUCT(($B$6:$B$33="Customer")*(M45:M72))</f>
        <v>5</v>
      </c>
      <c r="N81" s="72" t="n">
        <f aca="false">SUMPRODUCT(($B$6:$B$33="Sales")*(N45:N72))+SUMPRODUCT(($B$6:$B$33="Partnerships")*(N45:N72))+SUMPRODUCT(($B$6:$B$33="Customer")*(N45:N72))</f>
        <v>5</v>
      </c>
      <c r="O81" s="69" t="n">
        <f aca="false">AA81</f>
        <v>15</v>
      </c>
      <c r="P81" s="72" t="n">
        <f aca="false">SUMPRODUCT(($B$6:$B$33="Sales")*(P45:P72))+SUMPRODUCT(($B$6:$B$33="Partnerships")*(P45:P72))+SUMPRODUCT(($B$6:$B$33="Customer")*(P45:P72))</f>
        <v>11</v>
      </c>
      <c r="Q81" s="72" t="n">
        <f aca="false">SUMPRODUCT(($B$6:$B$33="Sales")*(Q45:Q72))+SUMPRODUCT(($B$6:$B$33="Partnerships")*(Q45:Q72))+SUMPRODUCT(($B$6:$B$33="Customer")*(Q45:Q72))</f>
        <v>11</v>
      </c>
      <c r="R81" s="72" t="n">
        <f aca="false">SUMPRODUCT(($B$6:$B$33="Sales")*(R45:R72))+SUMPRODUCT(($B$6:$B$33="Partnerships")*(R45:R72))+SUMPRODUCT(($B$6:$B$33="Customer")*(R45:R72))</f>
        <v>11</v>
      </c>
      <c r="S81" s="72" t="n">
        <f aca="false">SUMPRODUCT(($B$6:$B$33="Sales")*(S45:S72))+SUMPRODUCT(($B$6:$B$33="Partnerships")*(S45:S72))+SUMPRODUCT(($B$6:$B$33="Customer")*(S45:S72))</f>
        <v>11</v>
      </c>
      <c r="T81" s="72" t="n">
        <f aca="false">SUMPRODUCT(($B$6:$B$33="Sales")*(T45:T72))+SUMPRODUCT(($B$6:$B$33="Partnerships")*(T45:T72))+SUMPRODUCT(($B$6:$B$33="Customer")*(T45:T72))</f>
        <v>12</v>
      </c>
      <c r="U81" s="72" t="n">
        <f aca="false">SUMPRODUCT(($B$6:$B$33="Sales")*(U45:U72))+SUMPRODUCT(($B$6:$B$33="Partnerships")*(U45:U72))+SUMPRODUCT(($B$6:$B$33="Customer")*(U45:U72))</f>
        <v>12</v>
      </c>
      <c r="V81" s="72" t="n">
        <f aca="false">SUMPRODUCT(($B$6:$B$33="Sales")*(V45:V72))+SUMPRODUCT(($B$6:$B$33="Partnerships")*(V45:V72))+SUMPRODUCT(($B$6:$B$33="Customer")*(V45:V72))</f>
        <v>14</v>
      </c>
      <c r="W81" s="72" t="n">
        <f aca="false">SUMPRODUCT(($B$6:$B$33="Sales")*(W45:W72))+SUMPRODUCT(($B$6:$B$33="Partnerships")*(W45:W72))+SUMPRODUCT(($B$6:$B$33="Customer")*(W45:W72))</f>
        <v>14</v>
      </c>
      <c r="X81" s="72" t="n">
        <f aca="false">SUMPRODUCT(($B$6:$B$33="Sales")*(X45:X72))+SUMPRODUCT(($B$6:$B$33="Partnerships")*(X45:X72))+SUMPRODUCT(($B$6:$B$33="Customer")*(X45:X72))</f>
        <v>15</v>
      </c>
      <c r="Y81" s="72" t="n">
        <f aca="false">SUMPRODUCT(($B$6:$B$33="Sales")*(Y45:Y72))+SUMPRODUCT(($B$6:$B$33="Partnerships")*(Y45:Y72))+SUMPRODUCT(($B$6:$B$33="Customer")*(Y45:Y72))</f>
        <v>15</v>
      </c>
      <c r="Z81" s="72" t="n">
        <f aca="false">SUMPRODUCT(($B$6:$B$33="Sales")*(Z45:Z72))+SUMPRODUCT(($B$6:$B$33="Partnerships")*(Z45:Z72))+SUMPRODUCT(($B$6:$B$33="Customer")*(Z45:Z72))</f>
        <v>15</v>
      </c>
      <c r="AA81" s="72" t="n">
        <f aca="false">SUMPRODUCT(($B$6:$B$33="Sales")*(AA45:AA72))+SUMPRODUCT(($B$6:$B$33="Partnerships")*(AA45:AA72))+SUMPRODUCT(($B$6:$B$33="Customer")*(AA45:AA72))</f>
        <v>15</v>
      </c>
      <c r="AB81" s="69" t="n">
        <f aca="false">AN81</f>
        <v>27</v>
      </c>
      <c r="AC81" s="72" t="n">
        <f aca="false">SUMPRODUCT(($B$6:$B$33="Sales")*(AC45:AC72))+SUMPRODUCT(($B$6:$B$33="Partnerships")*(AC45:AC72))+SUMPRODUCT(($B$6:$B$33="Customer")*(AC45:AC72))</f>
        <v>21</v>
      </c>
      <c r="AD81" s="72" t="n">
        <f aca="false">SUMPRODUCT(($B$6:$B$33="Sales")*(AD45:AD72))+SUMPRODUCT(($B$6:$B$33="Partnerships")*(AD45:AD72))+SUMPRODUCT(($B$6:$B$33="Customer")*(AD45:AD72))</f>
        <v>21</v>
      </c>
      <c r="AE81" s="72" t="n">
        <f aca="false">SUMPRODUCT(($B$6:$B$33="Sales")*(AE45:AE72))+SUMPRODUCT(($B$6:$B$33="Partnerships")*(AE45:AE72))+SUMPRODUCT(($B$6:$B$33="Customer")*(AE45:AE72))</f>
        <v>21</v>
      </c>
      <c r="AF81" s="72" t="n">
        <f aca="false">SUMPRODUCT(($B$6:$B$33="Sales")*(AF45:AF72))+SUMPRODUCT(($B$6:$B$33="Partnerships")*(AF45:AF72))+SUMPRODUCT(($B$6:$B$33="Customer")*(AF45:AF72))</f>
        <v>22</v>
      </c>
      <c r="AG81" s="72" t="n">
        <f aca="false">SUMPRODUCT(($B$6:$B$33="Sales")*(AG45:AG72))+SUMPRODUCT(($B$6:$B$33="Partnerships")*(AG45:AG72))+SUMPRODUCT(($B$6:$B$33="Customer")*(AG45:AG72))</f>
        <v>23</v>
      </c>
      <c r="AH81" s="72" t="n">
        <f aca="false">SUMPRODUCT(($B$6:$B$33="Sales")*(AH45:AH72))+SUMPRODUCT(($B$6:$B$33="Partnerships")*(AH45:AH72))+SUMPRODUCT(($B$6:$B$33="Customer")*(AH45:AH72))</f>
        <v>23</v>
      </c>
      <c r="AI81" s="72" t="n">
        <f aca="false">SUMPRODUCT(($B$6:$B$33="Sales")*(AI45:AI72))+SUMPRODUCT(($B$6:$B$33="Partnerships")*(AI45:AI72))+SUMPRODUCT(($B$6:$B$33="Customer")*(AI45:AI72))</f>
        <v>25</v>
      </c>
      <c r="AJ81" s="72" t="n">
        <f aca="false">SUMPRODUCT(($B$6:$B$33="Sales")*(AJ45:AJ72))+SUMPRODUCT(($B$6:$B$33="Partnerships")*(AJ45:AJ72))+SUMPRODUCT(($B$6:$B$33="Customer")*(AJ45:AJ72))</f>
        <v>25</v>
      </c>
      <c r="AK81" s="72" t="n">
        <f aca="false">SUMPRODUCT(($B$6:$B$33="Sales")*(AK45:AK72))+SUMPRODUCT(($B$6:$B$33="Partnerships")*(AK45:AK72))+SUMPRODUCT(($B$6:$B$33="Customer")*(AK45:AK72))</f>
        <v>26</v>
      </c>
      <c r="AL81" s="72" t="n">
        <f aca="false">SUMPRODUCT(($B$6:$B$33="Sales")*(AL45:AL72))+SUMPRODUCT(($B$6:$B$33="Partnerships")*(AL45:AL72))+SUMPRODUCT(($B$6:$B$33="Customer")*(AL45:AL72))</f>
        <v>27</v>
      </c>
      <c r="AM81" s="72" t="n">
        <f aca="false">SUMPRODUCT(($B$6:$B$33="Sales")*(AM45:AM72))+SUMPRODUCT(($B$6:$B$33="Partnerships")*(AM45:AM72))+SUMPRODUCT(($B$6:$B$33="Customer")*(AM45:AM72))</f>
        <v>27</v>
      </c>
      <c r="AN81" s="72" t="n">
        <f aca="false">SUMPRODUCT(($B$6:$B$33="Sales")*(AN45:AN72))+SUMPRODUCT(($B$6:$B$33="Partnerships")*(AN45:AN72))+SUMPRODUCT(($B$6:$B$33="Customer")*(AN45:AN72))</f>
        <v>27</v>
      </c>
      <c r="AO81" s="69" t="n">
        <f aca="false">BA81</f>
        <v>43</v>
      </c>
      <c r="AP81" s="72" t="n">
        <f aca="false">SUMPRODUCT(($B$6:$B$33="Sales")*(AP45:AP72))+SUMPRODUCT(($B$6:$B$33="Partnerships")*(AP45:AP72))+SUMPRODUCT(($B$6:$B$33="Customer")*(AP45:AP72))</f>
        <v>32</v>
      </c>
      <c r="AQ81" s="72" t="n">
        <f aca="false">SUMPRODUCT(($B$6:$B$33="Sales")*(AQ45:AQ72))+SUMPRODUCT(($B$6:$B$33="Partnerships")*(AQ45:AQ72))+SUMPRODUCT(($B$6:$B$33="Customer")*(AQ45:AQ72))</f>
        <v>33</v>
      </c>
      <c r="AR81" s="72" t="n">
        <f aca="false">SUMPRODUCT(($B$6:$B$33="Sales")*(AR45:AR72))+SUMPRODUCT(($B$6:$B$33="Partnerships")*(AR45:AR72))+SUMPRODUCT(($B$6:$B$33="Customer")*(AR45:AR72))</f>
        <v>34</v>
      </c>
      <c r="AS81" s="72" t="n">
        <f aca="false">SUMPRODUCT(($B$6:$B$33="Sales")*(AS45:AS72))+SUMPRODUCT(($B$6:$B$33="Partnerships")*(AS45:AS72))+SUMPRODUCT(($B$6:$B$33="Customer")*(AS45:AS72))</f>
        <v>35</v>
      </c>
      <c r="AT81" s="72" t="n">
        <f aca="false">SUMPRODUCT(($B$6:$B$33="Sales")*(AT45:AT72))+SUMPRODUCT(($B$6:$B$33="Partnerships")*(AT45:AT72))+SUMPRODUCT(($B$6:$B$33="Customer")*(AT45:AT72))</f>
        <v>36</v>
      </c>
      <c r="AU81" s="72" t="n">
        <f aca="false">SUMPRODUCT(($B$6:$B$33="Sales")*(AU45:AU72))+SUMPRODUCT(($B$6:$B$33="Partnerships")*(AU45:AU72))+SUMPRODUCT(($B$6:$B$33="Customer")*(AU45:AU72))</f>
        <v>37</v>
      </c>
      <c r="AV81" s="72" t="n">
        <f aca="false">SUMPRODUCT(($B$6:$B$33="Sales")*(AV45:AV72))+SUMPRODUCT(($B$6:$B$33="Partnerships")*(AV45:AV72))+SUMPRODUCT(($B$6:$B$33="Customer")*(AV45:AV72))</f>
        <v>39</v>
      </c>
      <c r="AW81" s="72" t="n">
        <f aca="false">SUMPRODUCT(($B$6:$B$33="Sales")*(AW45:AW72))+SUMPRODUCT(($B$6:$B$33="Partnerships")*(AW45:AW72))+SUMPRODUCT(($B$6:$B$33="Customer")*(AW45:AW72))</f>
        <v>40</v>
      </c>
      <c r="AX81" s="72" t="n">
        <f aca="false">SUMPRODUCT(($B$6:$B$33="Sales")*(AX45:AX72))+SUMPRODUCT(($B$6:$B$33="Partnerships")*(AX45:AX72))+SUMPRODUCT(($B$6:$B$33="Customer")*(AX45:AX72))</f>
        <v>41</v>
      </c>
      <c r="AY81" s="72" t="n">
        <f aca="false">SUMPRODUCT(($B$6:$B$33="Sales")*(AY45:AY72))+SUMPRODUCT(($B$6:$B$33="Partnerships")*(AY45:AY72))+SUMPRODUCT(($B$6:$B$33="Customer")*(AY45:AY72))</f>
        <v>42</v>
      </c>
      <c r="AZ81" s="72" t="n">
        <f aca="false">SUMPRODUCT(($B$6:$B$33="Sales")*(AZ45:AZ72))+SUMPRODUCT(($B$6:$B$33="Partnerships")*(AZ45:AZ72))+SUMPRODUCT(($B$6:$B$33="Customer")*(AZ45:AZ72))</f>
        <v>43</v>
      </c>
      <c r="BA81" s="72" t="n">
        <f aca="false">SUMPRODUCT(($B$6:$B$33="Sales")*(BA45:BA72))+SUMPRODUCT(($B$6:$B$33="Partnerships")*(BA45:BA72))+SUMPRODUCT(($B$6:$B$33="Customer")*(BA45:BA72))</f>
        <v>43</v>
      </c>
      <c r="BB81" s="69" t="n">
        <f aca="false">BN81</f>
        <v>66</v>
      </c>
      <c r="BC81" s="72" t="n">
        <f aca="false">SUMPRODUCT(($B$6:$B$33="Sales")*(BC45:BC72))+SUMPRODUCT(($B$6:$B$33="Partnerships")*(BC45:BC72))+SUMPRODUCT(($B$6:$B$33="Customer")*(BC45:BC72))</f>
        <v>49</v>
      </c>
      <c r="BD81" s="72" t="n">
        <f aca="false">SUMPRODUCT(($B$6:$B$33="Sales")*(BD45:BD72))+SUMPRODUCT(($B$6:$B$33="Partnerships")*(BD45:BD72))+SUMPRODUCT(($B$6:$B$33="Customer")*(BD45:BD72))</f>
        <v>51</v>
      </c>
      <c r="BE81" s="72" t="n">
        <f aca="false">SUMPRODUCT(($B$6:$B$33="Sales")*(BE45:BE72))+SUMPRODUCT(($B$6:$B$33="Partnerships")*(BE45:BE72))+SUMPRODUCT(($B$6:$B$33="Customer")*(BE45:BE72))</f>
        <v>53</v>
      </c>
      <c r="BF81" s="72" t="n">
        <f aca="false">SUMPRODUCT(($B$6:$B$33="Sales")*(BF45:BF72))+SUMPRODUCT(($B$6:$B$33="Partnerships")*(BF45:BF72))+SUMPRODUCT(($B$6:$B$33="Customer")*(BF45:BF72))</f>
        <v>53</v>
      </c>
      <c r="BG81" s="72" t="n">
        <f aca="false">SUMPRODUCT(($B$6:$B$33="Sales")*(BG45:BG72))+SUMPRODUCT(($B$6:$B$33="Partnerships")*(BG45:BG72))+SUMPRODUCT(($B$6:$B$33="Customer")*(BG45:BG72))</f>
        <v>55</v>
      </c>
      <c r="BH81" s="72" t="n">
        <f aca="false">SUMPRODUCT(($B$6:$B$33="Sales")*(BH45:BH72))+SUMPRODUCT(($B$6:$B$33="Partnerships")*(BH45:BH72))+SUMPRODUCT(($B$6:$B$33="Customer")*(BH45:BH72))</f>
        <v>57</v>
      </c>
      <c r="BI81" s="72" t="n">
        <f aca="false">SUMPRODUCT(($B$6:$B$33="Sales")*(BI45:BI72))+SUMPRODUCT(($B$6:$B$33="Partnerships")*(BI45:BI72))+SUMPRODUCT(($B$6:$B$33="Customer")*(BI45:BI72))</f>
        <v>60</v>
      </c>
      <c r="BJ81" s="72" t="n">
        <f aca="false">SUMPRODUCT(($B$6:$B$33="Sales")*(BJ45:BJ72))+SUMPRODUCT(($B$6:$B$33="Partnerships")*(BJ45:BJ72))+SUMPRODUCT(($B$6:$B$33="Customer")*(BJ45:BJ72))</f>
        <v>60</v>
      </c>
      <c r="BK81" s="72" t="n">
        <f aca="false">SUMPRODUCT(($B$6:$B$33="Sales")*(BK45:BK72))+SUMPRODUCT(($B$6:$B$33="Partnerships")*(BK45:BK72))+SUMPRODUCT(($B$6:$B$33="Customer")*(BK45:BK72))</f>
        <v>62</v>
      </c>
      <c r="BL81" s="72" t="n">
        <f aca="false">SUMPRODUCT(($B$6:$B$33="Sales")*(BL45:BL72))+SUMPRODUCT(($B$6:$B$33="Partnerships")*(BL45:BL72))+SUMPRODUCT(($B$6:$B$33="Customer")*(BL45:BL72))</f>
        <v>64</v>
      </c>
      <c r="BM81" s="72" t="n">
        <f aca="false">SUMPRODUCT(($B$6:$B$33="Sales")*(BM45:BM72))+SUMPRODUCT(($B$6:$B$33="Partnerships")*(BM45:BM72))+SUMPRODUCT(($B$6:$B$33="Customer")*(BM45:BM72))</f>
        <v>66</v>
      </c>
      <c r="BN81" s="72" t="n">
        <f aca="false">SUMPRODUCT(($B$6:$B$33="Sales")*(BN45:BN72))+SUMPRODUCT(($B$6:$B$33="Partnerships")*(BN45:BN72))+SUMPRODUCT(($B$6:$B$33="Customer")*(BN45:BN72))</f>
        <v>66</v>
      </c>
    </row>
    <row r="83" customFormat="false" ht="15" hidden="false" customHeight="false" outlineLevel="0" collapsed="false">
      <c r="A83" s="9" t="s">
        <v>888</v>
      </c>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row>
    <row r="84" customFormat="false" ht="15" hidden="false" customHeight="false" outlineLevel="0" collapsed="false">
      <c r="A84" s="56" t="s">
        <v>824</v>
      </c>
      <c r="B84" s="57" t="s">
        <v>87</v>
      </c>
      <c r="C84" s="58" t="s">
        <v>562</v>
      </c>
      <c r="D84" s="58" t="s">
        <v>563</v>
      </c>
      <c r="E84" s="58" t="s">
        <v>564</v>
      </c>
      <c r="F84" s="58" t="s">
        <v>565</v>
      </c>
      <c r="G84" s="58" t="s">
        <v>566</v>
      </c>
      <c r="H84" s="58" t="s">
        <v>567</v>
      </c>
      <c r="I84" s="58" t="s">
        <v>568</v>
      </c>
      <c r="J84" s="58" t="s">
        <v>569</v>
      </c>
      <c r="K84" s="58" t="s">
        <v>570</v>
      </c>
      <c r="L84" s="58" t="s">
        <v>571</v>
      </c>
      <c r="M84" s="58" t="s">
        <v>572</v>
      </c>
      <c r="N84" s="58" t="s">
        <v>573</v>
      </c>
      <c r="O84" s="57" t="s">
        <v>88</v>
      </c>
      <c r="P84" s="58" t="s">
        <v>574</v>
      </c>
      <c r="Q84" s="58" t="s">
        <v>575</v>
      </c>
      <c r="R84" s="58" t="s">
        <v>576</v>
      </c>
      <c r="S84" s="58" t="s">
        <v>577</v>
      </c>
      <c r="T84" s="58" t="s">
        <v>578</v>
      </c>
      <c r="U84" s="58" t="s">
        <v>579</v>
      </c>
      <c r="V84" s="58" t="s">
        <v>580</v>
      </c>
      <c r="W84" s="58" t="s">
        <v>581</v>
      </c>
      <c r="X84" s="58" t="s">
        <v>582</v>
      </c>
      <c r="Y84" s="58" t="s">
        <v>583</v>
      </c>
      <c r="Z84" s="58" t="s">
        <v>584</v>
      </c>
      <c r="AA84" s="58" t="s">
        <v>585</v>
      </c>
      <c r="AB84" s="57" t="s">
        <v>89</v>
      </c>
      <c r="AC84" s="58" t="s">
        <v>586</v>
      </c>
      <c r="AD84" s="58" t="s">
        <v>587</v>
      </c>
      <c r="AE84" s="58" t="s">
        <v>588</v>
      </c>
      <c r="AF84" s="58" t="s">
        <v>589</v>
      </c>
      <c r="AG84" s="58" t="s">
        <v>590</v>
      </c>
      <c r="AH84" s="58" t="s">
        <v>591</v>
      </c>
      <c r="AI84" s="58" t="s">
        <v>592</v>
      </c>
      <c r="AJ84" s="58" t="s">
        <v>593</v>
      </c>
      <c r="AK84" s="58" t="s">
        <v>594</v>
      </c>
      <c r="AL84" s="58" t="s">
        <v>595</v>
      </c>
      <c r="AM84" s="58" t="s">
        <v>596</v>
      </c>
      <c r="AN84" s="58" t="s">
        <v>597</v>
      </c>
      <c r="AO84" s="57" t="s">
        <v>90</v>
      </c>
      <c r="AP84" s="58" t="s">
        <v>598</v>
      </c>
      <c r="AQ84" s="58" t="s">
        <v>599</v>
      </c>
      <c r="AR84" s="58" t="s">
        <v>600</v>
      </c>
      <c r="AS84" s="58" t="s">
        <v>601</v>
      </c>
      <c r="AT84" s="58" t="s">
        <v>602</v>
      </c>
      <c r="AU84" s="58" t="s">
        <v>603</v>
      </c>
      <c r="AV84" s="58" t="s">
        <v>604</v>
      </c>
      <c r="AW84" s="58" t="s">
        <v>605</v>
      </c>
      <c r="AX84" s="58" t="s">
        <v>606</v>
      </c>
      <c r="AY84" s="58" t="s">
        <v>607</v>
      </c>
      <c r="AZ84" s="58" t="s">
        <v>608</v>
      </c>
      <c r="BA84" s="58" t="s">
        <v>609</v>
      </c>
      <c r="BB84" s="57" t="s">
        <v>91</v>
      </c>
      <c r="BC84" s="58" t="s">
        <v>610</v>
      </c>
      <c r="BD84" s="58" t="s">
        <v>611</v>
      </c>
      <c r="BE84" s="58" t="s">
        <v>612</v>
      </c>
      <c r="BF84" s="58" t="s">
        <v>613</v>
      </c>
      <c r="BG84" s="58" t="s">
        <v>614</v>
      </c>
      <c r="BH84" s="58" t="s">
        <v>615</v>
      </c>
      <c r="BI84" s="58" t="s">
        <v>616</v>
      </c>
      <c r="BJ84" s="58" t="s">
        <v>617</v>
      </c>
      <c r="BK84" s="58" t="s">
        <v>618</v>
      </c>
      <c r="BL84" s="58" t="s">
        <v>619</v>
      </c>
      <c r="BM84" s="58" t="s">
        <v>620</v>
      </c>
      <c r="BN84" s="58" t="s">
        <v>621</v>
      </c>
    </row>
    <row r="85" customFormat="false" ht="15" hidden="false" customHeight="false" outlineLevel="0" collapsed="false">
      <c r="A85" s="4" t="s">
        <v>832</v>
      </c>
      <c r="B85" s="59" t="n">
        <f aca="false">SUM(C85:N85)</f>
        <v>34856.2557381081</v>
      </c>
      <c r="C85" s="60" t="n">
        <f aca="false">C45*(($I$6*'Timeline and FX'!C12)+$J$6*Payroll!$C$36*MIN(MAX(($I$6*'Timeline and FX'!C12),'Timeline and FX'!C14),'Timeline and FX'!C13))/'Timeline and FX'!C8</f>
        <v>2982.88834951456</v>
      </c>
      <c r="D85" s="60" t="n">
        <f aca="false">D45*(($I$6*'Timeline and FX'!D12)+$J$6*Payroll!$C$36*MIN(MAX(($I$6*'Timeline and FX'!D12),'Timeline and FX'!D14),'Timeline and FX'!D13))/'Timeline and FX'!D8</f>
        <v>2968.43932101935</v>
      </c>
      <c r="E85" s="60" t="n">
        <f aca="false">E45*(($I$6*'Timeline and FX'!E12)+$J$6*Payroll!$C$36*MIN(MAX(($I$6*'Timeline and FX'!E12),'Timeline and FX'!E14),'Timeline and FX'!E13))/'Timeline and FX'!E8</f>
        <v>2954.06028321772</v>
      </c>
      <c r="F85" s="60" t="n">
        <f aca="false">F45*(($I$6*'Timeline and FX'!F12)+$J$6*Payroll!$C$36*MIN(MAX(($I$6*'Timeline and FX'!F12),'Timeline and FX'!F14),'Timeline and FX'!F13))/'Timeline and FX'!F8</f>
        <v>2939.75089707668</v>
      </c>
      <c r="G85" s="60" t="n">
        <f aca="false">G45*(($I$6*'Timeline and FX'!G12)+$J$6*Payroll!$C$36*MIN(MAX(($I$6*'Timeline and FX'!G12),'Timeline and FX'!G14),'Timeline and FX'!G13))/'Timeline and FX'!G8</f>
        <v>2925.51082520554</v>
      </c>
      <c r="H85" s="60" t="n">
        <f aca="false">H45*(($I$6*'Timeline and FX'!H12)+$J$6*Payroll!$C$36*MIN(MAX(($I$6*'Timeline and FX'!H12),'Timeline and FX'!H14),'Timeline and FX'!H13))/'Timeline and FX'!H8</f>
        <v>2911.33973184787</v>
      </c>
      <c r="I85" s="60" t="n">
        <f aca="false">I45*(($I$6*'Timeline and FX'!I12)+$J$6*Payroll!$C$36*MIN(MAX(($I$6*'Timeline and FX'!I12),'Timeline and FX'!I14),'Timeline and FX'!I13))/'Timeline and FX'!I8</f>
        <v>2897.23728287369</v>
      </c>
      <c r="J85" s="60" t="n">
        <f aca="false">J45*(($I$6*'Timeline and FX'!J12)+$J$6*Payroll!$C$36*MIN(MAX(($I$6*'Timeline and FX'!J12),'Timeline and FX'!J14),'Timeline and FX'!J13))/'Timeline and FX'!J8</f>
        <v>2883.20314577149</v>
      </c>
      <c r="K85" s="60" t="n">
        <f aca="false">K45*(($I$6*'Timeline and FX'!K12)+$J$6*Payroll!$C$36*MIN(MAX(($I$6*'Timeline and FX'!K12),'Timeline and FX'!K14),'Timeline and FX'!K13))/'Timeline and FX'!K8</f>
        <v>2869.23698964046</v>
      </c>
      <c r="L85" s="60" t="n">
        <f aca="false">L45*(($I$6*'Timeline and FX'!L12)+$J$6*Payroll!$C$36*MIN(MAX(($I$6*'Timeline and FX'!L12),'Timeline and FX'!L14),'Timeline and FX'!L13))/'Timeline and FX'!L8</f>
        <v>2855.33848518267</v>
      </c>
      <c r="M85" s="60" t="n">
        <f aca="false">M45*(($I$6*'Timeline and FX'!M12)+$J$6*Payroll!$C$36*MIN(MAX(($I$6*'Timeline and FX'!M12),'Timeline and FX'!M14),'Timeline and FX'!M13))/'Timeline and FX'!M8</f>
        <v>2841.50730469527</v>
      </c>
      <c r="N85" s="60" t="n">
        <f aca="false">N45*(($I$6*'Timeline and FX'!N12)+$J$6*Payroll!$C$36*MIN(MAX(($I$6*'Timeline and FX'!N12),'Timeline and FX'!N14),'Timeline and FX'!N13))/'Timeline and FX'!N8</f>
        <v>2827.74312206283</v>
      </c>
      <c r="O85" s="59" t="n">
        <f aca="false">SUM(P85:AA85)</f>
        <v>36852.4899735533</v>
      </c>
      <c r="P85" s="60" t="n">
        <f aca="false">P45*(($I$6*'Timeline and FX'!P12)+$J$6*Payroll!$C$36*MIN(MAX(($I$6*'Timeline and FX'!P12),'Timeline and FX'!P14),'Timeline and FX'!P13))/'Timeline and FX'!P8</f>
        <v>3153.71977468401</v>
      </c>
      <c r="Q85" s="60" t="n">
        <f aca="false">Q45*(($I$6*'Timeline and FX'!Q12)+$J$6*Payroll!$C$36*MIN(MAX(($I$6*'Timeline and FX'!Q12),'Timeline and FX'!Q14),'Timeline and FX'!Q13))/'Timeline and FX'!Q8</f>
        <v>3138.44324349981</v>
      </c>
      <c r="R85" s="60" t="n">
        <f aca="false">R45*(($I$6*'Timeline and FX'!R12)+$J$6*Payroll!$C$36*MIN(MAX(($I$6*'Timeline and FX'!R12),'Timeline and FX'!R14),'Timeline and FX'!R13))/'Timeline and FX'!R8</f>
        <v>3123.24071140929</v>
      </c>
      <c r="S85" s="60" t="n">
        <f aca="false">S45*(($I$6*'Timeline and FX'!S12)+$J$6*Payroll!$C$36*MIN(MAX(($I$6*'Timeline and FX'!S12),'Timeline and FX'!S14),'Timeline and FX'!S13))/'Timeline and FX'!S8</f>
        <v>3108.11181996288</v>
      </c>
      <c r="T85" s="60" t="n">
        <f aca="false">T45*(($I$6*'Timeline and FX'!T12)+$J$6*Payroll!$C$36*MIN(MAX(($I$6*'Timeline and FX'!T12),'Timeline and FX'!T14),'Timeline and FX'!T13))/'Timeline and FX'!T8</f>
        <v>3093.05621244735</v>
      </c>
      <c r="U85" s="60" t="n">
        <f aca="false">U45*(($I$6*'Timeline and FX'!U12)+$J$6*Payroll!$C$36*MIN(MAX(($I$6*'Timeline and FX'!U12),'Timeline and FX'!U14),'Timeline and FX'!U13))/'Timeline and FX'!U8</f>
        <v>3078.07353387735</v>
      </c>
      <c r="V85" s="60" t="n">
        <f aca="false">V45*(($I$6*'Timeline and FX'!V12)+$J$6*Payroll!$C$36*MIN(MAX(($I$6*'Timeline and FX'!V12),'Timeline and FX'!V14),'Timeline and FX'!V13))/'Timeline and FX'!V8</f>
        <v>3063.16343098711</v>
      </c>
      <c r="W85" s="60" t="n">
        <f aca="false">W45*(($I$6*'Timeline and FX'!W12)+$J$6*Payroll!$C$36*MIN(MAX(($I$6*'Timeline and FX'!W12),'Timeline and FX'!W14),'Timeline and FX'!W13))/'Timeline and FX'!W8</f>
        <v>3048.32555222205</v>
      </c>
      <c r="X85" s="60" t="n">
        <f aca="false">X45*(($I$6*'Timeline and FX'!X12)+$J$6*Payroll!$C$36*MIN(MAX(($I$6*'Timeline and FX'!X12),'Timeline and FX'!X14),'Timeline and FX'!X13))/'Timeline and FX'!X8</f>
        <v>3033.55954773049</v>
      </c>
      <c r="Y85" s="60" t="n">
        <f aca="false">Y45*(($I$6*'Timeline and FX'!Y12)+$J$6*Payroll!$C$36*MIN(MAX(($I$6*'Timeline and FX'!Y12),'Timeline and FX'!Y14),'Timeline and FX'!Y13))/'Timeline and FX'!Y8</f>
        <v>3018.86506935545</v>
      </c>
      <c r="Z85" s="60" t="n">
        <f aca="false">Z45*(($I$6*'Timeline and FX'!Z12)+$J$6*Payroll!$C$36*MIN(MAX(($I$6*'Timeline and FX'!Z12),'Timeline and FX'!Z14),'Timeline and FX'!Z13))/'Timeline and FX'!Z8</f>
        <v>3004.24177062641</v>
      </c>
      <c r="AA85" s="60" t="n">
        <f aca="false">AA45*(($I$6*'Timeline and FX'!AA12)+$J$6*Payroll!$C$36*MIN(MAX(($I$6*'Timeline and FX'!AA12),'Timeline and FX'!AA14),'Timeline and FX'!AA13))/'Timeline and FX'!AA8</f>
        <v>2989.68930675114</v>
      </c>
      <c r="AB85" s="59" t="n">
        <f aca="false">SUM(AC85:AN85)</f>
        <v>38963.6916907091</v>
      </c>
      <c r="AC85" s="60" t="n">
        <f aca="false">AC45*(($I$6*'Timeline and FX'!AC12)+$J$6*Payroll!$C$36*MIN(MAX(($I$6*'Timeline and FX'!AC12),'Timeline and FX'!AC14),'Timeline and FX'!AC13))/'Timeline and FX'!AC8</f>
        <v>3334.3897540672</v>
      </c>
      <c r="AD85" s="60" t="n">
        <f aca="false">AD45*(($I$6*'Timeline and FX'!AD12)+$J$6*Payroll!$C$36*MIN(MAX(($I$6*'Timeline and FX'!AD12),'Timeline and FX'!AD14),'Timeline and FX'!AD13))/'Timeline and FX'!AD8</f>
        <v>3318.23806251008</v>
      </c>
      <c r="AE85" s="60" t="n">
        <f aca="false">AE45*(($I$6*'Timeline and FX'!AE12)+$J$6*Payroll!$C$36*MIN(MAX(($I$6*'Timeline and FX'!AE12),'Timeline and FX'!AE14),'Timeline and FX'!AE13))/'Timeline and FX'!AE8</f>
        <v>3302.16460929923</v>
      </c>
      <c r="AF85" s="60" t="n">
        <f aca="false">AF45*(($I$6*'Timeline and FX'!AF12)+$J$6*Payroll!$C$36*MIN(MAX(($I$6*'Timeline and FX'!AF12),'Timeline and FX'!AF14),'Timeline and FX'!AF13))/'Timeline and FX'!AF8</f>
        <v>3286.16901545027</v>
      </c>
      <c r="AG85" s="60" t="n">
        <f aca="false">AG45*(($I$6*'Timeline and FX'!AG12)+$J$6*Payroll!$C$36*MIN(MAX(($I$6*'Timeline and FX'!AG12),'Timeline and FX'!AG14),'Timeline and FX'!AG13))/'Timeline and FX'!AG8</f>
        <v>3270.25090381459</v>
      </c>
      <c r="AH85" s="60" t="n">
        <f aca="false">AH45*(($I$6*'Timeline and FX'!AH12)+$J$6*Payroll!$C$36*MIN(MAX(($I$6*'Timeline and FX'!AH12),'Timeline and FX'!AH14),'Timeline and FX'!AH13))/'Timeline and FX'!AH8</f>
        <v>3254.40989907051</v>
      </c>
      <c r="AI85" s="60" t="n">
        <f aca="false">AI45*(($I$6*'Timeline and FX'!AI12)+$J$6*Payroll!$C$36*MIN(MAX(($I$6*'Timeline and FX'!AI12),'Timeline and FX'!AI14),'Timeline and FX'!AI13))/'Timeline and FX'!AI8</f>
        <v>3238.64562771438</v>
      </c>
      <c r="AJ85" s="60" t="n">
        <f aca="false">AJ45*(($I$6*'Timeline and FX'!AJ12)+$J$6*Payroll!$C$36*MIN(MAX(($I$6*'Timeline and FX'!AJ12),'Timeline and FX'!AJ14),'Timeline and FX'!AJ13))/'Timeline and FX'!AJ8</f>
        <v>3222.9577180518</v>
      </c>
      <c r="AK85" s="60" t="n">
        <f aca="false">AK45*(($I$6*'Timeline and FX'!AK12)+$J$6*Payroll!$C$36*MIN(MAX(($I$6*'Timeline and FX'!AK12),'Timeline and FX'!AK14),'Timeline and FX'!AK13))/'Timeline and FX'!AK8</f>
        <v>3207.34580018884</v>
      </c>
      <c r="AL85" s="60" t="n">
        <f aca="false">AL45*(($I$6*'Timeline and FX'!AL12)+$J$6*Payroll!$C$36*MIN(MAX(($I$6*'Timeline and FX'!AL12),'Timeline and FX'!AL14),'Timeline and FX'!AL13))/'Timeline and FX'!AL8</f>
        <v>3191.80950602333</v>
      </c>
      <c r="AM85" s="60" t="n">
        <f aca="false">AM45*(($I$6*'Timeline and FX'!AM12)+$J$6*Payroll!$C$36*MIN(MAX(($I$6*'Timeline and FX'!AM12),'Timeline and FX'!AM14),'Timeline and FX'!AM13))/'Timeline and FX'!AM8</f>
        <v>3176.34846923618</v>
      </c>
      <c r="AN85" s="60" t="n">
        <f aca="false">AN45*(($I$6*'Timeline and FX'!AN12)+$J$6*Payroll!$C$36*MIN(MAX(($I$6*'Timeline and FX'!AN12),'Timeline and FX'!AN14),'Timeline and FX'!AN13))/'Timeline and FX'!AN8</f>
        <v>3160.96232528272</v>
      </c>
      <c r="AO85" s="59" t="n">
        <f aca="false">SUM(AP85:BA85)</f>
        <v>41196.5360094764</v>
      </c>
      <c r="AP85" s="60" t="n">
        <f aca="false">AP45*(($I$6*'Timeline and FX'!AP12)+$J$6*Payroll!$C$36*MIN(MAX(($I$6*'Timeline and FX'!AP12),'Timeline and FX'!AP14),'Timeline and FX'!AP13))/'Timeline and FX'!AP8</f>
        <v>3525.46952335661</v>
      </c>
      <c r="AQ85" s="60" t="n">
        <f aca="false">AQ45*(($I$6*'Timeline and FX'!AQ12)+$J$6*Payroll!$C$36*MIN(MAX(($I$6*'Timeline and FX'!AQ12),'Timeline and FX'!AQ14),'Timeline and FX'!AQ13))/'Timeline and FX'!AQ8</f>
        <v>3508.39224669278</v>
      </c>
      <c r="AR85" s="60" t="n">
        <f aca="false">AR45*(($I$6*'Timeline and FX'!AR12)+$J$6*Payroll!$C$36*MIN(MAX(($I$6*'Timeline and FX'!AR12),'Timeline and FX'!AR14),'Timeline and FX'!AR13))/'Timeline and FX'!AR8</f>
        <v>3491.39769188381</v>
      </c>
      <c r="AS85" s="60" t="n">
        <f aca="false">AS45*(($I$6*'Timeline and FX'!AS12)+$J$6*Payroll!$C$36*MIN(MAX(($I$6*'Timeline and FX'!AS12),'Timeline and FX'!AS14),'Timeline and FX'!AS13))/'Timeline and FX'!AS8</f>
        <v>3474.48545822734</v>
      </c>
      <c r="AT85" s="60" t="n">
        <f aca="false">AT45*(($I$6*'Timeline and FX'!AT12)+$J$6*Payroll!$C$36*MIN(MAX(($I$6*'Timeline and FX'!AT12),'Timeline and FX'!AT14),'Timeline and FX'!AT13))/'Timeline and FX'!AT8</f>
        <v>3457.65514696198</v>
      </c>
      <c r="AU85" s="60" t="n">
        <f aca="false">AU45*(($I$6*'Timeline and FX'!AU12)+$J$6*Payroll!$C$36*MIN(MAX(($I$6*'Timeline and FX'!AU12),'Timeline and FX'!AU14),'Timeline and FX'!AU13))/'Timeline and FX'!AU8</f>
        <v>3440.90636125795</v>
      </c>
      <c r="AV85" s="60" t="n">
        <f aca="false">AV45*(($I$6*'Timeline and FX'!AV12)+$J$6*Payroll!$C$36*MIN(MAX(($I$6*'Timeline and FX'!AV12),'Timeline and FX'!AV14),'Timeline and FX'!AV13))/'Timeline and FX'!AV8</f>
        <v>3424.23870620768</v>
      </c>
      <c r="AW85" s="60" t="n">
        <f aca="false">AW45*(($I$6*'Timeline and FX'!AW12)+$J$6*Payroll!$C$36*MIN(MAX(($I$6*'Timeline and FX'!AW12),'Timeline and FX'!AW14),'Timeline and FX'!AW13))/'Timeline and FX'!AW8</f>
        <v>3407.65178881653</v>
      </c>
      <c r="AX85" s="60" t="n">
        <f aca="false">AX45*(($I$6*'Timeline and FX'!AX12)+$J$6*Payroll!$C$36*MIN(MAX(($I$6*'Timeline and FX'!AX12),'Timeline and FX'!AX14),'Timeline and FX'!AX13))/'Timeline and FX'!AX8</f>
        <v>3391.14521799353</v>
      </c>
      <c r="AY85" s="60" t="n">
        <f aca="false">AY45*(($I$6*'Timeline and FX'!AY12)+$J$6*Payroll!$C$36*MIN(MAX(($I$6*'Timeline and FX'!AY12),'Timeline and FX'!AY14),'Timeline and FX'!AY13))/'Timeline and FX'!AY8</f>
        <v>3374.71860454212</v>
      </c>
      <c r="AZ85" s="60" t="n">
        <f aca="false">AZ45*(($I$6*'Timeline and FX'!AZ12)+$J$6*Payroll!$C$36*MIN(MAX(($I$6*'Timeline and FX'!AZ12),'Timeline and FX'!AZ14),'Timeline and FX'!AZ13))/'Timeline and FX'!AZ8</f>
        <v>3358.371561151</v>
      </c>
      <c r="BA85" s="60" t="n">
        <f aca="false">BA45*(($I$6*'Timeline and FX'!BA12)+$J$6*Payroll!$C$36*MIN(MAX(($I$6*'Timeline and FX'!BA12),'Timeline and FX'!BA14),'Timeline and FX'!BA13))/'Timeline and FX'!BA8</f>
        <v>3342.10370238502</v>
      </c>
      <c r="BB85" s="59" t="n">
        <f aca="false">SUM(BC85:BN85)</f>
        <v>43558.0901106876</v>
      </c>
      <c r="BC85" s="60" t="n">
        <f aca="false">BC45*(($I$6*'Timeline and FX'!BC12)+$J$6*Payroll!$C$36*MIN(MAX(($I$6*'Timeline and FX'!BC12),'Timeline and FX'!BC14),'Timeline and FX'!BC13))/'Timeline and FX'!BC8</f>
        <v>3727.56386958181</v>
      </c>
      <c r="BD85" s="60" t="n">
        <f aca="false">BD45*(($I$6*'Timeline and FX'!BD12)+$J$6*Payroll!$C$36*MIN(MAX(($I$6*'Timeline and FX'!BD12),'Timeline and FX'!BD14),'Timeline and FX'!BD13))/'Timeline and FX'!BD8</f>
        <v>3709.50765350585</v>
      </c>
      <c r="BE85" s="60" t="n">
        <f aca="false">BE45*(($I$6*'Timeline and FX'!BE12)+$J$6*Payroll!$C$36*MIN(MAX(($I$6*'Timeline and FX'!BE12),'Timeline and FX'!BE14),'Timeline and FX'!BE13))/'Timeline and FX'!BE8</f>
        <v>3691.53890124013</v>
      </c>
      <c r="BF85" s="60" t="n">
        <f aca="false">BF45*(($I$6*'Timeline and FX'!BF12)+$J$6*Payroll!$C$36*MIN(MAX(($I$6*'Timeline and FX'!BF12),'Timeline and FX'!BF14),'Timeline and FX'!BF13))/'Timeline and FX'!BF8</f>
        <v>3673.65718911239</v>
      </c>
      <c r="BG85" s="60" t="n">
        <f aca="false">BG45*(($I$6*'Timeline and FX'!BG12)+$J$6*Payroll!$C$36*MIN(MAX(($I$6*'Timeline and FX'!BG12),'Timeline and FX'!BG14),'Timeline and FX'!BG13))/'Timeline and FX'!BG8</f>
        <v>3655.86209550261</v>
      </c>
      <c r="BH85" s="60" t="n">
        <f aca="false">BH45*(($I$6*'Timeline and FX'!BH12)+$J$6*Payroll!$C$36*MIN(MAX(($I$6*'Timeline and FX'!BH12),'Timeline and FX'!BH14),'Timeline and FX'!BH13))/'Timeline and FX'!BH8</f>
        <v>3638.15320083309</v>
      </c>
      <c r="BI85" s="60" t="n">
        <f aca="false">BI45*(($I$6*'Timeline and FX'!BI12)+$J$6*Payroll!$C$36*MIN(MAX(($I$6*'Timeline and FX'!BI12),'Timeline and FX'!BI14),'Timeline and FX'!BI13))/'Timeline and FX'!BI8</f>
        <v>3620.53008755855</v>
      </c>
      <c r="BJ85" s="60" t="n">
        <f aca="false">BJ45*(($I$6*'Timeline and FX'!BJ12)+$J$6*Payroll!$C$36*MIN(MAX(($I$6*'Timeline and FX'!BJ12),'Timeline and FX'!BJ14),'Timeline and FX'!BJ13))/'Timeline and FX'!BJ8</f>
        <v>3602.9923401563</v>
      </c>
      <c r="BK85" s="60" t="n">
        <f aca="false">BK45*(($I$6*'Timeline and FX'!BK12)+$J$6*Payroll!$C$36*MIN(MAX(($I$6*'Timeline and FX'!BK12),'Timeline and FX'!BK14),'Timeline and FX'!BK13))/'Timeline and FX'!BK8</f>
        <v>3585.53954511641</v>
      </c>
      <c r="BL85" s="60" t="n">
        <f aca="false">BL45*(($I$6*'Timeline and FX'!BL12)+$J$6*Payroll!$C$36*MIN(MAX(($I$6*'Timeline and FX'!BL12),'Timeline and FX'!BL14),'Timeline and FX'!BL13))/'Timeline and FX'!BL8</f>
        <v>3568.17129093199</v>
      </c>
      <c r="BM85" s="60" t="n">
        <f aca="false">BM45*(($I$6*'Timeline and FX'!BM12)+$J$6*Payroll!$C$36*MIN(MAX(($I$6*'Timeline and FX'!BM12),'Timeline and FX'!BM14),'Timeline and FX'!BM13))/'Timeline and FX'!BM8</f>
        <v>3550.88716808949</v>
      </c>
      <c r="BN85" s="60" t="n">
        <f aca="false">BN45*(($I$6*'Timeline and FX'!BN12)+$J$6*Payroll!$C$36*MIN(MAX(($I$6*'Timeline and FX'!BN12),'Timeline and FX'!BN14),'Timeline and FX'!BN13))/'Timeline and FX'!BN8</f>
        <v>3533.68676905901</v>
      </c>
    </row>
    <row r="86" customFormat="false" ht="15" hidden="false" customHeight="false" outlineLevel="0" collapsed="false">
      <c r="A86" s="4" t="s">
        <v>834</v>
      </c>
      <c r="B86" s="59" t="n">
        <f aca="false">SUM(C86:N86)</f>
        <v>23511.2032174659</v>
      </c>
      <c r="C86" s="60" t="n">
        <f aca="false">C46*(($I$7*'Timeline and FX'!C12)+$J$7*Payroll!$C$36*MIN(MAX(($I$7*'Timeline and FX'!C12),'Timeline and FX'!C14),'Timeline and FX'!C13))/'Timeline and FX'!C8</f>
        <v>2012.0145631068</v>
      </c>
      <c r="D86" s="60" t="n">
        <f aca="false">D46*(($I$7*'Timeline and FX'!D12)+$J$7*Payroll!$C$36*MIN(MAX(($I$7*'Timeline and FX'!D12),'Timeline and FX'!D14),'Timeline and FX'!D13))/'Timeline and FX'!D8</f>
        <v>2002.26842032547</v>
      </c>
      <c r="E86" s="60" t="n">
        <f aca="false">E46*(($I$7*'Timeline and FX'!E12)+$J$7*Payroll!$C$36*MIN(MAX(($I$7*'Timeline and FX'!E12),'Timeline and FX'!E14),'Timeline and FX'!E13))/'Timeline and FX'!E8</f>
        <v>1992.56948758967</v>
      </c>
      <c r="F86" s="60" t="n">
        <f aca="false">F46*(($I$7*'Timeline and FX'!F12)+$J$7*Payroll!$C$36*MIN(MAX(($I$7*'Timeline and FX'!F12),'Timeline and FX'!F14),'Timeline and FX'!F13))/'Timeline and FX'!F8</f>
        <v>1982.91753621524</v>
      </c>
      <c r="G86" s="60" t="n">
        <f aca="false">G46*(($I$7*'Timeline and FX'!G12)+$J$7*Payroll!$C$36*MIN(MAX(($I$7*'Timeline and FX'!G12),'Timeline and FX'!G14),'Timeline and FX'!G13))/'Timeline and FX'!G8</f>
        <v>1973.31233862576</v>
      </c>
      <c r="H86" s="60" t="n">
        <f aca="false">H46*(($I$7*'Timeline and FX'!H12)+$J$7*Payroll!$C$36*MIN(MAX(($I$7*'Timeline and FX'!H12),'Timeline and FX'!H14),'Timeline and FX'!H13))/'Timeline and FX'!H8</f>
        <v>1963.7536683472</v>
      </c>
      <c r="I86" s="60" t="n">
        <f aca="false">I46*(($I$7*'Timeline and FX'!I12)+$J$7*Payroll!$C$36*MIN(MAX(($I$7*'Timeline and FX'!I12),'Timeline and FX'!I14),'Timeline and FX'!I13))/'Timeline and FX'!I8</f>
        <v>1954.24130000256</v>
      </c>
      <c r="J86" s="60" t="n">
        <f aca="false">J46*(($I$7*'Timeline and FX'!J12)+$J$7*Payroll!$C$36*MIN(MAX(($I$7*'Timeline and FX'!J12),'Timeline and FX'!J14),'Timeline and FX'!J13))/'Timeline and FX'!J8</f>
        <v>1944.77500930654</v>
      </c>
      <c r="K86" s="60" t="n">
        <f aca="false">K46*(($I$7*'Timeline and FX'!K12)+$J$7*Payroll!$C$36*MIN(MAX(($I$7*'Timeline and FX'!K12),'Timeline and FX'!K14),'Timeline and FX'!K13))/'Timeline and FX'!K8</f>
        <v>1935.3545730603</v>
      </c>
      <c r="L86" s="60" t="n">
        <f aca="false">L46*(($I$7*'Timeline and FX'!L12)+$J$7*Payroll!$C$36*MIN(MAX(($I$7*'Timeline and FX'!L12),'Timeline and FX'!L14),'Timeline and FX'!L13))/'Timeline and FX'!L8</f>
        <v>1925.97976914616</v>
      </c>
      <c r="M86" s="60" t="n">
        <f aca="false">M46*(($I$7*'Timeline and FX'!M12)+$J$7*Payroll!$C$36*MIN(MAX(($I$7*'Timeline and FX'!M12),'Timeline and FX'!M14),'Timeline and FX'!M13))/'Timeline and FX'!M8</f>
        <v>1916.65037652235</v>
      </c>
      <c r="N86" s="60" t="n">
        <f aca="false">N46*(($I$7*'Timeline and FX'!N12)+$J$7*Payroll!$C$36*MIN(MAX(($I$7*'Timeline and FX'!N12),'Timeline and FX'!N14),'Timeline and FX'!N13))/'Timeline and FX'!N8</f>
        <v>1907.36617521785</v>
      </c>
      <c r="O86" s="59" t="n">
        <f aca="false">SUM(P86:AA86)</f>
        <v>24865.2646687238</v>
      </c>
      <c r="P86" s="60" t="n">
        <f aca="false">P46*(($I$7*'Timeline and FX'!P12)+$J$7*Payroll!$C$36*MIN(MAX(($I$7*'Timeline and FX'!P12),'Timeline and FX'!P14),'Timeline and FX'!P13))/'Timeline and FX'!P8</f>
        <v>2127.8908682909</v>
      </c>
      <c r="Q86" s="60" t="n">
        <f aca="false">Q46*(($I$7*'Timeline and FX'!Q12)+$J$7*Payroll!$C$36*MIN(MAX(($I$7*'Timeline and FX'!Q12),'Timeline and FX'!Q14),'Timeline and FX'!Q13))/'Timeline and FX'!Q8</f>
        <v>2117.58342389874</v>
      </c>
      <c r="R86" s="60" t="n">
        <f aca="false">R46*(($I$7*'Timeline and FX'!R12)+$J$7*Payroll!$C$36*MIN(MAX(($I$7*'Timeline and FX'!R12),'Timeline and FX'!R14),'Timeline and FX'!R13))/'Timeline and FX'!R8</f>
        <v>2107.32590848155</v>
      </c>
      <c r="S86" s="60" t="n">
        <f aca="false">S46*(($I$7*'Timeline and FX'!S12)+$J$7*Payroll!$C$36*MIN(MAX(($I$7*'Timeline and FX'!S12),'Timeline and FX'!S14),'Timeline and FX'!S13))/'Timeline and FX'!S8</f>
        <v>2097.11808018475</v>
      </c>
      <c r="T86" s="60" t="n">
        <f aca="false">T46*(($I$7*'Timeline and FX'!T12)+$J$7*Payroll!$C$36*MIN(MAX(($I$7*'Timeline and FX'!T12),'Timeline and FX'!T14),'Timeline and FX'!T13))/'Timeline and FX'!T8</f>
        <v>2086.95969832532</v>
      </c>
      <c r="U86" s="60" t="n">
        <f aca="false">U46*(($I$7*'Timeline and FX'!U12)+$J$7*Payroll!$C$36*MIN(MAX(($I$7*'Timeline and FX'!U12),'Timeline and FX'!U14),'Timeline and FX'!U13))/'Timeline and FX'!U8</f>
        <v>2076.85052338608</v>
      </c>
      <c r="V86" s="60" t="n">
        <f aca="false">V46*(($I$7*'Timeline and FX'!V12)+$J$7*Payroll!$C$36*MIN(MAX(($I$7*'Timeline and FX'!V12),'Timeline and FX'!V14),'Timeline and FX'!V13))/'Timeline and FX'!V8</f>
        <v>2066.79031701007</v>
      </c>
      <c r="W86" s="60" t="n">
        <f aca="false">W46*(($I$7*'Timeline and FX'!W12)+$J$7*Payroll!$C$36*MIN(MAX(($I$7*'Timeline and FX'!W12),'Timeline and FX'!W14),'Timeline and FX'!W13))/'Timeline and FX'!W8</f>
        <v>2056.77884199493</v>
      </c>
      <c r="X86" s="60" t="n">
        <f aca="false">X46*(($I$7*'Timeline and FX'!X12)+$J$7*Payroll!$C$36*MIN(MAX(($I$7*'Timeline and FX'!X12),'Timeline and FX'!X14),'Timeline and FX'!X13))/'Timeline and FX'!X8</f>
        <v>2046.8158622873</v>
      </c>
      <c r="Y86" s="60" t="n">
        <f aca="false">Y46*(($I$7*'Timeline and FX'!Y12)+$J$7*Payroll!$C$36*MIN(MAX(($I$7*'Timeline and FX'!Y12),'Timeline and FX'!Y14),'Timeline and FX'!Y13))/'Timeline and FX'!Y8</f>
        <v>2036.90114297726</v>
      </c>
      <c r="Z86" s="60" t="n">
        <f aca="false">Z46*(($I$7*'Timeline and FX'!Z12)+$J$7*Payroll!$C$36*MIN(MAX(($I$7*'Timeline and FX'!Z12),'Timeline and FX'!Z14),'Timeline and FX'!Z13))/'Timeline and FX'!Z8</f>
        <v>2027.03445029276</v>
      </c>
      <c r="AA86" s="60" t="n">
        <f aca="false">AA46*(($I$7*'Timeline and FX'!AA12)+$J$7*Payroll!$C$36*MIN(MAX(($I$7*'Timeline and FX'!AA12),'Timeline and FX'!AA14),'Timeline and FX'!AA13))/'Timeline and FX'!AA8</f>
        <v>2017.21555159418</v>
      </c>
      <c r="AB86" s="59" t="n">
        <f aca="false">SUM(AC86:AN86)</f>
        <v>26297.9441988138</v>
      </c>
      <c r="AC86" s="60" t="n">
        <f aca="false">AC46*(($I$7*'Timeline and FX'!AC12)+$J$7*Payroll!$C$36*MIN(MAX(($I$7*'Timeline and FX'!AC12),'Timeline and FX'!AC14),'Timeline and FX'!AC13))/'Timeline and FX'!AC8</f>
        <v>2250.49506051976</v>
      </c>
      <c r="AD86" s="60" t="n">
        <f aca="false">AD46*(($I$7*'Timeline and FX'!AD12)+$J$7*Payroll!$C$36*MIN(MAX(($I$7*'Timeline and FX'!AD12),'Timeline and FX'!AD14),'Timeline and FX'!AD13))/'Timeline and FX'!AD8</f>
        <v>2239.59372481838</v>
      </c>
      <c r="AE86" s="60" t="n">
        <f aca="false">AE46*(($I$7*'Timeline and FX'!AE12)+$J$7*Payroll!$C$36*MIN(MAX(($I$7*'Timeline and FX'!AE12),'Timeline and FX'!AE14),'Timeline and FX'!AE13))/'Timeline and FX'!AE8</f>
        <v>2228.74519488501</v>
      </c>
      <c r="AF86" s="60" t="n">
        <f aca="false">AF46*(($I$7*'Timeline and FX'!AF12)+$J$7*Payroll!$C$36*MIN(MAX(($I$7*'Timeline and FX'!AF12),'Timeline and FX'!AF14),'Timeline and FX'!AF13))/'Timeline and FX'!AF8</f>
        <v>2217.94921492998</v>
      </c>
      <c r="AG86" s="60" t="n">
        <f aca="false">AG46*(($I$7*'Timeline and FX'!AG12)+$J$7*Payroll!$C$36*MIN(MAX(($I$7*'Timeline and FX'!AG12),'Timeline and FX'!AG14),'Timeline and FX'!AG13))/'Timeline and FX'!AG8</f>
        <v>2207.20553040264</v>
      </c>
      <c r="AH86" s="60" t="n">
        <f aca="false">AH46*(($I$7*'Timeline and FX'!AH12)+$J$7*Payroll!$C$36*MIN(MAX(($I$7*'Timeline and FX'!AH12),'Timeline and FX'!AH14),'Timeline and FX'!AH13))/'Timeline and FX'!AH8</f>
        <v>2196.51388798539</v>
      </c>
      <c r="AI86" s="60" t="n">
        <f aca="false">AI46*(($I$7*'Timeline and FX'!AI12)+$J$7*Payroll!$C$36*MIN(MAX(($I$7*'Timeline and FX'!AI12),'Timeline and FX'!AI14),'Timeline and FX'!AI13))/'Timeline and FX'!AI8</f>
        <v>2185.8740355877</v>
      </c>
      <c r="AJ86" s="60" t="n">
        <f aca="false">AJ46*(($I$7*'Timeline and FX'!AJ12)+$J$7*Payroll!$C$36*MIN(MAX(($I$7*'Timeline and FX'!AJ12),'Timeline and FX'!AJ14),'Timeline and FX'!AJ13))/'Timeline and FX'!AJ8</f>
        <v>2175.28572234014</v>
      </c>
      <c r="AK86" s="60" t="n">
        <f aca="false">AK46*(($I$7*'Timeline and FX'!AK12)+$J$7*Payroll!$C$36*MIN(MAX(($I$7*'Timeline and FX'!AK12),'Timeline and FX'!AK14),'Timeline and FX'!AK13))/'Timeline and FX'!AK8</f>
        <v>2164.7486985885</v>
      </c>
      <c r="AL86" s="60" t="n">
        <f aca="false">AL46*(($I$7*'Timeline and FX'!AL12)+$J$7*Payroll!$C$36*MIN(MAX(($I$7*'Timeline and FX'!AL12),'Timeline and FX'!AL14),'Timeline and FX'!AL13))/'Timeline and FX'!AL8</f>
        <v>2154.26271588788</v>
      </c>
      <c r="AM86" s="60" t="n">
        <f aca="false">AM46*(($I$7*'Timeline and FX'!AM12)+$J$7*Payroll!$C$36*MIN(MAX(($I$7*'Timeline and FX'!AM12),'Timeline and FX'!AM14),'Timeline and FX'!AM13))/'Timeline and FX'!AM8</f>
        <v>2143.82752699685</v>
      </c>
      <c r="AN86" s="60" t="n">
        <f aca="false">AN46*(($I$7*'Timeline and FX'!AN12)+$J$7*Payroll!$C$36*MIN(MAX(($I$7*'Timeline and FX'!AN12),'Timeline and FX'!AN14),'Timeline and FX'!AN13))/'Timeline and FX'!AN8</f>
        <v>2133.4428858716</v>
      </c>
      <c r="AO86" s="59" t="n">
        <f aca="false">SUM(AP86:BA86)</f>
        <v>27813.8594142662</v>
      </c>
      <c r="AP86" s="60" t="n">
        <f aca="false">AP46*(($I$7*'Timeline and FX'!AP12)+$J$7*Payroll!$C$36*MIN(MAX(($I$7*'Timeline and FX'!AP12),'Timeline and FX'!AP14),'Timeline and FX'!AP13))/'Timeline and FX'!AP8</f>
        <v>2380.22229998573</v>
      </c>
      <c r="AQ86" s="60" t="n">
        <f aca="false">AQ46*(($I$7*'Timeline and FX'!AQ12)+$J$7*Payroll!$C$36*MIN(MAX(($I$7*'Timeline and FX'!AQ12),'Timeline and FX'!AQ14),'Timeline and FX'!AQ13))/'Timeline and FX'!AQ8</f>
        <v>2368.69256913173</v>
      </c>
      <c r="AR86" s="60" t="n">
        <f aca="false">AR46*(($I$7*'Timeline and FX'!AR12)+$J$7*Payroll!$C$36*MIN(MAX(($I$7*'Timeline and FX'!AR12),'Timeline and FX'!AR14),'Timeline and FX'!AR13))/'Timeline and FX'!AR8</f>
        <v>2357.21868797444</v>
      </c>
      <c r="AS86" s="60" t="n">
        <f aca="false">AS46*(($I$7*'Timeline and FX'!AS12)+$J$7*Payroll!$C$36*MIN(MAX(($I$7*'Timeline and FX'!AS12),'Timeline and FX'!AS14),'Timeline and FX'!AS13))/'Timeline and FX'!AS8</f>
        <v>2345.80038597949</v>
      </c>
      <c r="AT86" s="60" t="n">
        <f aca="false">AT46*(($I$7*'Timeline and FX'!AT12)+$J$7*Payroll!$C$36*MIN(MAX(($I$7*'Timeline and FX'!AT12),'Timeline and FX'!AT14),'Timeline and FX'!AT13))/'Timeline and FX'!AT8</f>
        <v>2334.43739392294</v>
      </c>
      <c r="AU86" s="60" t="n">
        <f aca="false">AU46*(($I$7*'Timeline and FX'!AU12)+$J$7*Payroll!$C$36*MIN(MAX(($I$7*'Timeline and FX'!AU12),'Timeline and FX'!AU14),'Timeline and FX'!AU13))/'Timeline and FX'!AU8</f>
        <v>2323.12944388499</v>
      </c>
      <c r="AV86" s="60" t="n">
        <f aca="false">AV46*(($I$7*'Timeline and FX'!AV12)+$J$7*Payroll!$C$36*MIN(MAX(($I$7*'Timeline and FX'!AV12),'Timeline and FX'!AV14),'Timeline and FX'!AV13))/'Timeline and FX'!AV8</f>
        <v>2311.87626924363</v>
      </c>
      <c r="AW86" s="60" t="n">
        <f aca="false">AW46*(($I$7*'Timeline and FX'!AW12)+$J$7*Payroll!$C$36*MIN(MAX(($I$7*'Timeline and FX'!AW12),'Timeline and FX'!AW14),'Timeline and FX'!AW13))/'Timeline and FX'!AW8</f>
        <v>2300.67760466836</v>
      </c>
      <c r="AX86" s="60" t="n">
        <f aca="false">AX46*(($I$7*'Timeline and FX'!AX12)+$J$7*Payroll!$C$36*MIN(MAX(($I$7*'Timeline and FX'!AX12),'Timeline and FX'!AX14),'Timeline and FX'!AX13))/'Timeline and FX'!AX8</f>
        <v>2289.53318611392</v>
      </c>
      <c r="AY86" s="60" t="n">
        <f aca="false">AY46*(($I$7*'Timeline and FX'!AY12)+$J$7*Payroll!$C$36*MIN(MAX(($I$7*'Timeline and FX'!AY12),'Timeline and FX'!AY14),'Timeline and FX'!AY13))/'Timeline and FX'!AY8</f>
        <v>2278.44275081409</v>
      </c>
      <c r="AZ86" s="60" t="n">
        <f aca="false">AZ46*(($I$7*'Timeline and FX'!AZ12)+$J$7*Payroll!$C$36*MIN(MAX(($I$7*'Timeline and FX'!AZ12),'Timeline and FX'!AZ14),'Timeline and FX'!AZ13))/'Timeline and FX'!AZ8</f>
        <v>2267.40603727549</v>
      </c>
      <c r="BA86" s="60" t="n">
        <f aca="false">BA46*(($I$7*'Timeline and FX'!BA12)+$J$7*Payroll!$C$36*MIN(MAX(($I$7*'Timeline and FX'!BA12),'Timeline and FX'!BA14),'Timeline and FX'!BA13))/'Timeline and FX'!BA8</f>
        <v>2256.42278527139</v>
      </c>
      <c r="BB86" s="59" t="n">
        <f aca="false">SUM(BC86:BN86)</f>
        <v>29417.9035195222</v>
      </c>
      <c r="BC86" s="60" t="n">
        <f aca="false">BC46*(($I$7*'Timeline and FX'!BC12)+$J$7*Payroll!$C$36*MIN(MAX(($I$7*'Timeline and FX'!BC12),'Timeline and FX'!BC14),'Timeline and FX'!BC13))/'Timeline and FX'!BC8</f>
        <v>2517.49133168051</v>
      </c>
      <c r="BD86" s="60" t="n">
        <f aca="false">BD46*(($I$7*'Timeline and FX'!BD12)+$J$7*Payroll!$C$36*MIN(MAX(($I$7*'Timeline and FX'!BD12),'Timeline and FX'!BD14),'Timeline and FX'!BD13))/'Timeline and FX'!BD8</f>
        <v>2505.29667344135</v>
      </c>
      <c r="BE86" s="60" t="n">
        <f aca="false">BE46*(($I$7*'Timeline and FX'!BE12)+$J$7*Payroll!$C$36*MIN(MAX(($I$7*'Timeline and FX'!BE12),'Timeline and FX'!BE14),'Timeline and FX'!BE13))/'Timeline and FX'!BE8</f>
        <v>2493.16108578872</v>
      </c>
      <c r="BF86" s="60" t="n">
        <f aca="false">BF46*(($I$7*'Timeline and FX'!BF12)+$J$7*Payroll!$C$36*MIN(MAX(($I$7*'Timeline and FX'!BF12),'Timeline and FX'!BF14),'Timeline and FX'!BF13))/'Timeline and FX'!BF8</f>
        <v>2481.08428258636</v>
      </c>
      <c r="BG86" s="60" t="n">
        <f aca="false">BG46*(($I$7*'Timeline and FX'!BG12)+$J$7*Payroll!$C$36*MIN(MAX(($I$7*'Timeline and FX'!BG12),'Timeline and FX'!BG14),'Timeline and FX'!BG13))/'Timeline and FX'!BG8</f>
        <v>2469.065979084</v>
      </c>
      <c r="BH86" s="60" t="n">
        <f aca="false">BH46*(($I$7*'Timeline and FX'!BH12)+$J$7*Payroll!$C$36*MIN(MAX(($I$7*'Timeline and FX'!BH12),'Timeline and FX'!BH14),'Timeline and FX'!BH13))/'Timeline and FX'!BH8</f>
        <v>2457.10589191072</v>
      </c>
      <c r="BI86" s="60" t="n">
        <f aca="false">BI46*(($I$7*'Timeline and FX'!BI12)+$J$7*Payroll!$C$36*MIN(MAX(($I$7*'Timeline and FX'!BI12),'Timeline and FX'!BI14),'Timeline and FX'!BI13))/'Timeline and FX'!BI8</f>
        <v>2445.20373906824</v>
      </c>
      <c r="BJ86" s="60" t="n">
        <f aca="false">BJ46*(($I$7*'Timeline and FX'!BJ12)+$J$7*Payroll!$C$36*MIN(MAX(($I$7*'Timeline and FX'!BJ12),'Timeline and FX'!BJ14),'Timeline and FX'!BJ13))/'Timeline and FX'!BJ8</f>
        <v>2433.35923992426</v>
      </c>
      <c r="BK86" s="60" t="n">
        <f aca="false">BK46*(($I$7*'Timeline and FX'!BK12)+$J$7*Payroll!$C$36*MIN(MAX(($I$7*'Timeline and FX'!BK12),'Timeline and FX'!BK14),'Timeline and FX'!BK13))/'Timeline and FX'!BK8</f>
        <v>2421.57211520587</v>
      </c>
      <c r="BL86" s="60" t="n">
        <f aca="false">BL46*(($I$7*'Timeline and FX'!BL12)+$J$7*Payroll!$C$36*MIN(MAX(($I$7*'Timeline and FX'!BL12),'Timeline and FX'!BL14),'Timeline and FX'!BL13))/'Timeline and FX'!BL8</f>
        <v>2409.84208699294</v>
      </c>
      <c r="BM86" s="60" t="n">
        <f aca="false">BM46*(($I$7*'Timeline and FX'!BM12)+$J$7*Payroll!$C$36*MIN(MAX(($I$7*'Timeline and FX'!BM12),'Timeline and FX'!BM14),'Timeline and FX'!BM13))/'Timeline and FX'!BM8</f>
        <v>2398.16887871158</v>
      </c>
      <c r="BN86" s="60" t="n">
        <f aca="false">BN46*(($I$7*'Timeline and FX'!BN12)+$J$7*Payroll!$C$36*MIN(MAX(($I$7*'Timeline and FX'!BN12),'Timeline and FX'!BN14),'Timeline and FX'!BN13))/'Timeline and FX'!BN8</f>
        <v>2386.55221512762</v>
      </c>
    </row>
    <row r="87" customFormat="false" ht="15" hidden="false" customHeight="false" outlineLevel="0" collapsed="false">
      <c r="A87" s="4" t="s">
        <v>835</v>
      </c>
      <c r="B87" s="59" t="n">
        <f aca="false">SUM(C87:N87)</f>
        <v>18973.182209209</v>
      </c>
      <c r="C87" s="60" t="n">
        <f aca="false">C47*(($I$8*'Timeline and FX'!C12)+$J$8*Payroll!$C$36*MIN(MAX(($I$8*'Timeline and FX'!C12),'Timeline and FX'!C14),'Timeline and FX'!C13))/'Timeline and FX'!C8</f>
        <v>1623.66504854369</v>
      </c>
      <c r="D87" s="60" t="n">
        <f aca="false">D47*(($I$8*'Timeline and FX'!D12)+$J$8*Payroll!$C$36*MIN(MAX(($I$8*'Timeline and FX'!D12),'Timeline and FX'!D14),'Timeline and FX'!D13))/'Timeline and FX'!D8</f>
        <v>1615.80006004792</v>
      </c>
      <c r="E87" s="60" t="n">
        <f aca="false">E47*(($I$8*'Timeline and FX'!E12)+$J$8*Payroll!$C$36*MIN(MAX(($I$8*'Timeline and FX'!E12),'Timeline and FX'!E14),'Timeline and FX'!E13))/'Timeline and FX'!E8</f>
        <v>1607.97316933845</v>
      </c>
      <c r="F87" s="60" t="n">
        <f aca="false">F47*(($I$8*'Timeline and FX'!F12)+$J$8*Payroll!$C$36*MIN(MAX(($I$8*'Timeline and FX'!F12),'Timeline and FX'!F14),'Timeline and FX'!F13))/'Timeline and FX'!F8</f>
        <v>1600.18419187066</v>
      </c>
      <c r="G87" s="60" t="n">
        <f aca="false">G47*(($I$8*'Timeline and FX'!G12)+$J$8*Payroll!$C$36*MIN(MAX(($I$8*'Timeline and FX'!G12),'Timeline and FX'!G14),'Timeline and FX'!G13))/'Timeline and FX'!G8</f>
        <v>1592.43294399385</v>
      </c>
      <c r="H87" s="60" t="n">
        <f aca="false">H47*(($I$8*'Timeline and FX'!H12)+$J$8*Payroll!$C$36*MIN(MAX(($I$8*'Timeline and FX'!H12),'Timeline and FX'!H14),'Timeline and FX'!H13))/'Timeline and FX'!H8</f>
        <v>1584.71924294693</v>
      </c>
      <c r="I87" s="60" t="n">
        <f aca="false">I47*(($I$8*'Timeline and FX'!I12)+$J$8*Payroll!$C$36*MIN(MAX(($I$8*'Timeline and FX'!I12),'Timeline and FX'!I14),'Timeline and FX'!I13))/'Timeline and FX'!I8</f>
        <v>1577.04290685411</v>
      </c>
      <c r="J87" s="60" t="n">
        <f aca="false">J47*(($I$8*'Timeline and FX'!J12)+$J$8*Payroll!$C$36*MIN(MAX(($I$8*'Timeline and FX'!J12),'Timeline and FX'!J14),'Timeline and FX'!J13))/'Timeline and FX'!J8</f>
        <v>1569.40375472056</v>
      </c>
      <c r="K87" s="60" t="n">
        <f aca="false">K47*(($I$8*'Timeline and FX'!K12)+$J$8*Payroll!$C$36*MIN(MAX(($I$8*'Timeline and FX'!K12),'Timeline and FX'!K14),'Timeline and FX'!K13))/'Timeline and FX'!K8</f>
        <v>1561.80160642824</v>
      </c>
      <c r="L87" s="60" t="n">
        <f aca="false">L47*(($I$8*'Timeline and FX'!L12)+$J$8*Payroll!$C$36*MIN(MAX(($I$8*'Timeline and FX'!L12),'Timeline and FX'!L14),'Timeline and FX'!L13))/'Timeline and FX'!L8</f>
        <v>1554.23628273155</v>
      </c>
      <c r="M87" s="60" t="n">
        <f aca="false">M47*(($I$8*'Timeline and FX'!M12)+$J$8*Payroll!$C$36*MIN(MAX(($I$8*'Timeline and FX'!M12),'Timeline and FX'!M14),'Timeline and FX'!M13))/'Timeline and FX'!M8</f>
        <v>1546.70760525318</v>
      </c>
      <c r="N87" s="60" t="n">
        <f aca="false">N47*(($I$8*'Timeline and FX'!N12)+$J$8*Payroll!$C$36*MIN(MAX(($I$8*'Timeline and FX'!N12),'Timeline and FX'!N14),'Timeline and FX'!N13))/'Timeline and FX'!N8</f>
        <v>1539.21539647986</v>
      </c>
      <c r="O87" s="59" t="n">
        <f aca="false">SUM(P87:AA87)</f>
        <v>20070.374546792</v>
      </c>
      <c r="P87" s="60" t="n">
        <f aca="false">P47*(($I$8*'Timeline and FX'!P12)+$J$8*Payroll!$C$36*MIN(MAX(($I$8*'Timeline and FX'!P12),'Timeline and FX'!P14),'Timeline and FX'!P13))/'Timeline and FX'!P8</f>
        <v>1717.55930573365</v>
      </c>
      <c r="Q87" s="60" t="n">
        <f aca="false">Q47*(($I$8*'Timeline and FX'!Q12)+$J$8*Payroll!$C$36*MIN(MAX(($I$8*'Timeline and FX'!Q12),'Timeline and FX'!Q14),'Timeline and FX'!Q13))/'Timeline and FX'!Q8</f>
        <v>1709.23949605831</v>
      </c>
      <c r="R87" s="60" t="n">
        <f aca="false">R47*(($I$8*'Timeline and FX'!R12)+$J$8*Payroll!$C$36*MIN(MAX(($I$8*'Timeline and FX'!R12),'Timeline and FX'!R14),'Timeline and FX'!R13))/'Timeline and FX'!R8</f>
        <v>1700.95998731045</v>
      </c>
      <c r="S87" s="60" t="n">
        <f aca="false">S47*(($I$8*'Timeline and FX'!S12)+$J$8*Payroll!$C$36*MIN(MAX(($I$8*'Timeline and FX'!S12),'Timeline and FX'!S14),'Timeline and FX'!S13))/'Timeline and FX'!S8</f>
        <v>1692.7205842735</v>
      </c>
      <c r="T87" s="60" t="n">
        <f aca="false">T47*(($I$8*'Timeline and FX'!T12)+$J$8*Payroll!$C$36*MIN(MAX(($I$8*'Timeline and FX'!T12),'Timeline and FX'!T14),'Timeline and FX'!T13))/'Timeline and FX'!T8</f>
        <v>1684.52109267651</v>
      </c>
      <c r="U87" s="60" t="n">
        <f aca="false">U47*(($I$8*'Timeline and FX'!U12)+$J$8*Payroll!$C$36*MIN(MAX(($I$8*'Timeline and FX'!U12),'Timeline and FX'!U14),'Timeline and FX'!U13))/'Timeline and FX'!U8</f>
        <v>1676.36131918957</v>
      </c>
      <c r="V87" s="60" t="n">
        <f aca="false">V47*(($I$8*'Timeline and FX'!V12)+$J$8*Payroll!$C$36*MIN(MAX(($I$8*'Timeline and FX'!V12),'Timeline and FX'!V14),'Timeline and FX'!V13))/'Timeline and FX'!V8</f>
        <v>1668.24107141925</v>
      </c>
      <c r="W87" s="60" t="n">
        <f aca="false">W47*(($I$8*'Timeline and FX'!W12)+$J$8*Payroll!$C$36*MIN(MAX(($I$8*'Timeline and FX'!W12),'Timeline and FX'!W14),'Timeline and FX'!W13))/'Timeline and FX'!W8</f>
        <v>1660.16015790409</v>
      </c>
      <c r="X87" s="60" t="n">
        <f aca="false">X47*(($I$8*'Timeline and FX'!X12)+$J$8*Payroll!$C$36*MIN(MAX(($I$8*'Timeline and FX'!X12),'Timeline and FX'!X14),'Timeline and FX'!X13))/'Timeline and FX'!X8</f>
        <v>1652.11838811003</v>
      </c>
      <c r="Y87" s="60" t="n">
        <f aca="false">Y47*(($I$8*'Timeline and FX'!Y12)+$J$8*Payroll!$C$36*MIN(MAX(($I$8*'Timeline and FX'!Y12),'Timeline and FX'!Y14),'Timeline and FX'!Y13))/'Timeline and FX'!Y8</f>
        <v>1644.11557242598</v>
      </c>
      <c r="Z87" s="60" t="n">
        <f aca="false">Z47*(($I$8*'Timeline and FX'!Z12)+$J$8*Payroll!$C$36*MIN(MAX(($I$8*'Timeline and FX'!Z12),'Timeline and FX'!Z14),'Timeline and FX'!Z13))/'Timeline and FX'!Z8</f>
        <v>1636.1515221593</v>
      </c>
      <c r="AA87" s="60" t="n">
        <f aca="false">AA47*(($I$8*'Timeline and FX'!AA12)+$J$8*Payroll!$C$36*MIN(MAX(($I$8*'Timeline and FX'!AA12),'Timeline and FX'!AA14),'Timeline and FX'!AA13))/'Timeline and FX'!AA8</f>
        <v>1628.2260495314</v>
      </c>
      <c r="AB87" s="59" t="n">
        <f aca="false">SUM(AC87:AN87)</f>
        <v>21231.6452020557</v>
      </c>
      <c r="AC87" s="60" t="n">
        <f aca="false">AC47*(($I$8*'Timeline and FX'!AC12)+$J$8*Payroll!$C$36*MIN(MAX(($I$8*'Timeline and FX'!AC12),'Timeline and FX'!AC14),'Timeline and FX'!AC13))/'Timeline and FX'!AC8</f>
        <v>1816.93718310078</v>
      </c>
      <c r="AD87" s="60" t="n">
        <f aca="false">AD47*(($I$8*'Timeline and FX'!AD12)+$J$8*Payroll!$C$36*MIN(MAX(($I$8*'Timeline and FX'!AD12),'Timeline and FX'!AD14),'Timeline and FX'!AD13))/'Timeline and FX'!AD8</f>
        <v>1808.1359897417</v>
      </c>
      <c r="AE87" s="60" t="n">
        <f aca="false">AE47*(($I$8*'Timeline and FX'!AE12)+$J$8*Payroll!$C$36*MIN(MAX(($I$8*'Timeline and FX'!AE12),'Timeline and FX'!AE14),'Timeline and FX'!AE13))/'Timeline and FX'!AE8</f>
        <v>1799.37742911932</v>
      </c>
      <c r="AF87" s="60" t="n">
        <f aca="false">AF47*(($I$8*'Timeline and FX'!AF12)+$J$8*Payroll!$C$36*MIN(MAX(($I$8*'Timeline and FX'!AF12),'Timeline and FX'!AF14),'Timeline and FX'!AF13))/'Timeline and FX'!AF8</f>
        <v>1790.66129472186</v>
      </c>
      <c r="AG87" s="60" t="n">
        <f aca="false">AG47*(($I$8*'Timeline and FX'!AG12)+$J$8*Payroll!$C$36*MIN(MAX(($I$8*'Timeline and FX'!AG12),'Timeline and FX'!AG14),'Timeline and FX'!AG13))/'Timeline and FX'!AG8</f>
        <v>1781.98738103786</v>
      </c>
      <c r="AH87" s="60" t="n">
        <f aca="false">AH47*(($I$8*'Timeline and FX'!AH12)+$J$8*Payroll!$C$36*MIN(MAX(($I$8*'Timeline and FX'!AH12),'Timeline and FX'!AH14),'Timeline and FX'!AH13))/'Timeline and FX'!AH8</f>
        <v>1773.35548355134</v>
      </c>
      <c r="AI87" s="60" t="n">
        <f aca="false">AI47*(($I$8*'Timeline and FX'!AI12)+$J$8*Payroll!$C$36*MIN(MAX(($I$8*'Timeline and FX'!AI12),'Timeline and FX'!AI14),'Timeline and FX'!AI13))/'Timeline and FX'!AI8</f>
        <v>1764.76539873702</v>
      </c>
      <c r="AJ87" s="60" t="n">
        <f aca="false">AJ47*(($I$8*'Timeline and FX'!AJ12)+$J$8*Payroll!$C$36*MIN(MAX(($I$8*'Timeline and FX'!AJ12),'Timeline and FX'!AJ14),'Timeline and FX'!AJ13))/'Timeline and FX'!AJ8</f>
        <v>1756.21692405547</v>
      </c>
      <c r="AK87" s="60" t="n">
        <f aca="false">AK47*(($I$8*'Timeline and FX'!AK12)+$J$8*Payroll!$C$36*MIN(MAX(($I$8*'Timeline and FX'!AK12),'Timeline and FX'!AK14),'Timeline and FX'!AK13))/'Timeline and FX'!AK8</f>
        <v>1747.70985794836</v>
      </c>
      <c r="AL87" s="60" t="n">
        <f aca="false">AL47*(($I$8*'Timeline and FX'!AL12)+$J$8*Payroll!$C$36*MIN(MAX(($I$8*'Timeline and FX'!AL12),'Timeline and FX'!AL14),'Timeline and FX'!AL13))/'Timeline and FX'!AL8</f>
        <v>1739.2439998337</v>
      </c>
      <c r="AM87" s="60" t="n">
        <f aca="false">AM47*(($I$8*'Timeline and FX'!AM12)+$J$8*Payroll!$C$36*MIN(MAX(($I$8*'Timeline and FX'!AM12),'Timeline and FX'!AM14),'Timeline and FX'!AM13))/'Timeline and FX'!AM8</f>
        <v>1730.81915010112</v>
      </c>
      <c r="AN87" s="60" t="n">
        <f aca="false">AN47*(($I$8*'Timeline and FX'!AN12)+$J$8*Payroll!$C$36*MIN(MAX(($I$8*'Timeline and FX'!AN12),'Timeline and FX'!AN14),'Timeline and FX'!AN13))/'Timeline and FX'!AN8</f>
        <v>1722.43511010715</v>
      </c>
      <c r="AO87" s="59" t="n">
        <f aca="false">SUM(AP87:BA87)</f>
        <v>22460.7887761821</v>
      </c>
      <c r="AP87" s="60" t="n">
        <f aca="false">AP47*(($I$8*'Timeline and FX'!AP12)+$J$8*Payroll!$C$36*MIN(MAX(($I$8*'Timeline and FX'!AP12),'Timeline and FX'!AP14),'Timeline and FX'!AP13))/'Timeline and FX'!AP8</f>
        <v>1922.12341063738</v>
      </c>
      <c r="AQ87" s="60" t="n">
        <f aca="false">AQ47*(($I$8*'Timeline and FX'!AQ12)+$J$8*Payroll!$C$36*MIN(MAX(($I$8*'Timeline and FX'!AQ12),'Timeline and FX'!AQ14),'Timeline and FX'!AQ13))/'Timeline and FX'!AQ8</f>
        <v>1912.81269810731</v>
      </c>
      <c r="AR87" s="60" t="n">
        <f aca="false">AR47*(($I$8*'Timeline and FX'!AR12)+$J$8*Payroll!$C$36*MIN(MAX(($I$8*'Timeline and FX'!AR12),'Timeline and FX'!AR14),'Timeline and FX'!AR13))/'Timeline and FX'!AR8</f>
        <v>1903.5470864107</v>
      </c>
      <c r="AS87" s="60" t="n">
        <f aca="false">AS47*(($I$8*'Timeline and FX'!AS12)+$J$8*Payroll!$C$36*MIN(MAX(($I$8*'Timeline and FX'!AS12),'Timeline and FX'!AS14),'Timeline and FX'!AS13))/'Timeline and FX'!AS8</f>
        <v>1894.32635708035</v>
      </c>
      <c r="AT87" s="60" t="n">
        <f aca="false">AT47*(($I$8*'Timeline and FX'!AT12)+$J$8*Payroll!$C$36*MIN(MAX(($I$8*'Timeline and FX'!AT12),'Timeline and FX'!AT14),'Timeline and FX'!AT13))/'Timeline and FX'!AT8</f>
        <v>1885.15029270732</v>
      </c>
      <c r="AU87" s="60" t="n">
        <f aca="false">AU47*(($I$8*'Timeline and FX'!AU12)+$J$8*Payroll!$C$36*MIN(MAX(($I$8*'Timeline and FX'!AU12),'Timeline and FX'!AU14),'Timeline and FX'!AU13))/'Timeline and FX'!AU8</f>
        <v>1876.01867693581</v>
      </c>
      <c r="AV87" s="60" t="n">
        <f aca="false">AV47*(($I$8*'Timeline and FX'!AV12)+$J$8*Payroll!$C$36*MIN(MAX(($I$8*'Timeline and FX'!AV12),'Timeline and FX'!AV14),'Timeline and FX'!AV13))/'Timeline and FX'!AV8</f>
        <v>1866.93129445801</v>
      </c>
      <c r="AW87" s="60" t="n">
        <f aca="false">AW47*(($I$8*'Timeline and FX'!AW12)+$J$8*Payroll!$C$36*MIN(MAX(($I$8*'Timeline and FX'!AW12),'Timeline and FX'!AW14),'Timeline and FX'!AW13))/'Timeline and FX'!AW8</f>
        <v>1857.88793100909</v>
      </c>
      <c r="AX87" s="60" t="n">
        <f aca="false">AX47*(($I$8*'Timeline and FX'!AX12)+$J$8*Payroll!$C$36*MIN(MAX(($I$8*'Timeline and FX'!AX12),'Timeline and FX'!AX14),'Timeline and FX'!AX13))/'Timeline and FX'!AX8</f>
        <v>1848.88837336207</v>
      </c>
      <c r="AY87" s="60" t="n">
        <f aca="false">AY47*(($I$8*'Timeline and FX'!AY12)+$J$8*Payroll!$C$36*MIN(MAX(($I$8*'Timeline and FX'!AY12),'Timeline and FX'!AY14),'Timeline and FX'!AY13))/'Timeline and FX'!AY8</f>
        <v>1839.93240932288</v>
      </c>
      <c r="AZ87" s="60" t="n">
        <f aca="false">AZ47*(($I$8*'Timeline and FX'!AZ12)+$J$8*Payroll!$C$36*MIN(MAX(($I$8*'Timeline and FX'!AZ12),'Timeline and FX'!AZ14),'Timeline and FX'!AZ13))/'Timeline and FX'!AZ8</f>
        <v>1831.01982772528</v>
      </c>
      <c r="BA87" s="60" t="n">
        <f aca="false">BA47*(($I$8*'Timeline and FX'!BA12)+$J$8*Payroll!$C$36*MIN(MAX(($I$8*'Timeline and FX'!BA12),'Timeline and FX'!BA14),'Timeline and FX'!BA13))/'Timeline and FX'!BA8</f>
        <v>1822.15041842593</v>
      </c>
      <c r="BB87" s="59" t="n">
        <f aca="false">SUM(BC87:BN87)</f>
        <v>23761.828883056</v>
      </c>
      <c r="BC87" s="60" t="n">
        <f aca="false">BC47*(($I$8*'Timeline and FX'!BC12)+$J$8*Payroll!$C$36*MIN(MAX(($I$8*'Timeline and FX'!BC12),'Timeline and FX'!BC14),'Timeline and FX'!BC13))/'Timeline and FX'!BC8</f>
        <v>2033.46231651999</v>
      </c>
      <c r="BD87" s="60" t="n">
        <f aca="false">BD47*(($I$8*'Timeline and FX'!BD12)+$J$8*Payroll!$C$36*MIN(MAX(($I$8*'Timeline and FX'!BD12),'Timeline and FX'!BD14),'Timeline and FX'!BD13))/'Timeline and FX'!BD8</f>
        <v>2023.61228141555</v>
      </c>
      <c r="BE87" s="60" t="n">
        <f aca="false">BE47*(($I$8*'Timeline and FX'!BE12)+$J$8*Payroll!$C$36*MIN(MAX(($I$8*'Timeline and FX'!BE12),'Timeline and FX'!BE14),'Timeline and FX'!BE13))/'Timeline and FX'!BE8</f>
        <v>2013.80995960816</v>
      </c>
      <c r="BF87" s="60" t="n">
        <f aca="false">BF47*(($I$8*'Timeline and FX'!BF12)+$J$8*Payroll!$C$36*MIN(MAX(($I$8*'Timeline and FX'!BF12),'Timeline and FX'!BF14),'Timeline and FX'!BF13))/'Timeline and FX'!BF8</f>
        <v>2004.05511997594</v>
      </c>
      <c r="BG87" s="60" t="n">
        <f aca="false">BG47*(($I$8*'Timeline and FX'!BG12)+$J$8*Payroll!$C$36*MIN(MAX(($I$8*'Timeline and FX'!BG12),'Timeline and FX'!BG14),'Timeline and FX'!BG13))/'Timeline and FX'!BG8</f>
        <v>1994.34753251655</v>
      </c>
      <c r="BH87" s="60" t="n">
        <f aca="false">BH47*(($I$8*'Timeline and FX'!BH12)+$J$8*Payroll!$C$36*MIN(MAX(($I$8*'Timeline and FX'!BH12),'Timeline and FX'!BH14),'Timeline and FX'!BH13))/'Timeline and FX'!BH8</f>
        <v>1984.68696834177</v>
      </c>
      <c r="BI87" s="60" t="n">
        <f aca="false">BI47*(($I$8*'Timeline and FX'!BI12)+$J$8*Payroll!$C$36*MIN(MAX(($I$8*'Timeline and FX'!BI12),'Timeline and FX'!BI14),'Timeline and FX'!BI13))/'Timeline and FX'!BI8</f>
        <v>1975.07319967211</v>
      </c>
      <c r="BJ87" s="60" t="n">
        <f aca="false">BJ47*(($I$8*'Timeline and FX'!BJ12)+$J$8*Payroll!$C$36*MIN(MAX(($I$8*'Timeline and FX'!BJ12),'Timeline and FX'!BJ14),'Timeline and FX'!BJ13))/'Timeline and FX'!BJ8</f>
        <v>1965.50599983145</v>
      </c>
      <c r="BK87" s="60" t="n">
        <f aca="false">BK47*(($I$8*'Timeline and FX'!BK12)+$J$8*Payroll!$C$36*MIN(MAX(($I$8*'Timeline and FX'!BK12),'Timeline and FX'!BK14),'Timeline and FX'!BK13))/'Timeline and FX'!BK8</f>
        <v>1955.98514324166</v>
      </c>
      <c r="BL87" s="60" t="n">
        <f aca="false">BL47*(($I$8*'Timeline and FX'!BL12)+$J$8*Payroll!$C$36*MIN(MAX(($I$8*'Timeline and FX'!BL12),'Timeline and FX'!BL14),'Timeline and FX'!BL13))/'Timeline and FX'!BL8</f>
        <v>1946.51040541733</v>
      </c>
      <c r="BM87" s="60" t="n">
        <f aca="false">BM47*(($I$8*'Timeline and FX'!BM12)+$J$8*Payroll!$C$36*MIN(MAX(($I$8*'Timeline and FX'!BM12),'Timeline and FX'!BM14),'Timeline and FX'!BM13))/'Timeline and FX'!BM8</f>
        <v>1937.08156296042</v>
      </c>
      <c r="BN87" s="60" t="n">
        <f aca="false">BN47*(($I$8*'Timeline and FX'!BN12)+$J$8*Payroll!$C$36*MIN(MAX(($I$8*'Timeline and FX'!BN12),'Timeline and FX'!BN14),'Timeline and FX'!BN13))/'Timeline and FX'!BN8</f>
        <v>1927.69839355506</v>
      </c>
    </row>
    <row r="88" customFormat="false" ht="15" hidden="false" customHeight="false" outlineLevel="0" collapsed="false">
      <c r="A88" s="4" t="s">
        <v>836</v>
      </c>
      <c r="B88" s="59" t="n">
        <f aca="false">SUM(C88:N88)</f>
        <v>23511.2032174659</v>
      </c>
      <c r="C88" s="60" t="n">
        <f aca="false">C48*(($I$9*'Timeline and FX'!C12)+$J$9*Payroll!$C$36*MIN(MAX(($I$9*'Timeline and FX'!C12),'Timeline and FX'!C14),'Timeline and FX'!C13))/'Timeline and FX'!C8</f>
        <v>2012.0145631068</v>
      </c>
      <c r="D88" s="60" t="n">
        <f aca="false">D48*(($I$9*'Timeline and FX'!D12)+$J$9*Payroll!$C$36*MIN(MAX(($I$9*'Timeline and FX'!D12),'Timeline and FX'!D14),'Timeline and FX'!D13))/'Timeline and FX'!D8</f>
        <v>2002.26842032547</v>
      </c>
      <c r="E88" s="60" t="n">
        <f aca="false">E48*(($I$9*'Timeline and FX'!E12)+$J$9*Payroll!$C$36*MIN(MAX(($I$9*'Timeline and FX'!E12),'Timeline and FX'!E14),'Timeline and FX'!E13))/'Timeline and FX'!E8</f>
        <v>1992.56948758967</v>
      </c>
      <c r="F88" s="60" t="n">
        <f aca="false">F48*(($I$9*'Timeline and FX'!F12)+$J$9*Payroll!$C$36*MIN(MAX(($I$9*'Timeline and FX'!F12),'Timeline and FX'!F14),'Timeline and FX'!F13))/'Timeline and FX'!F8</f>
        <v>1982.91753621524</v>
      </c>
      <c r="G88" s="60" t="n">
        <f aca="false">G48*(($I$9*'Timeline and FX'!G12)+$J$9*Payroll!$C$36*MIN(MAX(($I$9*'Timeline and FX'!G12),'Timeline and FX'!G14),'Timeline and FX'!G13))/'Timeline and FX'!G8</f>
        <v>1973.31233862576</v>
      </c>
      <c r="H88" s="60" t="n">
        <f aca="false">H48*(($I$9*'Timeline and FX'!H12)+$J$9*Payroll!$C$36*MIN(MAX(($I$9*'Timeline and FX'!H12),'Timeline and FX'!H14),'Timeline and FX'!H13))/'Timeline and FX'!H8</f>
        <v>1963.7536683472</v>
      </c>
      <c r="I88" s="60" t="n">
        <f aca="false">I48*(($I$9*'Timeline and FX'!I12)+$J$9*Payroll!$C$36*MIN(MAX(($I$9*'Timeline and FX'!I12),'Timeline and FX'!I14),'Timeline and FX'!I13))/'Timeline and FX'!I8</f>
        <v>1954.24130000256</v>
      </c>
      <c r="J88" s="60" t="n">
        <f aca="false">J48*(($I$9*'Timeline and FX'!J12)+$J$9*Payroll!$C$36*MIN(MAX(($I$9*'Timeline and FX'!J12),'Timeline and FX'!J14),'Timeline and FX'!J13))/'Timeline and FX'!J8</f>
        <v>1944.77500930654</v>
      </c>
      <c r="K88" s="60" t="n">
        <f aca="false">K48*(($I$9*'Timeline and FX'!K12)+$J$9*Payroll!$C$36*MIN(MAX(($I$9*'Timeline and FX'!K12),'Timeline and FX'!K14),'Timeline and FX'!K13))/'Timeline and FX'!K8</f>
        <v>1935.3545730603</v>
      </c>
      <c r="L88" s="60" t="n">
        <f aca="false">L48*(($I$9*'Timeline and FX'!L12)+$J$9*Payroll!$C$36*MIN(MAX(($I$9*'Timeline and FX'!L12),'Timeline and FX'!L14),'Timeline and FX'!L13))/'Timeline and FX'!L8</f>
        <v>1925.97976914616</v>
      </c>
      <c r="M88" s="60" t="n">
        <f aca="false">M48*(($I$9*'Timeline and FX'!M12)+$J$9*Payroll!$C$36*MIN(MAX(($I$9*'Timeline and FX'!M12),'Timeline and FX'!M14),'Timeline and FX'!M13))/'Timeline and FX'!M8</f>
        <v>1916.65037652235</v>
      </c>
      <c r="N88" s="60" t="n">
        <f aca="false">N48*(($I$9*'Timeline and FX'!N12)+$J$9*Payroll!$C$36*MIN(MAX(($I$9*'Timeline and FX'!N12),'Timeline and FX'!N14),'Timeline and FX'!N13))/'Timeline and FX'!N8</f>
        <v>1907.36617521785</v>
      </c>
      <c r="O88" s="59" t="n">
        <f aca="false">SUM(P88:AA88)</f>
        <v>24865.2646687238</v>
      </c>
      <c r="P88" s="60" t="n">
        <f aca="false">P48*(($I$9*'Timeline and FX'!P12)+$J$9*Payroll!$C$36*MIN(MAX(($I$9*'Timeline and FX'!P12),'Timeline and FX'!P14),'Timeline and FX'!P13))/'Timeline and FX'!P8</f>
        <v>2127.8908682909</v>
      </c>
      <c r="Q88" s="60" t="n">
        <f aca="false">Q48*(($I$9*'Timeline and FX'!Q12)+$J$9*Payroll!$C$36*MIN(MAX(($I$9*'Timeline and FX'!Q12),'Timeline and FX'!Q14),'Timeline and FX'!Q13))/'Timeline and FX'!Q8</f>
        <v>2117.58342389874</v>
      </c>
      <c r="R88" s="60" t="n">
        <f aca="false">R48*(($I$9*'Timeline and FX'!R12)+$J$9*Payroll!$C$36*MIN(MAX(($I$9*'Timeline and FX'!R12),'Timeline and FX'!R14),'Timeline and FX'!R13))/'Timeline and FX'!R8</f>
        <v>2107.32590848155</v>
      </c>
      <c r="S88" s="60" t="n">
        <f aca="false">S48*(($I$9*'Timeline and FX'!S12)+$J$9*Payroll!$C$36*MIN(MAX(($I$9*'Timeline and FX'!S12),'Timeline and FX'!S14),'Timeline and FX'!S13))/'Timeline and FX'!S8</f>
        <v>2097.11808018475</v>
      </c>
      <c r="T88" s="60" t="n">
        <f aca="false">T48*(($I$9*'Timeline and FX'!T12)+$J$9*Payroll!$C$36*MIN(MAX(($I$9*'Timeline and FX'!T12),'Timeline and FX'!T14),'Timeline and FX'!T13))/'Timeline and FX'!T8</f>
        <v>2086.95969832532</v>
      </c>
      <c r="U88" s="60" t="n">
        <f aca="false">U48*(($I$9*'Timeline and FX'!U12)+$J$9*Payroll!$C$36*MIN(MAX(($I$9*'Timeline and FX'!U12),'Timeline and FX'!U14),'Timeline and FX'!U13))/'Timeline and FX'!U8</f>
        <v>2076.85052338608</v>
      </c>
      <c r="V88" s="60" t="n">
        <f aca="false">V48*(($I$9*'Timeline and FX'!V12)+$J$9*Payroll!$C$36*MIN(MAX(($I$9*'Timeline and FX'!V12),'Timeline and FX'!V14),'Timeline and FX'!V13))/'Timeline and FX'!V8</f>
        <v>2066.79031701007</v>
      </c>
      <c r="W88" s="60" t="n">
        <f aca="false">W48*(($I$9*'Timeline and FX'!W12)+$J$9*Payroll!$C$36*MIN(MAX(($I$9*'Timeline and FX'!W12),'Timeline and FX'!W14),'Timeline and FX'!W13))/'Timeline and FX'!W8</f>
        <v>2056.77884199493</v>
      </c>
      <c r="X88" s="60" t="n">
        <f aca="false">X48*(($I$9*'Timeline and FX'!X12)+$J$9*Payroll!$C$36*MIN(MAX(($I$9*'Timeline and FX'!X12),'Timeline and FX'!X14),'Timeline and FX'!X13))/'Timeline and FX'!X8</f>
        <v>2046.8158622873</v>
      </c>
      <c r="Y88" s="60" t="n">
        <f aca="false">Y48*(($I$9*'Timeline and FX'!Y12)+$J$9*Payroll!$C$36*MIN(MAX(($I$9*'Timeline and FX'!Y12),'Timeline and FX'!Y14),'Timeline and FX'!Y13))/'Timeline and FX'!Y8</f>
        <v>2036.90114297726</v>
      </c>
      <c r="Z88" s="60" t="n">
        <f aca="false">Z48*(($I$9*'Timeline and FX'!Z12)+$J$9*Payroll!$C$36*MIN(MAX(($I$9*'Timeline and FX'!Z12),'Timeline and FX'!Z14),'Timeline and FX'!Z13))/'Timeline and FX'!Z8</f>
        <v>2027.03445029276</v>
      </c>
      <c r="AA88" s="60" t="n">
        <f aca="false">AA48*(($I$9*'Timeline and FX'!AA12)+$J$9*Payroll!$C$36*MIN(MAX(($I$9*'Timeline and FX'!AA12),'Timeline and FX'!AA14),'Timeline and FX'!AA13))/'Timeline and FX'!AA8</f>
        <v>2017.21555159418</v>
      </c>
      <c r="AB88" s="59" t="n">
        <f aca="false">SUM(AC88:AN88)</f>
        <v>52595.8883976276</v>
      </c>
      <c r="AC88" s="60" t="n">
        <f aca="false">AC48*(($I$9*'Timeline and FX'!AC12)+$J$9*Payroll!$C$36*MIN(MAX(($I$9*'Timeline and FX'!AC12),'Timeline and FX'!AC14),'Timeline and FX'!AC13))/'Timeline and FX'!AC8</f>
        <v>4500.99012103952</v>
      </c>
      <c r="AD88" s="60" t="n">
        <f aca="false">AD48*(($I$9*'Timeline and FX'!AD12)+$J$9*Payroll!$C$36*MIN(MAX(($I$9*'Timeline and FX'!AD12),'Timeline and FX'!AD14),'Timeline and FX'!AD13))/'Timeline and FX'!AD8</f>
        <v>4479.18744963676</v>
      </c>
      <c r="AE88" s="60" t="n">
        <f aca="false">AE48*(($I$9*'Timeline and FX'!AE12)+$J$9*Payroll!$C$36*MIN(MAX(($I$9*'Timeline and FX'!AE12),'Timeline and FX'!AE14),'Timeline and FX'!AE13))/'Timeline and FX'!AE8</f>
        <v>4457.49038977002</v>
      </c>
      <c r="AF88" s="60" t="n">
        <f aca="false">AF48*(($I$9*'Timeline and FX'!AF12)+$J$9*Payroll!$C$36*MIN(MAX(($I$9*'Timeline and FX'!AF12),'Timeline and FX'!AF14),'Timeline and FX'!AF13))/'Timeline and FX'!AF8</f>
        <v>4435.89842985995</v>
      </c>
      <c r="AG88" s="60" t="n">
        <f aca="false">AG48*(($I$9*'Timeline and FX'!AG12)+$J$9*Payroll!$C$36*MIN(MAX(($I$9*'Timeline and FX'!AG12),'Timeline and FX'!AG14),'Timeline and FX'!AG13))/'Timeline and FX'!AG8</f>
        <v>4414.41106080527</v>
      </c>
      <c r="AH88" s="60" t="n">
        <f aca="false">AH48*(($I$9*'Timeline and FX'!AH12)+$J$9*Payroll!$C$36*MIN(MAX(($I$9*'Timeline and FX'!AH12),'Timeline and FX'!AH14),'Timeline and FX'!AH13))/'Timeline and FX'!AH8</f>
        <v>4393.02777597078</v>
      </c>
      <c r="AI88" s="60" t="n">
        <f aca="false">AI48*(($I$9*'Timeline and FX'!AI12)+$J$9*Payroll!$C$36*MIN(MAX(($I$9*'Timeline and FX'!AI12),'Timeline and FX'!AI14),'Timeline and FX'!AI13))/'Timeline and FX'!AI8</f>
        <v>4371.74807117539</v>
      </c>
      <c r="AJ88" s="60" t="n">
        <f aca="false">AJ48*(($I$9*'Timeline and FX'!AJ12)+$J$9*Payroll!$C$36*MIN(MAX(($I$9*'Timeline and FX'!AJ12),'Timeline and FX'!AJ14),'Timeline and FX'!AJ13))/'Timeline and FX'!AJ8</f>
        <v>4350.57144468027</v>
      </c>
      <c r="AK88" s="60" t="n">
        <f aca="false">AK48*(($I$9*'Timeline and FX'!AK12)+$J$9*Payroll!$C$36*MIN(MAX(($I$9*'Timeline and FX'!AK12),'Timeline and FX'!AK14),'Timeline and FX'!AK13))/'Timeline and FX'!AK8</f>
        <v>4329.49739717699</v>
      </c>
      <c r="AL88" s="60" t="n">
        <f aca="false">AL48*(($I$9*'Timeline and FX'!AL12)+$J$9*Payroll!$C$36*MIN(MAX(($I$9*'Timeline and FX'!AL12),'Timeline and FX'!AL14),'Timeline and FX'!AL13))/'Timeline and FX'!AL8</f>
        <v>4308.52543177576</v>
      </c>
      <c r="AM88" s="60" t="n">
        <f aca="false">AM48*(($I$9*'Timeline and FX'!AM12)+$J$9*Payroll!$C$36*MIN(MAX(($I$9*'Timeline and FX'!AM12),'Timeline and FX'!AM14),'Timeline and FX'!AM13))/'Timeline and FX'!AM8</f>
        <v>4287.6550539937</v>
      </c>
      <c r="AN88" s="60" t="n">
        <f aca="false">AN48*(($I$9*'Timeline and FX'!AN12)+$J$9*Payroll!$C$36*MIN(MAX(($I$9*'Timeline and FX'!AN12),'Timeline and FX'!AN14),'Timeline and FX'!AN13))/'Timeline and FX'!AN8</f>
        <v>4266.88577174319</v>
      </c>
      <c r="AO88" s="59" t="n">
        <f aca="false">SUM(AP88:BA88)</f>
        <v>55627.7188285324</v>
      </c>
      <c r="AP88" s="60" t="n">
        <f aca="false">AP48*(($I$9*'Timeline and FX'!AP12)+$J$9*Payroll!$C$36*MIN(MAX(($I$9*'Timeline and FX'!AP12),'Timeline and FX'!AP14),'Timeline and FX'!AP13))/'Timeline and FX'!AP8</f>
        <v>4760.44459997146</v>
      </c>
      <c r="AQ88" s="60" t="n">
        <f aca="false">AQ48*(($I$9*'Timeline and FX'!AQ12)+$J$9*Payroll!$C$36*MIN(MAX(($I$9*'Timeline and FX'!AQ12),'Timeline and FX'!AQ14),'Timeline and FX'!AQ13))/'Timeline and FX'!AQ8</f>
        <v>4737.38513826346</v>
      </c>
      <c r="AR88" s="60" t="n">
        <f aca="false">AR48*(($I$9*'Timeline and FX'!AR12)+$J$9*Payroll!$C$36*MIN(MAX(($I$9*'Timeline and FX'!AR12),'Timeline and FX'!AR14),'Timeline and FX'!AR13))/'Timeline and FX'!AR8</f>
        <v>4714.43737594889</v>
      </c>
      <c r="AS88" s="60" t="n">
        <f aca="false">AS48*(($I$9*'Timeline and FX'!AS12)+$J$9*Payroll!$C$36*MIN(MAX(($I$9*'Timeline and FX'!AS12),'Timeline and FX'!AS14),'Timeline and FX'!AS13))/'Timeline and FX'!AS8</f>
        <v>4691.60077195898</v>
      </c>
      <c r="AT88" s="60" t="n">
        <f aca="false">AT48*(($I$9*'Timeline and FX'!AT12)+$J$9*Payroll!$C$36*MIN(MAX(($I$9*'Timeline and FX'!AT12),'Timeline and FX'!AT14),'Timeline and FX'!AT13))/'Timeline and FX'!AT8</f>
        <v>4668.87478784588</v>
      </c>
      <c r="AU88" s="60" t="n">
        <f aca="false">AU48*(($I$9*'Timeline and FX'!AU12)+$J$9*Payroll!$C$36*MIN(MAX(($I$9*'Timeline and FX'!AU12),'Timeline and FX'!AU14),'Timeline and FX'!AU13))/'Timeline and FX'!AU8</f>
        <v>4646.25888776999</v>
      </c>
      <c r="AV88" s="60" t="n">
        <f aca="false">AV48*(($I$9*'Timeline and FX'!AV12)+$J$9*Payroll!$C$36*MIN(MAX(($I$9*'Timeline and FX'!AV12),'Timeline and FX'!AV14),'Timeline and FX'!AV13))/'Timeline and FX'!AV8</f>
        <v>4623.75253848727</v>
      </c>
      <c r="AW88" s="60" t="n">
        <f aca="false">AW48*(($I$9*'Timeline and FX'!AW12)+$J$9*Payroll!$C$36*MIN(MAX(($I$9*'Timeline and FX'!AW12),'Timeline and FX'!AW14),'Timeline and FX'!AW13))/'Timeline and FX'!AW8</f>
        <v>4601.35520933671</v>
      </c>
      <c r="AX88" s="60" t="n">
        <f aca="false">AX48*(($I$9*'Timeline and FX'!AX12)+$J$9*Payroll!$C$36*MIN(MAX(($I$9*'Timeline and FX'!AX12),'Timeline and FX'!AX14),'Timeline and FX'!AX13))/'Timeline and FX'!AX8</f>
        <v>4579.06637222783</v>
      </c>
      <c r="AY88" s="60" t="n">
        <f aca="false">AY48*(($I$9*'Timeline and FX'!AY12)+$J$9*Payroll!$C$36*MIN(MAX(($I$9*'Timeline and FX'!AY12),'Timeline and FX'!AY14),'Timeline and FX'!AY13))/'Timeline and FX'!AY8</f>
        <v>4556.88550162818</v>
      </c>
      <c r="AZ88" s="60" t="n">
        <f aca="false">AZ48*(($I$9*'Timeline and FX'!AZ12)+$J$9*Payroll!$C$36*MIN(MAX(($I$9*'Timeline and FX'!AZ12),'Timeline and FX'!AZ14),'Timeline and FX'!AZ13))/'Timeline and FX'!AZ8</f>
        <v>4534.81207455097</v>
      </c>
      <c r="BA88" s="60" t="n">
        <f aca="false">BA48*(($I$9*'Timeline and FX'!BA12)+$J$9*Payroll!$C$36*MIN(MAX(($I$9*'Timeline and FX'!BA12),'Timeline and FX'!BA14),'Timeline and FX'!BA13))/'Timeline and FX'!BA8</f>
        <v>4512.84557054277</v>
      </c>
      <c r="BB88" s="59" t="n">
        <f aca="false">SUM(BC88:BN88)</f>
        <v>88253.7105585665</v>
      </c>
      <c r="BC88" s="60" t="n">
        <f aca="false">BC48*(($I$9*'Timeline and FX'!BC12)+$J$9*Payroll!$C$36*MIN(MAX(($I$9*'Timeline and FX'!BC12),'Timeline and FX'!BC14),'Timeline and FX'!BC13))/'Timeline and FX'!BC8</f>
        <v>7552.47399504152</v>
      </c>
      <c r="BD88" s="60" t="n">
        <f aca="false">BD48*(($I$9*'Timeline and FX'!BD12)+$J$9*Payroll!$C$36*MIN(MAX(($I$9*'Timeline and FX'!BD12),'Timeline and FX'!BD14),'Timeline and FX'!BD13))/'Timeline and FX'!BD8</f>
        <v>7515.89002032404</v>
      </c>
      <c r="BE88" s="60" t="n">
        <f aca="false">BE48*(($I$9*'Timeline and FX'!BE12)+$J$9*Payroll!$C$36*MIN(MAX(($I$9*'Timeline and FX'!BE12),'Timeline and FX'!BE14),'Timeline and FX'!BE13))/'Timeline and FX'!BE8</f>
        <v>7479.48325736617</v>
      </c>
      <c r="BF88" s="60" t="n">
        <f aca="false">BF48*(($I$9*'Timeline and FX'!BF12)+$J$9*Payroll!$C$36*MIN(MAX(($I$9*'Timeline and FX'!BF12),'Timeline and FX'!BF14),'Timeline and FX'!BF13))/'Timeline and FX'!BF8</f>
        <v>7443.25284775907</v>
      </c>
      <c r="BG88" s="60" t="n">
        <f aca="false">BG48*(($I$9*'Timeline and FX'!BG12)+$J$9*Payroll!$C$36*MIN(MAX(($I$9*'Timeline and FX'!BG12),'Timeline and FX'!BG14),'Timeline and FX'!BG13))/'Timeline and FX'!BG8</f>
        <v>7407.19793725199</v>
      </c>
      <c r="BH88" s="60" t="n">
        <f aca="false">BH48*(($I$9*'Timeline and FX'!BH12)+$J$9*Payroll!$C$36*MIN(MAX(($I$9*'Timeline and FX'!BH12),'Timeline and FX'!BH14),'Timeline and FX'!BH13))/'Timeline and FX'!BH8</f>
        <v>7371.31767573216</v>
      </c>
      <c r="BI88" s="60" t="n">
        <f aca="false">BI48*(($I$9*'Timeline and FX'!BI12)+$J$9*Payroll!$C$36*MIN(MAX(($I$9*'Timeline and FX'!BI12),'Timeline and FX'!BI14),'Timeline and FX'!BI13))/'Timeline and FX'!BI8</f>
        <v>7335.61121720472</v>
      </c>
      <c r="BJ88" s="60" t="n">
        <f aca="false">BJ48*(($I$9*'Timeline and FX'!BJ12)+$J$9*Payroll!$C$36*MIN(MAX(($I$9*'Timeline and FX'!BJ12),'Timeline and FX'!BJ14),'Timeline and FX'!BJ13))/'Timeline and FX'!BJ8</f>
        <v>7300.07771977279</v>
      </c>
      <c r="BK88" s="60" t="n">
        <f aca="false">BK48*(($I$9*'Timeline and FX'!BK12)+$J$9*Payroll!$C$36*MIN(MAX(($I$9*'Timeline and FX'!BK12),'Timeline and FX'!BK14),'Timeline and FX'!BK13))/'Timeline and FX'!BK8</f>
        <v>7264.71634561762</v>
      </c>
      <c r="BL88" s="60" t="n">
        <f aca="false">BL48*(($I$9*'Timeline and FX'!BL12)+$J$9*Payroll!$C$36*MIN(MAX(($I$9*'Timeline and FX'!BL12),'Timeline and FX'!BL14),'Timeline and FX'!BL13))/'Timeline and FX'!BL8</f>
        <v>7229.52626097883</v>
      </c>
      <c r="BM88" s="60" t="n">
        <f aca="false">BM48*(($I$9*'Timeline and FX'!BM12)+$J$9*Payroll!$C$36*MIN(MAX(($I$9*'Timeline and FX'!BM12),'Timeline and FX'!BM14),'Timeline and FX'!BM13))/'Timeline and FX'!BM8</f>
        <v>7194.50663613475</v>
      </c>
      <c r="BN88" s="60" t="n">
        <f aca="false">BN48*(($I$9*'Timeline and FX'!BN12)+$J$9*Payroll!$C$36*MIN(MAX(($I$9*'Timeline and FX'!BN12),'Timeline and FX'!BN14),'Timeline and FX'!BN13))/'Timeline and FX'!BN8</f>
        <v>7159.65664538286</v>
      </c>
    </row>
    <row r="89" customFormat="false" ht="15" hidden="false" customHeight="false" outlineLevel="0" collapsed="false">
      <c r="A89" s="4" t="s">
        <v>838</v>
      </c>
      <c r="B89" s="59" t="n">
        <f aca="false">SUM(C89:N89)</f>
        <v>7628.12968856681</v>
      </c>
      <c r="C89" s="60" t="n">
        <f aca="false">C49*(($I$10*'Timeline and FX'!C12)+$J$10*Payroll!$C$36*MIN(MAX(($I$10*'Timeline and FX'!C12),'Timeline and FX'!C14),'Timeline and FX'!C13))/'Timeline and FX'!C8</f>
        <v>652.791262135922</v>
      </c>
      <c r="D89" s="60" t="n">
        <f aca="false">D49*(($I$10*'Timeline and FX'!D12)+$J$10*Payroll!$C$36*MIN(MAX(($I$10*'Timeline and FX'!D12),'Timeline and FX'!D14),'Timeline and FX'!D13))/'Timeline and FX'!D8</f>
        <v>649.629159354045</v>
      </c>
      <c r="E89" s="60" t="n">
        <f aca="false">E49*(($I$10*'Timeline and FX'!E12)+$J$10*Payroll!$C$36*MIN(MAX(($I$10*'Timeline and FX'!E12),'Timeline and FX'!E14),'Timeline and FX'!E13))/'Timeline and FX'!E8</f>
        <v>646.482373710407</v>
      </c>
      <c r="F89" s="60" t="n">
        <f aca="false">F49*(($I$10*'Timeline and FX'!F12)+$J$10*Payroll!$C$36*MIN(MAX(($I$10*'Timeline and FX'!F12),'Timeline and FX'!F14),'Timeline and FX'!F13))/'Timeline and FX'!F8</f>
        <v>643.350831009214</v>
      </c>
      <c r="G89" s="60" t="n">
        <f aca="false">G49*(($I$10*'Timeline and FX'!G12)+$J$10*Payroll!$C$36*MIN(MAX(($I$10*'Timeline and FX'!G12),'Timeline and FX'!G14),'Timeline and FX'!G13))/'Timeline and FX'!G8</f>
        <v>640.234457414076</v>
      </c>
      <c r="H89" s="60" t="n">
        <f aca="false">H49*(($I$10*'Timeline and FX'!H12)+$J$10*Payroll!$C$36*MIN(MAX(($I$10*'Timeline and FX'!H12),'Timeline and FX'!H14),'Timeline and FX'!H13))/'Timeline and FX'!H8</f>
        <v>637.133179446264</v>
      </c>
      <c r="I89" s="60" t="n">
        <f aca="false">I49*(($I$10*'Timeline and FX'!I12)+$J$10*Payroll!$C$36*MIN(MAX(($I$10*'Timeline and FX'!I12),'Timeline and FX'!I14),'Timeline and FX'!I13))/'Timeline and FX'!I8</f>
        <v>634.046923982976</v>
      </c>
      <c r="J89" s="60" t="n">
        <f aca="false">J49*(($I$10*'Timeline and FX'!J12)+$J$10*Payroll!$C$36*MIN(MAX(($I$10*'Timeline and FX'!J12),'Timeline and FX'!J14),'Timeline and FX'!J13))/'Timeline and FX'!J8</f>
        <v>630.975618255618</v>
      </c>
      <c r="K89" s="60" t="n">
        <f aca="false">K49*(($I$10*'Timeline and FX'!K12)+$J$10*Payroll!$C$36*MIN(MAX(($I$10*'Timeline and FX'!K12),'Timeline and FX'!K14),'Timeline and FX'!K13))/'Timeline and FX'!K8</f>
        <v>627.919189848084</v>
      </c>
      <c r="L89" s="60" t="n">
        <f aca="false">L49*(($I$10*'Timeline and FX'!L12)+$J$10*Payroll!$C$36*MIN(MAX(($I$10*'Timeline and FX'!L12),'Timeline and FX'!L14),'Timeline and FX'!L13))/'Timeline and FX'!L8</f>
        <v>624.877566695047</v>
      </c>
      <c r="M89" s="60" t="n">
        <f aca="false">M49*(($I$10*'Timeline and FX'!M12)+$J$10*Payroll!$C$36*MIN(MAX(($I$10*'Timeline and FX'!M12),'Timeline and FX'!M14),'Timeline and FX'!M13))/'Timeline and FX'!M8</f>
        <v>621.850677080266</v>
      </c>
      <c r="N89" s="60" t="n">
        <f aca="false">N49*(($I$10*'Timeline and FX'!N12)+$J$10*Payroll!$C$36*MIN(MAX(($I$10*'Timeline and FX'!N12),'Timeline and FX'!N14),'Timeline and FX'!N13))/'Timeline and FX'!N8</f>
        <v>618.83844963489</v>
      </c>
      <c r="O89" s="59" t="n">
        <f aca="false">SUM(P89:AA89)</f>
        <v>8083.14924196252</v>
      </c>
      <c r="P89" s="60" t="n">
        <f aca="false">P49*(($I$10*'Timeline and FX'!P12)+$J$10*Payroll!$C$36*MIN(MAX(($I$10*'Timeline and FX'!P12),'Timeline and FX'!P14),'Timeline and FX'!P13))/'Timeline and FX'!P8</f>
        <v>691.730399340539</v>
      </c>
      <c r="Q89" s="60" t="n">
        <f aca="false">Q49*(($I$10*'Timeline and FX'!Q12)+$J$10*Payroll!$C$36*MIN(MAX(($I$10*'Timeline and FX'!Q12),'Timeline and FX'!Q14),'Timeline and FX'!Q13))/'Timeline and FX'!Q8</f>
        <v>688.379676457229</v>
      </c>
      <c r="R89" s="60" t="n">
        <f aca="false">R49*(($I$10*'Timeline and FX'!R12)+$J$10*Payroll!$C$36*MIN(MAX(($I$10*'Timeline and FX'!R12),'Timeline and FX'!R14),'Timeline and FX'!R13))/'Timeline and FX'!R8</f>
        <v>685.045184382701</v>
      </c>
      <c r="S89" s="60" t="n">
        <f aca="false">S49*(($I$10*'Timeline and FX'!S12)+$J$10*Payroll!$C$36*MIN(MAX(($I$10*'Timeline and FX'!S12),'Timeline and FX'!S14),'Timeline and FX'!S13))/'Timeline and FX'!S8</f>
        <v>681.726844495368</v>
      </c>
      <c r="T89" s="60" t="n">
        <f aca="false">T49*(($I$10*'Timeline and FX'!T12)+$J$10*Payroll!$C$36*MIN(MAX(($I$10*'Timeline and FX'!T12),'Timeline and FX'!T14),'Timeline and FX'!T13))/'Timeline and FX'!T8</f>
        <v>678.424578554483</v>
      </c>
      <c r="U89" s="60" t="n">
        <f aca="false">U49*(($I$10*'Timeline and FX'!U12)+$J$10*Payroll!$C$36*MIN(MAX(($I$10*'Timeline and FX'!U12),'Timeline and FX'!U14),'Timeline and FX'!U13))/'Timeline and FX'!U8</f>
        <v>675.138308698293</v>
      </c>
      <c r="V89" s="60" t="n">
        <f aca="false">V49*(($I$10*'Timeline and FX'!V12)+$J$10*Payroll!$C$36*MIN(MAX(($I$10*'Timeline and FX'!V12),'Timeline and FX'!V14),'Timeline and FX'!V13))/'Timeline and FX'!V8</f>
        <v>671.86795744221</v>
      </c>
      <c r="W89" s="60" t="n">
        <f aca="false">W49*(($I$10*'Timeline and FX'!W12)+$J$10*Payroll!$C$36*MIN(MAX(($I$10*'Timeline and FX'!W12),'Timeline and FX'!W14),'Timeline and FX'!W13))/'Timeline and FX'!W8</f>
        <v>668.613447676974</v>
      </c>
      <c r="X89" s="60" t="n">
        <f aca="false">X49*(($I$10*'Timeline and FX'!X12)+$J$10*Payroll!$C$36*MIN(MAX(($I$10*'Timeline and FX'!X12),'Timeline and FX'!X14),'Timeline and FX'!X13))/'Timeline and FX'!X8</f>
        <v>665.374702666843</v>
      </c>
      <c r="Y89" s="60" t="n">
        <f aca="false">Y49*(($I$10*'Timeline and FX'!Y12)+$J$10*Payroll!$C$36*MIN(MAX(($I$10*'Timeline and FX'!Y12),'Timeline and FX'!Y14),'Timeline and FX'!Y13))/'Timeline and FX'!Y8</f>
        <v>662.15164604778</v>
      </c>
      <c r="Z89" s="60" t="n">
        <f aca="false">Z49*(($I$10*'Timeline and FX'!Z12)+$J$10*Payroll!$C$36*MIN(MAX(($I$10*'Timeline and FX'!Z12),'Timeline and FX'!Z14),'Timeline and FX'!Z13))/'Timeline and FX'!Z8</f>
        <v>658.944201825654</v>
      </c>
      <c r="AA89" s="60" t="n">
        <f aca="false">AA49*(($I$10*'Timeline and FX'!AA12)+$J$10*Payroll!$C$36*MIN(MAX(($I$10*'Timeline and FX'!AA12),'Timeline and FX'!AA14),'Timeline and FX'!AA13))/'Timeline and FX'!AA8</f>
        <v>655.752294374447</v>
      </c>
      <c r="AB89" s="59" t="n">
        <f aca="false">SUM(AC89:AN89)</f>
        <v>17131.7954203207</v>
      </c>
      <c r="AC89" s="60" t="n">
        <f aca="false">AC49*(($I$10*'Timeline and FX'!AC12)+$J$10*Payroll!$C$36*MIN(MAX(($I$10*'Timeline and FX'!AC12),'Timeline and FX'!AC14),'Timeline and FX'!AC13))/'Timeline and FX'!AC8</f>
        <v>1466.08497910669</v>
      </c>
      <c r="AD89" s="60" t="n">
        <f aca="false">AD49*(($I$10*'Timeline and FX'!AD12)+$J$10*Payroll!$C$36*MIN(MAX(($I$10*'Timeline and FX'!AD12),'Timeline and FX'!AD14),'Timeline and FX'!AD13))/'Timeline and FX'!AD8</f>
        <v>1458.98330409999</v>
      </c>
      <c r="AE89" s="60" t="n">
        <f aca="false">AE49*(($I$10*'Timeline and FX'!AE12)+$J$10*Payroll!$C$36*MIN(MAX(($I$10*'Timeline and FX'!AE12),'Timeline and FX'!AE14),'Timeline and FX'!AE13))/'Timeline and FX'!AE8</f>
        <v>1451.9160294102</v>
      </c>
      <c r="AF89" s="60" t="n">
        <f aca="false">AF49*(($I$10*'Timeline and FX'!AF12)+$J$10*Payroll!$C$36*MIN(MAX(($I$10*'Timeline and FX'!AF12),'Timeline and FX'!AF14),'Timeline and FX'!AF13))/'Timeline and FX'!AF8</f>
        <v>1444.88298840315</v>
      </c>
      <c r="AG89" s="60" t="n">
        <f aca="false">AG49*(($I$10*'Timeline and FX'!AG12)+$J$10*Payroll!$C$36*MIN(MAX(($I$10*'Timeline and FX'!AG12),'Timeline and FX'!AG14),'Timeline and FX'!AG13))/'Timeline and FX'!AG8</f>
        <v>1437.88401525181</v>
      </c>
      <c r="AH89" s="60" t="n">
        <f aca="false">AH49*(($I$10*'Timeline and FX'!AH12)+$J$10*Payroll!$C$36*MIN(MAX(($I$10*'Timeline and FX'!AH12),'Timeline and FX'!AH14),'Timeline and FX'!AH13))/'Timeline and FX'!AH8</f>
        <v>1430.91894493244</v>
      </c>
      <c r="AI89" s="60" t="n">
        <f aca="false">AI49*(($I$10*'Timeline and FX'!AI12)+$J$10*Payroll!$C$36*MIN(MAX(($I$10*'Timeline and FX'!AI12),'Timeline and FX'!AI14),'Timeline and FX'!AI13))/'Timeline and FX'!AI8</f>
        <v>1423.98761322067</v>
      </c>
      <c r="AJ89" s="60" t="n">
        <f aca="false">AJ49*(($I$10*'Timeline and FX'!AJ12)+$J$10*Payroll!$C$36*MIN(MAX(($I$10*'Timeline and FX'!AJ12),'Timeline and FX'!AJ14),'Timeline and FX'!AJ13))/'Timeline and FX'!AJ8</f>
        <v>1417.08985668761</v>
      </c>
      <c r="AK89" s="60" t="n">
        <f aca="false">AK49*(($I$10*'Timeline and FX'!AK12)+$J$10*Payroll!$C$36*MIN(MAX(($I$10*'Timeline and FX'!AK12),'Timeline and FX'!AK14),'Timeline and FX'!AK13))/'Timeline and FX'!AK8</f>
        <v>1410.22551269602</v>
      </c>
      <c r="AL89" s="60" t="n">
        <f aca="false">AL49*(($I$10*'Timeline and FX'!AL12)+$J$10*Payroll!$C$36*MIN(MAX(($I$10*'Timeline and FX'!AL12),'Timeline and FX'!AL14),'Timeline and FX'!AL13))/'Timeline and FX'!AL8</f>
        <v>1403.39441939649</v>
      </c>
      <c r="AM89" s="60" t="n">
        <f aca="false">AM49*(($I$10*'Timeline and FX'!AM12)+$J$10*Payroll!$C$36*MIN(MAX(($I$10*'Timeline and FX'!AM12),'Timeline and FX'!AM14),'Timeline and FX'!AM13))/'Timeline and FX'!AM8</f>
        <v>1396.59641572358</v>
      </c>
      <c r="AN89" s="60" t="n">
        <f aca="false">AN49*(($I$10*'Timeline and FX'!AN12)+$J$10*Payroll!$C$36*MIN(MAX(($I$10*'Timeline and FX'!AN12),'Timeline and FX'!AN14),'Timeline and FX'!AN13))/'Timeline and FX'!AN8</f>
        <v>1389.83134139205</v>
      </c>
      <c r="AO89" s="59" t="n">
        <f aca="false">SUM(AP89:BA89)</f>
        <v>18156.2243619439</v>
      </c>
      <c r="AP89" s="60" t="n">
        <f aca="false">AP49*(($I$10*'Timeline and FX'!AP12)+$J$10*Payroll!$C$36*MIN(MAX(($I$10*'Timeline and FX'!AP12),'Timeline and FX'!AP14),'Timeline and FX'!AP13))/'Timeline and FX'!AP8</f>
        <v>1553.752374533</v>
      </c>
      <c r="AQ89" s="60" t="n">
        <f aca="false">AQ49*(($I$10*'Timeline and FX'!AQ12)+$J$10*Payroll!$C$36*MIN(MAX(($I$10*'Timeline and FX'!AQ12),'Timeline and FX'!AQ14),'Timeline and FX'!AQ13))/'Timeline and FX'!AQ8</f>
        <v>1546.22604109253</v>
      </c>
      <c r="AR89" s="60" t="n">
        <f aca="false">AR49*(($I$10*'Timeline and FX'!AR12)+$J$10*Payroll!$C$36*MIN(MAX(($I$10*'Timeline and FX'!AR12),'Timeline and FX'!AR14),'Timeline and FX'!AR13))/'Timeline and FX'!AR8</f>
        <v>1538.73616500266</v>
      </c>
      <c r="AS89" s="60" t="n">
        <f aca="false">AS49*(($I$10*'Timeline and FX'!AS12)+$J$10*Payroll!$C$36*MIN(MAX(($I$10*'Timeline and FX'!AS12),'Timeline and FX'!AS14),'Timeline and FX'!AS13))/'Timeline and FX'!AS8</f>
        <v>1531.28256966499</v>
      </c>
      <c r="AT89" s="60" t="n">
        <f aca="false">AT49*(($I$10*'Timeline and FX'!AT12)+$J$10*Payroll!$C$36*MIN(MAX(($I$10*'Timeline and FX'!AT12),'Timeline and FX'!AT14),'Timeline and FX'!AT13))/'Timeline and FX'!AT8</f>
        <v>1523.86507933656</v>
      </c>
      <c r="AU89" s="60" t="n">
        <f aca="false">AU49*(($I$10*'Timeline and FX'!AU12)+$J$10*Payroll!$C$36*MIN(MAX(($I$10*'Timeline and FX'!AU12),'Timeline and FX'!AU14),'Timeline and FX'!AU13))/'Timeline and FX'!AU8</f>
        <v>1516.4835191257</v>
      </c>
      <c r="AV89" s="60" t="n">
        <f aca="false">AV49*(($I$10*'Timeline and FX'!AV12)+$J$10*Payroll!$C$36*MIN(MAX(($I$10*'Timeline and FX'!AV12),'Timeline and FX'!AV14),'Timeline and FX'!AV13))/'Timeline and FX'!AV8</f>
        <v>1509.13771498793</v>
      </c>
      <c r="AW89" s="60" t="n">
        <f aca="false">AW49*(($I$10*'Timeline and FX'!AW12)+$J$10*Payroll!$C$36*MIN(MAX(($I$10*'Timeline and FX'!AW12),'Timeline and FX'!AW14),'Timeline and FX'!AW13))/'Timeline and FX'!AW8</f>
        <v>1501.82749372182</v>
      </c>
      <c r="AX89" s="60" t="n">
        <f aca="false">AX49*(($I$10*'Timeline and FX'!AX12)+$J$10*Payroll!$C$36*MIN(MAX(($I$10*'Timeline and FX'!AX12),'Timeline and FX'!AX14),'Timeline and FX'!AX13))/'Timeline and FX'!AX8</f>
        <v>1494.55268296492</v>
      </c>
      <c r="AY89" s="60" t="n">
        <f aca="false">AY49*(($I$10*'Timeline and FX'!AY12)+$J$10*Payroll!$C$36*MIN(MAX(($I$10*'Timeline and FX'!AY12),'Timeline and FX'!AY14),'Timeline and FX'!AY13))/'Timeline and FX'!AY8</f>
        <v>1487.3131111897</v>
      </c>
      <c r="AZ89" s="60" t="n">
        <f aca="false">AZ49*(($I$10*'Timeline and FX'!AZ12)+$J$10*Payroll!$C$36*MIN(MAX(($I$10*'Timeline and FX'!AZ12),'Timeline and FX'!AZ14),'Timeline and FX'!AZ13))/'Timeline and FX'!AZ8</f>
        <v>1480.10860769953</v>
      </c>
      <c r="BA89" s="60" t="n">
        <f aca="false">BA49*(($I$10*'Timeline and FX'!BA12)+$J$10*Payroll!$C$36*MIN(MAX(($I$10*'Timeline and FX'!BA12),'Timeline and FX'!BA14),'Timeline and FX'!BA13))/'Timeline and FX'!BA8</f>
        <v>1472.93900262459</v>
      </c>
      <c r="BB89" s="59" t="n">
        <f aca="false">SUM(BC89:BN89)</f>
        <v>28864.9268756716</v>
      </c>
      <c r="BC89" s="60" t="n">
        <f aca="false">BC49*(($I$10*'Timeline and FX'!BC12)+$J$10*Payroll!$C$36*MIN(MAX(($I$10*'Timeline and FX'!BC12),'Timeline and FX'!BC14),'Timeline and FX'!BC13))/'Timeline and FX'!BC8</f>
        <v>2470.16933585604</v>
      </c>
      <c r="BD89" s="60" t="n">
        <f aca="false">BD49*(($I$10*'Timeline and FX'!BD12)+$J$10*Payroll!$C$36*MIN(MAX(($I$10*'Timeline and FX'!BD12),'Timeline and FX'!BD14),'Timeline and FX'!BD13))/'Timeline and FX'!BD8</f>
        <v>2458.20390405313</v>
      </c>
      <c r="BE89" s="60" t="n">
        <f aca="false">BE49*(($I$10*'Timeline and FX'!BE12)+$J$10*Payroll!$C$36*MIN(MAX(($I$10*'Timeline and FX'!BE12),'Timeline and FX'!BE14),'Timeline and FX'!BE13))/'Timeline and FX'!BE8</f>
        <v>2446.29643247027</v>
      </c>
      <c r="BF89" s="60" t="n">
        <f aca="false">BF49*(($I$10*'Timeline and FX'!BF12)+$J$10*Payroll!$C$36*MIN(MAX(($I$10*'Timeline and FX'!BF12),'Timeline and FX'!BF14),'Timeline and FX'!BF13))/'Timeline and FX'!BF8</f>
        <v>2434.44664034974</v>
      </c>
      <c r="BG89" s="60" t="n">
        <f aca="false">BG49*(($I$10*'Timeline and FX'!BG12)+$J$10*Payroll!$C$36*MIN(MAX(($I$10*'Timeline and FX'!BG12),'Timeline and FX'!BG14),'Timeline and FX'!BG13))/'Timeline and FX'!BG8</f>
        <v>2422.65424829382</v>
      </c>
      <c r="BH89" s="60" t="n">
        <f aca="false">BH49*(($I$10*'Timeline and FX'!BH12)+$J$10*Payroll!$C$36*MIN(MAX(($I$10*'Timeline and FX'!BH12),'Timeline and FX'!BH14),'Timeline and FX'!BH13))/'Timeline and FX'!BH8</f>
        <v>2410.91897825821</v>
      </c>
      <c r="BI89" s="60" t="n">
        <f aca="false">BI49*(($I$10*'Timeline and FX'!BI12)+$J$10*Payroll!$C$36*MIN(MAX(($I$10*'Timeline and FX'!BI12),'Timeline and FX'!BI14),'Timeline and FX'!BI13))/'Timeline and FX'!BI8</f>
        <v>2399.2405535454</v>
      </c>
      <c r="BJ89" s="60" t="n">
        <f aca="false">BJ49*(($I$10*'Timeline and FX'!BJ12)+$J$10*Payroll!$C$36*MIN(MAX(($I$10*'Timeline and FX'!BJ12),'Timeline and FX'!BJ14),'Timeline and FX'!BJ13))/'Timeline and FX'!BJ8</f>
        <v>2387.61869879824</v>
      </c>
      <c r="BK89" s="60" t="n">
        <f aca="false">BK49*(($I$10*'Timeline and FX'!BK12)+$J$10*Payroll!$C$36*MIN(MAX(($I$10*'Timeline and FX'!BK12),'Timeline and FX'!BK14),'Timeline and FX'!BK13))/'Timeline and FX'!BK8</f>
        <v>2376.05313999338</v>
      </c>
      <c r="BL89" s="60" t="n">
        <f aca="false">BL49*(($I$10*'Timeline and FX'!BL12)+$J$10*Payroll!$C$36*MIN(MAX(($I$10*'Timeline and FX'!BL12),'Timeline and FX'!BL14),'Timeline and FX'!BL13))/'Timeline and FX'!BL8</f>
        <v>2364.54360443484</v>
      </c>
      <c r="BM89" s="60" t="n">
        <f aca="false">BM49*(($I$10*'Timeline and FX'!BM12)+$J$10*Payroll!$C$36*MIN(MAX(($I$10*'Timeline and FX'!BM12),'Timeline and FX'!BM14),'Timeline and FX'!BM13))/'Timeline and FX'!BM8</f>
        <v>2353.08982074755</v>
      </c>
      <c r="BN89" s="60" t="n">
        <f aca="false">BN49*(($I$10*'Timeline and FX'!BN12)+$J$10*Payroll!$C$36*MIN(MAX(($I$10*'Timeline and FX'!BN12),'Timeline and FX'!BN14),'Timeline and FX'!BN13))/'Timeline and FX'!BN8</f>
        <v>2341.69151887101</v>
      </c>
    </row>
    <row r="90" customFormat="false" ht="15" hidden="false" customHeight="false" outlineLevel="0" collapsed="false">
      <c r="A90" s="4" t="s">
        <v>839</v>
      </c>
      <c r="B90" s="59" t="n">
        <f aca="false">SUM(C90:N90)</f>
        <v>14435.1612009521</v>
      </c>
      <c r="C90" s="60" t="n">
        <f aca="false">C50*(($I$11*'Timeline and FX'!C12)+$J$11*Payroll!$C$36*MIN(MAX(($I$11*'Timeline and FX'!C12),'Timeline and FX'!C14),'Timeline and FX'!C13))/'Timeline and FX'!C8</f>
        <v>1235.31553398058</v>
      </c>
      <c r="D90" s="60" t="n">
        <f aca="false">D50*(($I$11*'Timeline and FX'!D12)+$J$11*Payroll!$C$36*MIN(MAX(($I$11*'Timeline and FX'!D12),'Timeline and FX'!D14),'Timeline and FX'!D13))/'Timeline and FX'!D8</f>
        <v>1229.33169977037</v>
      </c>
      <c r="E90" s="60" t="n">
        <f aca="false">E50*(($I$11*'Timeline and FX'!E12)+$J$11*Payroll!$C$36*MIN(MAX(($I$11*'Timeline and FX'!E12),'Timeline and FX'!E14),'Timeline and FX'!E13))/'Timeline and FX'!E8</f>
        <v>1223.37685108723</v>
      </c>
      <c r="F90" s="60" t="n">
        <f aca="false">F50*(($I$11*'Timeline and FX'!F12)+$J$11*Payroll!$C$36*MIN(MAX(($I$11*'Timeline and FX'!F12),'Timeline and FX'!F14),'Timeline and FX'!F13))/'Timeline and FX'!F8</f>
        <v>1217.45084752608</v>
      </c>
      <c r="G90" s="60" t="n">
        <f aca="false">G50*(($I$11*'Timeline and FX'!G12)+$J$11*Payroll!$C$36*MIN(MAX(($I$11*'Timeline and FX'!G12),'Timeline and FX'!G14),'Timeline and FX'!G13))/'Timeline and FX'!G8</f>
        <v>1211.55354936194</v>
      </c>
      <c r="H90" s="60" t="n">
        <f aca="false">H50*(($I$11*'Timeline and FX'!H12)+$J$11*Payroll!$C$36*MIN(MAX(($I$11*'Timeline and FX'!H12),'Timeline and FX'!H14),'Timeline and FX'!H13))/'Timeline and FX'!H8</f>
        <v>1205.68481754667</v>
      </c>
      <c r="I90" s="60" t="n">
        <f aca="false">I50*(($I$11*'Timeline and FX'!I12)+$J$11*Payroll!$C$36*MIN(MAX(($I$11*'Timeline and FX'!I12),'Timeline and FX'!I14),'Timeline and FX'!I13))/'Timeline and FX'!I8</f>
        <v>1199.84451370565</v>
      </c>
      <c r="J90" s="60" t="n">
        <f aca="false">J50*(($I$11*'Timeline and FX'!J12)+$J$11*Payroll!$C$36*MIN(MAX(($I$11*'Timeline and FX'!J12),'Timeline and FX'!J14),'Timeline and FX'!J13))/'Timeline and FX'!J8</f>
        <v>1194.03250013459</v>
      </c>
      <c r="K90" s="60" t="n">
        <f aca="false">K50*(($I$11*'Timeline and FX'!K12)+$J$11*Payroll!$C$36*MIN(MAX(($I$11*'Timeline and FX'!K12),'Timeline and FX'!K14),'Timeline and FX'!K13))/'Timeline and FX'!K8</f>
        <v>1188.24863979618</v>
      </c>
      <c r="L90" s="60" t="n">
        <f aca="false">L50*(($I$11*'Timeline and FX'!L12)+$J$11*Payroll!$C$36*MIN(MAX(($I$11*'Timeline and FX'!L12),'Timeline and FX'!L14),'Timeline and FX'!L13))/'Timeline and FX'!L8</f>
        <v>1182.49279631695</v>
      </c>
      <c r="M90" s="60" t="n">
        <f aca="false">M50*(($I$11*'Timeline and FX'!M12)+$J$11*Payroll!$C$36*MIN(MAX(($I$11*'Timeline and FX'!M12),'Timeline and FX'!M14),'Timeline and FX'!M13))/'Timeline and FX'!M8</f>
        <v>1176.76483398402</v>
      </c>
      <c r="N90" s="60" t="n">
        <f aca="false">N50*(($I$11*'Timeline and FX'!N12)+$J$11*Payroll!$C$36*MIN(MAX(($I$11*'Timeline and FX'!N12),'Timeline and FX'!N14),'Timeline and FX'!N13))/'Timeline and FX'!N8</f>
        <v>1171.06461774187</v>
      </c>
      <c r="O90" s="59" t="n">
        <f aca="false">SUM(P90:AA90)</f>
        <v>30550.9688497204</v>
      </c>
      <c r="P90" s="60" t="n">
        <f aca="false">P50*(($I$11*'Timeline and FX'!P12)+$J$11*Payroll!$C$36*MIN(MAX(($I$11*'Timeline and FX'!P12),'Timeline and FX'!P14),'Timeline and FX'!P13))/'Timeline and FX'!P8</f>
        <v>2614.45548635281</v>
      </c>
      <c r="Q90" s="60" t="n">
        <f aca="false">Q50*(($I$11*'Timeline and FX'!Q12)+$J$11*Payroll!$C$36*MIN(MAX(($I$11*'Timeline and FX'!Q12),'Timeline and FX'!Q14),'Timeline and FX'!Q13))/'Timeline and FX'!Q8</f>
        <v>2601.79113643575</v>
      </c>
      <c r="R90" s="60" t="n">
        <f aca="false">R50*(($I$11*'Timeline and FX'!R12)+$J$11*Payroll!$C$36*MIN(MAX(($I$11*'Timeline and FX'!R12),'Timeline and FX'!R14),'Timeline and FX'!R13))/'Timeline and FX'!R8</f>
        <v>2589.1881322787</v>
      </c>
      <c r="S90" s="60" t="n">
        <f aca="false">S50*(($I$11*'Timeline and FX'!S12)+$J$11*Payroll!$C$36*MIN(MAX(($I$11*'Timeline and FX'!S12),'Timeline and FX'!S14),'Timeline and FX'!S13))/'Timeline and FX'!S8</f>
        <v>2576.64617672449</v>
      </c>
      <c r="T90" s="60" t="n">
        <f aca="false">T50*(($I$11*'Timeline and FX'!T12)+$J$11*Payroll!$C$36*MIN(MAX(($I$11*'Timeline and FX'!T12),'Timeline and FX'!T14),'Timeline and FX'!T13))/'Timeline and FX'!T8</f>
        <v>2564.1649740554</v>
      </c>
      <c r="U90" s="60" t="n">
        <f aca="false">U50*(($I$11*'Timeline and FX'!U12)+$J$11*Payroll!$C$36*MIN(MAX(($I$11*'Timeline and FX'!U12),'Timeline and FX'!U14),'Timeline and FX'!U13))/'Timeline and FX'!U8</f>
        <v>2551.74422998612</v>
      </c>
      <c r="V90" s="60" t="n">
        <f aca="false">V50*(($I$11*'Timeline and FX'!V12)+$J$11*Payroll!$C$36*MIN(MAX(($I$11*'Timeline and FX'!V12),'Timeline and FX'!V14),'Timeline and FX'!V13))/'Timeline and FX'!V8</f>
        <v>2539.38365165687</v>
      </c>
      <c r="W90" s="60" t="n">
        <f aca="false">W50*(($I$11*'Timeline and FX'!W12)+$J$11*Payroll!$C$36*MIN(MAX(($I$11*'Timeline and FX'!W12),'Timeline and FX'!W14),'Timeline and FX'!W13))/'Timeline and FX'!W8</f>
        <v>2527.08294762648</v>
      </c>
      <c r="X90" s="60" t="n">
        <f aca="false">X50*(($I$11*'Timeline and FX'!X12)+$J$11*Payroll!$C$36*MIN(MAX(($I$11*'Timeline and FX'!X12),'Timeline and FX'!X14),'Timeline and FX'!X13))/'Timeline and FX'!X8</f>
        <v>2514.84182786551</v>
      </c>
      <c r="Y90" s="60" t="n">
        <f aca="false">Y50*(($I$11*'Timeline and FX'!Y12)+$J$11*Payroll!$C$36*MIN(MAX(($I$11*'Timeline and FX'!Y12),'Timeline and FX'!Y14),'Timeline and FX'!Y13))/'Timeline and FX'!Y8</f>
        <v>2502.6600037494</v>
      </c>
      <c r="Z90" s="60" t="n">
        <f aca="false">Z50*(($I$11*'Timeline and FX'!Z12)+$J$11*Payroll!$C$36*MIN(MAX(($I$11*'Timeline and FX'!Z12),'Timeline and FX'!Z14),'Timeline and FX'!Z13))/'Timeline and FX'!Z8</f>
        <v>2490.53718805169</v>
      </c>
      <c r="AA90" s="60" t="n">
        <f aca="false">AA50*(($I$11*'Timeline and FX'!AA12)+$J$11*Payroll!$C$36*MIN(MAX(($I$11*'Timeline and FX'!AA12),'Timeline and FX'!AA14),'Timeline and FX'!AA13))/'Timeline and FX'!AA8</f>
        <v>2478.47309493724</v>
      </c>
      <c r="AB90" s="59" t="n">
        <f aca="false">SUM(AC90:AN90)</f>
        <v>32330.6924105951</v>
      </c>
      <c r="AC90" s="60" t="n">
        <f aca="false">AC50*(($I$11*'Timeline and FX'!AC12)+$J$11*Payroll!$C$36*MIN(MAX(($I$11*'Timeline and FX'!AC12),'Timeline and FX'!AC14),'Timeline and FX'!AC13))/'Timeline and FX'!AC8</f>
        <v>2766.75861136361</v>
      </c>
      <c r="AD90" s="60" t="n">
        <f aca="false">AD50*(($I$11*'Timeline and FX'!AD12)+$J$11*Payroll!$C$36*MIN(MAX(($I$11*'Timeline and FX'!AD12),'Timeline and FX'!AD14),'Timeline and FX'!AD13))/'Timeline and FX'!AD8</f>
        <v>2753.35650933003</v>
      </c>
      <c r="AE90" s="60" t="n">
        <f aca="false">AE50*(($I$11*'Timeline and FX'!AE12)+$J$11*Payroll!$C$36*MIN(MAX(($I$11*'Timeline and FX'!AE12),'Timeline and FX'!AE14),'Timeline and FX'!AE13))/'Timeline and FX'!AE8</f>
        <v>2740.01932670727</v>
      </c>
      <c r="AF90" s="60" t="n">
        <f aca="false">AF50*(($I$11*'Timeline and FX'!AF12)+$J$11*Payroll!$C$36*MIN(MAX(($I$11*'Timeline and FX'!AF12),'Timeline and FX'!AF14),'Timeline and FX'!AF13))/'Timeline and FX'!AF8</f>
        <v>2726.74674902749</v>
      </c>
      <c r="AG90" s="60" t="n">
        <f aca="false">AG50*(($I$11*'Timeline and FX'!AG12)+$J$11*Payroll!$C$36*MIN(MAX(($I$11*'Timeline and FX'!AG12),'Timeline and FX'!AG14),'Timeline and FX'!AG13))/'Timeline and FX'!AG8</f>
        <v>2713.53846334615</v>
      </c>
      <c r="AH90" s="60" t="n">
        <f aca="false">AH50*(($I$11*'Timeline and FX'!AH12)+$J$11*Payroll!$C$36*MIN(MAX(($I$11*'Timeline and FX'!AH12),'Timeline and FX'!AH14),'Timeline and FX'!AH13))/'Timeline and FX'!AH8</f>
        <v>2700.39415823459</v>
      </c>
      <c r="AI90" s="60" t="n">
        <f aca="false">AI50*(($I$11*'Timeline and FX'!AI12)+$J$11*Payroll!$C$36*MIN(MAX(($I$11*'Timeline and FX'!AI12),'Timeline and FX'!AI14),'Timeline and FX'!AI13))/'Timeline and FX'!AI8</f>
        <v>2687.31352377269</v>
      </c>
      <c r="AJ90" s="60" t="n">
        <f aca="false">AJ50*(($I$11*'Timeline and FX'!AJ12)+$J$11*Payroll!$C$36*MIN(MAX(($I$11*'Timeline and FX'!AJ12),'Timeline and FX'!AJ14),'Timeline and FX'!AJ13))/'Timeline and FX'!AJ8</f>
        <v>2674.29625154161</v>
      </c>
      <c r="AK90" s="60" t="n">
        <f aca="false">AK50*(($I$11*'Timeline and FX'!AK12)+$J$11*Payroll!$C$36*MIN(MAX(($I$11*'Timeline and FX'!AK12),'Timeline and FX'!AK14),'Timeline and FX'!AK13))/'Timeline and FX'!AK8</f>
        <v>2661.34203461644</v>
      </c>
      <c r="AL90" s="60" t="n">
        <f aca="false">AL50*(($I$11*'Timeline and FX'!AL12)+$J$11*Payroll!$C$36*MIN(MAX(($I$11*'Timeline and FX'!AL12),'Timeline and FX'!AL14),'Timeline and FX'!AL13))/'Timeline and FX'!AL8</f>
        <v>2648.45056755903</v>
      </c>
      <c r="AM90" s="60" t="n">
        <f aca="false">AM50*(($I$11*'Timeline and FX'!AM12)+$J$11*Payroll!$C$36*MIN(MAX(($I$11*'Timeline and FX'!AM12),'Timeline and FX'!AM14),'Timeline and FX'!AM13))/'Timeline and FX'!AM8</f>
        <v>2635.62154641077</v>
      </c>
      <c r="AN90" s="60" t="n">
        <f aca="false">AN50*(($I$11*'Timeline and FX'!AN12)+$J$11*Payroll!$C$36*MIN(MAX(($I$11*'Timeline and FX'!AN12),'Timeline and FX'!AN14),'Timeline and FX'!AN13))/'Timeline and FX'!AN8</f>
        <v>2622.8546686854</v>
      </c>
      <c r="AO90" s="59" t="n">
        <f aca="false">SUM(AP90:BA90)</f>
        <v>51323.1544142942</v>
      </c>
      <c r="AP90" s="60" t="n">
        <f aca="false">AP50*(($I$11*'Timeline and FX'!AP12)+$J$11*Payroll!$C$36*MIN(MAX(($I$11*'Timeline and FX'!AP12),'Timeline and FX'!AP14),'Timeline and FX'!AP13))/'Timeline and FX'!AP8</f>
        <v>4392.07356386709</v>
      </c>
      <c r="AQ90" s="60" t="n">
        <f aca="false">AQ50*(($I$11*'Timeline and FX'!AQ12)+$J$11*Payroll!$C$36*MIN(MAX(($I$11*'Timeline and FX'!AQ12),'Timeline and FX'!AQ14),'Timeline and FX'!AQ13))/'Timeline and FX'!AQ8</f>
        <v>4370.79848124868</v>
      </c>
      <c r="AR90" s="60" t="n">
        <f aca="false">AR50*(($I$11*'Timeline and FX'!AR12)+$J$11*Payroll!$C$36*MIN(MAX(($I$11*'Timeline and FX'!AR12),'Timeline and FX'!AR14),'Timeline and FX'!AR13))/'Timeline and FX'!AR8</f>
        <v>4349.62645454085</v>
      </c>
      <c r="AS90" s="60" t="n">
        <f aca="false">AS50*(($I$11*'Timeline and FX'!AS12)+$J$11*Payroll!$C$36*MIN(MAX(($I$11*'Timeline and FX'!AS12),'Timeline and FX'!AS14),'Timeline and FX'!AS13))/'Timeline and FX'!AS8</f>
        <v>4328.55698454362</v>
      </c>
      <c r="AT90" s="60" t="n">
        <f aca="false">AT50*(($I$11*'Timeline and FX'!AT12)+$J$11*Payroll!$C$36*MIN(MAX(($I$11*'Timeline and FX'!AT12),'Timeline and FX'!AT14),'Timeline and FX'!AT13))/'Timeline and FX'!AT8</f>
        <v>4307.58957447511</v>
      </c>
      <c r="AU90" s="60" t="n">
        <f aca="false">AU50*(($I$11*'Timeline and FX'!AU12)+$J$11*Payroll!$C$36*MIN(MAX(($I$11*'Timeline and FX'!AU12),'Timeline and FX'!AU14),'Timeline and FX'!AU13))/'Timeline and FX'!AU8</f>
        <v>4286.72372995988</v>
      </c>
      <c r="AV90" s="60" t="n">
        <f aca="false">AV50*(($I$11*'Timeline and FX'!AV12)+$J$11*Payroll!$C$36*MIN(MAX(($I$11*'Timeline and FX'!AV12),'Timeline and FX'!AV14),'Timeline and FX'!AV13))/'Timeline and FX'!AV8</f>
        <v>4265.95895901718</v>
      </c>
      <c r="AW90" s="60" t="n">
        <f aca="false">AW50*(($I$11*'Timeline and FX'!AW12)+$J$11*Payroll!$C$36*MIN(MAX(($I$11*'Timeline and FX'!AW12),'Timeline and FX'!AW14),'Timeline and FX'!AW13))/'Timeline and FX'!AW8</f>
        <v>4245.29477204945</v>
      </c>
      <c r="AX90" s="60" t="n">
        <f aca="false">AX50*(($I$11*'Timeline and FX'!AX12)+$J$11*Payroll!$C$36*MIN(MAX(($I$11*'Timeline and FX'!AX12),'Timeline and FX'!AX14),'Timeline and FX'!AX13))/'Timeline and FX'!AX8</f>
        <v>4224.73068183068</v>
      </c>
      <c r="AY90" s="60" t="n">
        <f aca="false">AY50*(($I$11*'Timeline and FX'!AY12)+$J$11*Payroll!$C$36*MIN(MAX(($I$11*'Timeline and FX'!AY12),'Timeline and FX'!AY14),'Timeline and FX'!AY13))/'Timeline and FX'!AY8</f>
        <v>4204.266203495</v>
      </c>
      <c r="AZ90" s="60" t="n">
        <f aca="false">AZ50*(($I$11*'Timeline and FX'!AZ12)+$J$11*Payroll!$C$36*MIN(MAX(($I$11*'Timeline and FX'!AZ12),'Timeline and FX'!AZ14),'Timeline and FX'!AZ13))/'Timeline and FX'!AZ8</f>
        <v>4183.90085452522</v>
      </c>
      <c r="BA90" s="60" t="n">
        <f aca="false">BA50*(($I$11*'Timeline and FX'!BA12)+$J$11*Payroll!$C$36*MIN(MAX(($I$11*'Timeline and FX'!BA12),'Timeline and FX'!BA14),'Timeline and FX'!BA13))/'Timeline and FX'!BA8</f>
        <v>4163.63415474143</v>
      </c>
      <c r="BB90" s="59" t="n">
        <f aca="false">SUM(BC90:BN90)</f>
        <v>72423.0169863593</v>
      </c>
      <c r="BC90" s="60" t="n">
        <f aca="false">BC50*(($I$11*'Timeline and FX'!BC12)+$J$11*Payroll!$C$36*MIN(MAX(($I$11*'Timeline and FX'!BC12),'Timeline and FX'!BC14),'Timeline and FX'!BC13))/'Timeline and FX'!BC8</f>
        <v>6197.73320543785</v>
      </c>
      <c r="BD90" s="60" t="n">
        <f aca="false">BD50*(($I$11*'Timeline and FX'!BD12)+$J$11*Payroll!$C$36*MIN(MAX(($I$11*'Timeline and FX'!BD12),'Timeline and FX'!BD14),'Timeline and FX'!BD13))/'Timeline and FX'!BD8</f>
        <v>6167.71155755898</v>
      </c>
      <c r="BE90" s="60" t="n">
        <f aca="false">BE50*(($I$11*'Timeline and FX'!BE12)+$J$11*Payroll!$C$36*MIN(MAX(($I$11*'Timeline and FX'!BE12),'Timeline and FX'!BE14),'Timeline and FX'!BE13))/'Timeline and FX'!BE8</f>
        <v>6137.8353337104</v>
      </c>
      <c r="BF90" s="60" t="n">
        <f aca="false">BF50*(($I$11*'Timeline and FX'!BF12)+$J$11*Payroll!$C$36*MIN(MAX(($I$11*'Timeline and FX'!BF12),'Timeline and FX'!BF14),'Timeline and FX'!BF13))/'Timeline and FX'!BF8</f>
        <v>6108.10382946213</v>
      </c>
      <c r="BG90" s="60" t="n">
        <f aca="false">BG50*(($I$11*'Timeline and FX'!BG12)+$J$11*Payroll!$C$36*MIN(MAX(($I$11*'Timeline and FX'!BG12),'Timeline and FX'!BG14),'Timeline and FX'!BG13))/'Timeline and FX'!BG8</f>
        <v>6078.51634379643</v>
      </c>
      <c r="BH90" s="60" t="n">
        <f aca="false">BH50*(($I$11*'Timeline and FX'!BH12)+$J$11*Payroll!$C$36*MIN(MAX(($I$11*'Timeline and FX'!BH12),'Timeline and FX'!BH14),'Timeline and FX'!BH13))/'Timeline and FX'!BH8</f>
        <v>6049.0721790913</v>
      </c>
      <c r="BI90" s="60" t="n">
        <f aca="false">BI50*(($I$11*'Timeline and FX'!BI12)+$J$11*Payroll!$C$36*MIN(MAX(($I$11*'Timeline and FX'!BI12),'Timeline and FX'!BI14),'Timeline and FX'!BI13))/'Timeline and FX'!BI8</f>
        <v>6019.77064110395</v>
      </c>
      <c r="BJ90" s="60" t="n">
        <f aca="false">BJ50*(($I$11*'Timeline and FX'!BJ12)+$J$11*Payroll!$C$36*MIN(MAX(($I$11*'Timeline and FX'!BJ12),'Timeline and FX'!BJ14),'Timeline and FX'!BJ13))/'Timeline and FX'!BJ8</f>
        <v>5990.61103895454</v>
      </c>
      <c r="BK90" s="60" t="n">
        <f aca="false">BK50*(($I$11*'Timeline and FX'!BK12)+$J$11*Payroll!$C$36*MIN(MAX(($I$11*'Timeline and FX'!BK12),'Timeline and FX'!BK14),'Timeline and FX'!BK13))/'Timeline and FX'!BK8</f>
        <v>5961.59268510979</v>
      </c>
      <c r="BL90" s="60" t="n">
        <f aca="false">BL50*(($I$11*'Timeline and FX'!BL12)+$J$11*Payroll!$C$36*MIN(MAX(($I$11*'Timeline and FX'!BL12),'Timeline and FX'!BL14),'Timeline and FX'!BL13))/'Timeline and FX'!BL8</f>
        <v>5932.71489536683</v>
      </c>
      <c r="BM90" s="60" t="n">
        <f aca="false">BM50*(($I$11*'Timeline and FX'!BM12)+$J$11*Payroll!$C$36*MIN(MAX(($I$11*'Timeline and FX'!BM12),'Timeline and FX'!BM14),'Timeline and FX'!BM13))/'Timeline and FX'!BM8</f>
        <v>5903.97698883704</v>
      </c>
      <c r="BN90" s="60" t="n">
        <f aca="false">BN50*(($I$11*'Timeline and FX'!BN12)+$J$11*Payroll!$C$36*MIN(MAX(($I$11*'Timeline and FX'!BN12),'Timeline and FX'!BN14),'Timeline and FX'!BN13))/'Timeline and FX'!BN8</f>
        <v>5875.37828793002</v>
      </c>
    </row>
    <row r="91" customFormat="false" ht="15" hidden="false" customHeight="false" outlineLevel="0" collapsed="false">
      <c r="A91" s="4" t="s">
        <v>841</v>
      </c>
      <c r="B91" s="59" t="n">
        <f aca="false">SUM(C91:N91)</f>
        <v>9897.14019269525</v>
      </c>
      <c r="C91" s="60" t="n">
        <f aca="false">C51*(($I$12*'Timeline and FX'!C12)+$J$12*Payroll!$C$36*MIN(MAX(($I$12*'Timeline and FX'!C12),'Timeline and FX'!C14),'Timeline and FX'!C13))/'Timeline and FX'!C8</f>
        <v>846.966019417476</v>
      </c>
      <c r="D91" s="60" t="n">
        <f aca="false">D51*(($I$12*'Timeline and FX'!D12)+$J$12*Payroll!$C$36*MIN(MAX(($I$12*'Timeline and FX'!D12),'Timeline and FX'!D14),'Timeline and FX'!D13))/'Timeline and FX'!D8</f>
        <v>842.863339492821</v>
      </c>
      <c r="E91" s="60" t="n">
        <f aca="false">E51*(($I$12*'Timeline and FX'!E12)+$J$12*Payroll!$C$36*MIN(MAX(($I$12*'Timeline and FX'!E12),'Timeline and FX'!E14),'Timeline and FX'!E13))/'Timeline and FX'!E8</f>
        <v>838.780532836016</v>
      </c>
      <c r="F91" s="60" t="n">
        <f aca="false">F51*(($I$12*'Timeline and FX'!F12)+$J$12*Payroll!$C$36*MIN(MAX(($I$12*'Timeline and FX'!F12),'Timeline and FX'!F14),'Timeline and FX'!F13))/'Timeline and FX'!F8</f>
        <v>834.717503181503</v>
      </c>
      <c r="G91" s="60" t="n">
        <f aca="false">G51*(($I$12*'Timeline and FX'!G12)+$J$12*Payroll!$C$36*MIN(MAX(($I$12*'Timeline and FX'!G12),'Timeline and FX'!G14),'Timeline and FX'!G13))/'Timeline and FX'!G8</f>
        <v>830.674154730031</v>
      </c>
      <c r="H91" s="60" t="n">
        <f aca="false">H51*(($I$12*'Timeline and FX'!H12)+$J$12*Payroll!$C$36*MIN(MAX(($I$12*'Timeline and FX'!H12),'Timeline and FX'!H14),'Timeline and FX'!H13))/'Timeline and FX'!H8</f>
        <v>826.650392146398</v>
      </c>
      <c r="I91" s="60" t="n">
        <f aca="false">I51*(($I$12*'Timeline and FX'!I12)+$J$12*Payroll!$C$36*MIN(MAX(($I$12*'Timeline and FX'!I12),'Timeline and FX'!I14),'Timeline and FX'!I13))/'Timeline and FX'!I8</f>
        <v>822.646120557202</v>
      </c>
      <c r="J91" s="60" t="n">
        <f aca="false">J51*(($I$12*'Timeline and FX'!J12)+$J$12*Payroll!$C$36*MIN(MAX(($I$12*'Timeline and FX'!J12),'Timeline and FX'!J14),'Timeline and FX'!J13))/'Timeline and FX'!J8</f>
        <v>818.661245548608</v>
      </c>
      <c r="K91" s="60" t="n">
        <f aca="false">K51*(($I$12*'Timeline and FX'!K12)+$J$12*Payroll!$C$36*MIN(MAX(($I$12*'Timeline and FX'!K12),'Timeline and FX'!K14),'Timeline and FX'!K13))/'Timeline and FX'!K8</f>
        <v>814.695673164115</v>
      </c>
      <c r="L91" s="60" t="n">
        <f aca="false">L51*(($I$12*'Timeline and FX'!L12)+$J$12*Payroll!$C$36*MIN(MAX(($I$12*'Timeline and FX'!L12),'Timeline and FX'!L14),'Timeline and FX'!L13))/'Timeline and FX'!L8</f>
        <v>810.749309902349</v>
      </c>
      <c r="M91" s="60" t="n">
        <f aca="false">M51*(($I$12*'Timeline and FX'!M12)+$J$12*Payroll!$C$36*MIN(MAX(($I$12*'Timeline and FX'!M12),'Timeline and FX'!M14),'Timeline and FX'!M13))/'Timeline and FX'!M8</f>
        <v>806.82206271485</v>
      </c>
      <c r="N91" s="60" t="n">
        <f aca="false">N51*(($I$12*'Timeline and FX'!N12)+$J$12*Payroll!$C$36*MIN(MAX(($I$12*'Timeline and FX'!N12),'Timeline and FX'!N14),'Timeline and FX'!N13))/'Timeline and FX'!N8</f>
        <v>802.913839003885</v>
      </c>
      <c r="O91" s="59" t="n">
        <f aca="false">SUM(P91:AA91)</f>
        <v>20961.1886058568</v>
      </c>
      <c r="P91" s="60" t="n">
        <f aca="false">P51*(($I$12*'Timeline and FX'!P12)+$J$12*Payroll!$C$36*MIN(MAX(($I$12*'Timeline and FX'!P12),'Timeline and FX'!P14),'Timeline and FX'!P13))/'Timeline and FX'!P8</f>
        <v>1793.79236123832</v>
      </c>
      <c r="Q91" s="60" t="n">
        <f aca="false">Q51*(($I$12*'Timeline and FX'!Q12)+$J$12*Payroll!$C$36*MIN(MAX(($I$12*'Timeline and FX'!Q12),'Timeline and FX'!Q14),'Timeline and FX'!Q13))/'Timeline and FX'!Q8</f>
        <v>1785.10328075489</v>
      </c>
      <c r="R91" s="60" t="n">
        <f aca="false">R51*(($I$12*'Timeline and FX'!R12)+$J$12*Payroll!$C$36*MIN(MAX(($I$12*'Timeline and FX'!R12),'Timeline and FX'!R14),'Timeline and FX'!R13))/'Timeline and FX'!R8</f>
        <v>1776.4562899365</v>
      </c>
      <c r="S91" s="60" t="n">
        <f aca="false">S51*(($I$12*'Timeline and FX'!S12)+$J$12*Payroll!$C$36*MIN(MAX(($I$12*'Timeline and FX'!S12),'Timeline and FX'!S14),'Timeline and FX'!S13))/'Timeline and FX'!S8</f>
        <v>1767.85118490199</v>
      </c>
      <c r="T91" s="60" t="n">
        <f aca="false">T51*(($I$12*'Timeline and FX'!T12)+$J$12*Payroll!$C$36*MIN(MAX(($I$12*'Timeline and FX'!T12),'Timeline and FX'!T14),'Timeline and FX'!T13))/'Timeline and FX'!T8</f>
        <v>1759.28776275778</v>
      </c>
      <c r="U91" s="60" t="n">
        <f aca="false">U51*(($I$12*'Timeline and FX'!U12)+$J$12*Payroll!$C$36*MIN(MAX(($I$12*'Timeline and FX'!U12),'Timeline and FX'!U14),'Timeline and FX'!U13))/'Timeline and FX'!U8</f>
        <v>1750.7658215931</v>
      </c>
      <c r="V91" s="60" t="n">
        <f aca="false">V51*(($I$12*'Timeline and FX'!V12)+$J$12*Payroll!$C$36*MIN(MAX(($I$12*'Timeline and FX'!V12),'Timeline and FX'!V14),'Timeline and FX'!V13))/'Timeline and FX'!V8</f>
        <v>1742.28516047524</v>
      </c>
      <c r="W91" s="60" t="n">
        <f aca="false">W51*(($I$12*'Timeline and FX'!W12)+$J$12*Payroll!$C$36*MIN(MAX(($I$12*'Timeline and FX'!W12),'Timeline and FX'!W14),'Timeline and FX'!W13))/'Timeline and FX'!W8</f>
        <v>1733.84557944479</v>
      </c>
      <c r="X91" s="60" t="n">
        <f aca="false">X51*(($I$12*'Timeline and FX'!X12)+$J$12*Payroll!$C$36*MIN(MAX(($I$12*'Timeline and FX'!X12),'Timeline and FX'!X14),'Timeline and FX'!X13))/'Timeline and FX'!X8</f>
        <v>1725.44687951096</v>
      </c>
      <c r="Y91" s="60" t="n">
        <f aca="false">Y51*(($I$12*'Timeline and FX'!Y12)+$J$12*Payroll!$C$36*MIN(MAX(($I$12*'Timeline and FX'!Y12),'Timeline and FX'!Y14),'Timeline and FX'!Y13))/'Timeline and FX'!Y8</f>
        <v>1717.08886264684</v>
      </c>
      <c r="Z91" s="60" t="n">
        <f aca="false">Z51*(($I$12*'Timeline and FX'!Z12)+$J$12*Payroll!$C$36*MIN(MAX(($I$12*'Timeline and FX'!Z12),'Timeline and FX'!Z14),'Timeline and FX'!Z13))/'Timeline and FX'!Z8</f>
        <v>1708.77133178477</v>
      </c>
      <c r="AA91" s="60" t="n">
        <f aca="false">AA51*(($I$12*'Timeline and FX'!AA12)+$J$12*Payroll!$C$36*MIN(MAX(($I$12*'Timeline and FX'!AA12),'Timeline and FX'!AA14),'Timeline and FX'!AA13))/'Timeline and FX'!AA8</f>
        <v>1700.49409081168</v>
      </c>
      <c r="AB91" s="59" t="n">
        <f aca="false">SUM(AC91:AN91)</f>
        <v>33297.1416256182</v>
      </c>
      <c r="AC91" s="60" t="n">
        <f aca="false">AC51*(($I$12*'Timeline and FX'!AC12)+$J$12*Payroll!$C$36*MIN(MAX(($I$12*'Timeline and FX'!AC12),'Timeline and FX'!AC14),'Timeline and FX'!AC13))/'Timeline and FX'!AC8</f>
        <v>2849.46428478849</v>
      </c>
      <c r="AD91" s="60" t="n">
        <f aca="false">AD51*(($I$12*'Timeline and FX'!AD12)+$J$12*Payroll!$C$36*MIN(MAX(($I$12*'Timeline and FX'!AD12),'Timeline and FX'!AD14),'Timeline and FX'!AD13))/'Timeline and FX'!AD8</f>
        <v>2835.661558765</v>
      </c>
      <c r="AE91" s="60" t="n">
        <f aca="false">AE51*(($I$12*'Timeline and FX'!AE12)+$J$12*Payroll!$C$36*MIN(MAX(($I$12*'Timeline and FX'!AE12),'Timeline and FX'!AE14),'Timeline and FX'!AE13))/'Timeline and FX'!AE8</f>
        <v>2821.92569276384</v>
      </c>
      <c r="AF91" s="60" t="n">
        <f aca="false">AF51*(($I$12*'Timeline and FX'!AF12)+$J$12*Payroll!$C$36*MIN(MAX(($I$12*'Timeline and FX'!AF12),'Timeline and FX'!AF14),'Timeline and FX'!AF13))/'Timeline and FX'!AF8</f>
        <v>2808.25636291689</v>
      </c>
      <c r="AG91" s="60" t="n">
        <f aca="false">AG51*(($I$12*'Timeline and FX'!AG12)+$J$12*Payroll!$C$36*MIN(MAX(($I$12*'Timeline and FX'!AG12),'Timeline and FX'!AG14),'Timeline and FX'!AG13))/'Timeline and FX'!AG8</f>
        <v>2794.65324692488</v>
      </c>
      <c r="AH91" s="60" t="n">
        <f aca="false">AH51*(($I$12*'Timeline and FX'!AH12)+$J$12*Payroll!$C$36*MIN(MAX(($I$12*'Timeline and FX'!AH12),'Timeline and FX'!AH14),'Timeline and FX'!AH13))/'Timeline and FX'!AH8</f>
        <v>2781.11602404974</v>
      </c>
      <c r="AI91" s="60" t="n">
        <f aca="false">AI51*(($I$12*'Timeline and FX'!AI12)+$J$12*Payroll!$C$36*MIN(MAX(($I$12*'Timeline and FX'!AI12),'Timeline and FX'!AI14),'Timeline and FX'!AI13))/'Timeline and FX'!AI8</f>
        <v>2767.64437510702</v>
      </c>
      <c r="AJ91" s="60" t="n">
        <f aca="false">AJ51*(($I$12*'Timeline and FX'!AJ12)+$J$12*Payroll!$C$36*MIN(MAX(($I$12*'Timeline and FX'!AJ12),'Timeline and FX'!AJ14),'Timeline and FX'!AJ13))/'Timeline and FX'!AJ8</f>
        <v>2754.23798245841</v>
      </c>
      <c r="AK91" s="60" t="n">
        <f aca="false">AK51*(($I$12*'Timeline and FX'!AK12)+$J$12*Payroll!$C$36*MIN(MAX(($I$12*'Timeline and FX'!AK12),'Timeline and FX'!AK14),'Timeline and FX'!AK13))/'Timeline and FX'!AK8</f>
        <v>2740.89653000424</v>
      </c>
      <c r="AL91" s="60" t="n">
        <f aca="false">AL51*(($I$12*'Timeline and FX'!AL12)+$J$12*Payroll!$C$36*MIN(MAX(($I$12*'Timeline and FX'!AL12),'Timeline and FX'!AL14),'Timeline and FX'!AL13))/'Timeline and FX'!AL8</f>
        <v>2727.61970317601</v>
      </c>
      <c r="AM91" s="60" t="n">
        <f aca="false">AM51*(($I$12*'Timeline and FX'!AM12)+$J$12*Payroll!$C$36*MIN(MAX(($I$12*'Timeline and FX'!AM12),'Timeline and FX'!AM14),'Timeline and FX'!AM13))/'Timeline and FX'!AM8</f>
        <v>2714.40718892896</v>
      </c>
      <c r="AN91" s="60" t="n">
        <f aca="false">AN51*(($I$12*'Timeline and FX'!AN12)+$J$12*Payroll!$C$36*MIN(MAX(($I$12*'Timeline and FX'!AN12),'Timeline and FX'!AN14),'Timeline and FX'!AN13))/'Timeline and FX'!AN8</f>
        <v>2701.25867573475</v>
      </c>
      <c r="AO91" s="59" t="n">
        <f aca="false">SUM(AP91:BA91)</f>
        <v>47018.590000056</v>
      </c>
      <c r="AP91" s="60" t="n">
        <f aca="false">AP51*(($I$12*'Timeline and FX'!AP12)+$J$12*Payroll!$C$36*MIN(MAX(($I$12*'Timeline and FX'!AP12),'Timeline and FX'!AP14),'Timeline and FX'!AP13))/'Timeline and FX'!AP8</f>
        <v>4023.70252776271</v>
      </c>
      <c r="AQ91" s="60" t="n">
        <f aca="false">AQ51*(($I$12*'Timeline and FX'!AQ12)+$J$12*Payroll!$C$36*MIN(MAX(($I$12*'Timeline and FX'!AQ12),'Timeline and FX'!AQ14),'Timeline and FX'!AQ13))/'Timeline and FX'!AQ8</f>
        <v>4004.2118242339</v>
      </c>
      <c r="AR91" s="60" t="n">
        <f aca="false">AR51*(($I$12*'Timeline and FX'!AR12)+$J$12*Payroll!$C$36*MIN(MAX(($I$12*'Timeline and FX'!AR12),'Timeline and FX'!AR14),'Timeline and FX'!AR13))/'Timeline and FX'!AR8</f>
        <v>3984.81553313281</v>
      </c>
      <c r="AS91" s="60" t="n">
        <f aca="false">AS51*(($I$12*'Timeline and FX'!AS12)+$J$12*Payroll!$C$36*MIN(MAX(($I$12*'Timeline and FX'!AS12),'Timeline and FX'!AS14),'Timeline and FX'!AS13))/'Timeline and FX'!AS8</f>
        <v>3965.51319712826</v>
      </c>
      <c r="AT91" s="60" t="n">
        <f aca="false">AT51*(($I$12*'Timeline and FX'!AT12)+$J$12*Payroll!$C$36*MIN(MAX(($I$12*'Timeline and FX'!AT12),'Timeline and FX'!AT14),'Timeline and FX'!AT13))/'Timeline and FX'!AT8</f>
        <v>3946.30436110435</v>
      </c>
      <c r="AU91" s="60" t="n">
        <f aca="false">AU51*(($I$12*'Timeline and FX'!AU12)+$J$12*Payroll!$C$36*MIN(MAX(($I$12*'Timeline and FX'!AU12),'Timeline and FX'!AU14),'Timeline and FX'!AU13))/'Timeline and FX'!AU8</f>
        <v>3927.18857214977</v>
      </c>
      <c r="AV91" s="60" t="n">
        <f aca="false">AV51*(($I$12*'Timeline and FX'!AV12)+$J$12*Payroll!$C$36*MIN(MAX(($I$12*'Timeline and FX'!AV12),'Timeline and FX'!AV14),'Timeline and FX'!AV13))/'Timeline and FX'!AV8</f>
        <v>3908.1653795471</v>
      </c>
      <c r="AW91" s="60" t="n">
        <f aca="false">AW51*(($I$12*'Timeline and FX'!AW12)+$J$12*Payroll!$C$36*MIN(MAX(($I$12*'Timeline and FX'!AW12),'Timeline and FX'!AW14),'Timeline and FX'!AW13))/'Timeline and FX'!AW8</f>
        <v>3889.23433476218</v>
      </c>
      <c r="AX91" s="60" t="n">
        <f aca="false">AX51*(($I$12*'Timeline and FX'!AX12)+$J$12*Payroll!$C$36*MIN(MAX(($I$12*'Timeline and FX'!AX12),'Timeline and FX'!AX14),'Timeline and FX'!AX13))/'Timeline and FX'!AX8</f>
        <v>3870.39499143353</v>
      </c>
      <c r="AY91" s="60" t="n">
        <f aca="false">AY51*(($I$12*'Timeline and FX'!AY12)+$J$12*Payroll!$C$36*MIN(MAX(($I$12*'Timeline and FX'!AY12),'Timeline and FX'!AY14),'Timeline and FX'!AY13))/'Timeline and FX'!AY8</f>
        <v>3851.64690536183</v>
      </c>
      <c r="AZ91" s="60" t="n">
        <f aca="false">AZ51*(($I$12*'Timeline and FX'!AZ12)+$J$12*Payroll!$C$36*MIN(MAX(($I$12*'Timeline and FX'!AZ12),'Timeline and FX'!AZ14),'Timeline and FX'!AZ13))/'Timeline and FX'!AZ8</f>
        <v>3832.98963449947</v>
      </c>
      <c r="BA91" s="60" t="n">
        <f aca="false">BA51*(($I$12*'Timeline and FX'!BA12)+$J$12*Payroll!$C$36*MIN(MAX(($I$12*'Timeline and FX'!BA12),'Timeline and FX'!BA14),'Timeline and FX'!BA13))/'Timeline and FX'!BA8</f>
        <v>3814.42273894008</v>
      </c>
      <c r="BB91" s="59" t="n">
        <f aca="false">SUM(BC91:BN91)</f>
        <v>62248.3980506182</v>
      </c>
      <c r="BC91" s="60" t="n">
        <f aca="false">BC51*(($I$12*'Timeline and FX'!BC12)+$J$12*Payroll!$C$36*MIN(MAX(($I$12*'Timeline and FX'!BC12),'Timeline and FX'!BC14),'Timeline and FX'!BC13))/'Timeline and FX'!BC8</f>
        <v>5327.0214309947</v>
      </c>
      <c r="BD91" s="60" t="n">
        <f aca="false">BD51*(($I$12*'Timeline and FX'!BD12)+$J$12*Payroll!$C$36*MIN(MAX(($I$12*'Timeline and FX'!BD12),'Timeline and FX'!BD14),'Timeline and FX'!BD13))/'Timeline and FX'!BD8</f>
        <v>5301.21748681973</v>
      </c>
      <c r="BE91" s="60" t="n">
        <f aca="false">BE51*(($I$12*'Timeline and FX'!BE12)+$J$12*Payroll!$C$36*MIN(MAX(($I$12*'Timeline and FX'!BE12),'Timeline and FX'!BE14),'Timeline and FX'!BE13))/'Timeline and FX'!BE8</f>
        <v>5275.53853623518</v>
      </c>
      <c r="BF91" s="60" t="n">
        <f aca="false">BF51*(($I$12*'Timeline and FX'!BF12)+$J$12*Payroll!$C$36*MIN(MAX(($I$12*'Timeline and FX'!BF12),'Timeline and FX'!BF14),'Timeline and FX'!BF13))/'Timeline and FX'!BF8</f>
        <v>5249.98397377559</v>
      </c>
      <c r="BG91" s="60" t="n">
        <f aca="false">BG51*(($I$12*'Timeline and FX'!BG12)+$J$12*Payroll!$C$36*MIN(MAX(($I$12*'Timeline and FX'!BG12),'Timeline and FX'!BG14),'Timeline and FX'!BG13))/'Timeline and FX'!BG8</f>
        <v>5224.55319690832</v>
      </c>
      <c r="BH91" s="60" t="n">
        <f aca="false">BH51*(($I$12*'Timeline and FX'!BH12)+$J$12*Payroll!$C$36*MIN(MAX(($I$12*'Timeline and FX'!BH12),'Timeline and FX'!BH14),'Timeline and FX'!BH13))/'Timeline and FX'!BH8</f>
        <v>5199.24560601938</v>
      </c>
      <c r="BI91" s="60" t="n">
        <f aca="false">BI51*(($I$12*'Timeline and FX'!BI12)+$J$12*Payroll!$C$36*MIN(MAX(($I$12*'Timeline and FX'!BI12),'Timeline and FX'!BI14),'Timeline and FX'!BI13))/'Timeline and FX'!BI8</f>
        <v>5174.06060439932</v>
      </c>
      <c r="BJ91" s="60" t="n">
        <f aca="false">BJ51*(($I$12*'Timeline and FX'!BJ12)+$J$12*Payroll!$C$36*MIN(MAX(($I$12*'Timeline and FX'!BJ12),'Timeline and FX'!BJ14),'Timeline and FX'!BJ13))/'Timeline and FX'!BJ8</f>
        <v>5148.99759822911</v>
      </c>
      <c r="BK91" s="60" t="n">
        <f aca="false">BK51*(($I$12*'Timeline and FX'!BK12)+$J$12*Payroll!$C$36*MIN(MAX(($I$12*'Timeline and FX'!BK12),'Timeline and FX'!BK14),'Timeline and FX'!BK13))/'Timeline and FX'!BK8</f>
        <v>5124.05599656617</v>
      </c>
      <c r="BL91" s="60" t="n">
        <f aca="false">BL51*(($I$12*'Timeline and FX'!BL12)+$J$12*Payroll!$C$36*MIN(MAX(($I$12*'Timeline and FX'!BL12),'Timeline and FX'!BL14),'Timeline and FX'!BL13))/'Timeline and FX'!BL8</f>
        <v>5099.23521133044</v>
      </c>
      <c r="BM91" s="60" t="n">
        <f aca="false">BM51*(($I$12*'Timeline and FX'!BM12)+$J$12*Payroll!$C$36*MIN(MAX(($I$12*'Timeline and FX'!BM12),'Timeline and FX'!BM14),'Timeline and FX'!BM13))/'Timeline and FX'!BM8</f>
        <v>5074.5346572905</v>
      </c>
      <c r="BN91" s="60" t="n">
        <f aca="false">BN51*(($I$12*'Timeline and FX'!BN12)+$J$12*Payroll!$C$36*MIN(MAX(($I$12*'Timeline and FX'!BN12),'Timeline and FX'!BN14),'Timeline and FX'!BN13))/'Timeline and FX'!BN8</f>
        <v>5049.95375204975</v>
      </c>
    </row>
    <row r="92" customFormat="false" ht="15" hidden="false" customHeight="false" outlineLevel="0" collapsed="false">
      <c r="A92" s="4" t="s">
        <v>842</v>
      </c>
      <c r="B92" s="59" t="n">
        <f aca="false">SUM(C92:N92)</f>
        <v>9897.14019269525</v>
      </c>
      <c r="C92" s="60" t="n">
        <f aca="false">C52*(($I$13*'Timeline and FX'!C12)+$J$13*Payroll!$C$36*MIN(MAX(($I$13*'Timeline and FX'!C12),'Timeline and FX'!C14),'Timeline and FX'!C13))/'Timeline and FX'!C8</f>
        <v>846.966019417476</v>
      </c>
      <c r="D92" s="60" t="n">
        <f aca="false">D52*(($I$13*'Timeline and FX'!D12)+$J$13*Payroll!$C$36*MIN(MAX(($I$13*'Timeline and FX'!D12),'Timeline and FX'!D14),'Timeline and FX'!D13))/'Timeline and FX'!D8</f>
        <v>842.863339492821</v>
      </c>
      <c r="E92" s="60" t="n">
        <f aca="false">E52*(($I$13*'Timeline and FX'!E12)+$J$13*Payroll!$C$36*MIN(MAX(($I$13*'Timeline and FX'!E12),'Timeline and FX'!E14),'Timeline and FX'!E13))/'Timeline and FX'!E8</f>
        <v>838.780532836016</v>
      </c>
      <c r="F92" s="60" t="n">
        <f aca="false">F52*(($I$13*'Timeline and FX'!F12)+$J$13*Payroll!$C$36*MIN(MAX(($I$13*'Timeline and FX'!F12),'Timeline and FX'!F14),'Timeline and FX'!F13))/'Timeline and FX'!F8</f>
        <v>834.717503181503</v>
      </c>
      <c r="G92" s="60" t="n">
        <f aca="false">G52*(($I$13*'Timeline and FX'!G12)+$J$13*Payroll!$C$36*MIN(MAX(($I$13*'Timeline and FX'!G12),'Timeline and FX'!G14),'Timeline and FX'!G13))/'Timeline and FX'!G8</f>
        <v>830.674154730031</v>
      </c>
      <c r="H92" s="60" t="n">
        <f aca="false">H52*(($I$13*'Timeline and FX'!H12)+$J$13*Payroll!$C$36*MIN(MAX(($I$13*'Timeline and FX'!H12),'Timeline and FX'!H14),'Timeline and FX'!H13))/'Timeline and FX'!H8</f>
        <v>826.650392146398</v>
      </c>
      <c r="I92" s="60" t="n">
        <f aca="false">I52*(($I$13*'Timeline and FX'!I12)+$J$13*Payroll!$C$36*MIN(MAX(($I$13*'Timeline and FX'!I12),'Timeline and FX'!I14),'Timeline and FX'!I13))/'Timeline and FX'!I8</f>
        <v>822.646120557202</v>
      </c>
      <c r="J92" s="60" t="n">
        <f aca="false">J52*(($I$13*'Timeline and FX'!J12)+$J$13*Payroll!$C$36*MIN(MAX(($I$13*'Timeline and FX'!J12),'Timeline and FX'!J14),'Timeline and FX'!J13))/'Timeline and FX'!J8</f>
        <v>818.661245548608</v>
      </c>
      <c r="K92" s="60" t="n">
        <f aca="false">K52*(($I$13*'Timeline and FX'!K12)+$J$13*Payroll!$C$36*MIN(MAX(($I$13*'Timeline and FX'!K12),'Timeline and FX'!K14),'Timeline and FX'!K13))/'Timeline and FX'!K8</f>
        <v>814.695673164115</v>
      </c>
      <c r="L92" s="60" t="n">
        <f aca="false">L52*(($I$13*'Timeline and FX'!L12)+$J$13*Payroll!$C$36*MIN(MAX(($I$13*'Timeline and FX'!L12),'Timeline and FX'!L14),'Timeline and FX'!L13))/'Timeline and FX'!L8</f>
        <v>810.749309902349</v>
      </c>
      <c r="M92" s="60" t="n">
        <f aca="false">M52*(($I$13*'Timeline and FX'!M12)+$J$13*Payroll!$C$36*MIN(MAX(($I$13*'Timeline and FX'!M12),'Timeline and FX'!M14),'Timeline and FX'!M13))/'Timeline and FX'!M8</f>
        <v>806.82206271485</v>
      </c>
      <c r="N92" s="60" t="n">
        <f aca="false">N52*(($I$13*'Timeline and FX'!N12)+$J$13*Payroll!$C$36*MIN(MAX(($I$13*'Timeline and FX'!N12),'Timeline and FX'!N14),'Timeline and FX'!N13))/'Timeline and FX'!N8</f>
        <v>802.913839003885</v>
      </c>
      <c r="O92" s="59" t="n">
        <f aca="false">SUM(P92:AA92)</f>
        <v>20961.1886058568</v>
      </c>
      <c r="P92" s="60" t="n">
        <f aca="false">P52*(($I$13*'Timeline and FX'!P12)+$J$13*Payroll!$C$36*MIN(MAX(($I$13*'Timeline and FX'!P12),'Timeline and FX'!P14),'Timeline and FX'!P13))/'Timeline and FX'!P8</f>
        <v>1793.79236123832</v>
      </c>
      <c r="Q92" s="60" t="n">
        <f aca="false">Q52*(($I$13*'Timeline and FX'!Q12)+$J$13*Payroll!$C$36*MIN(MAX(($I$13*'Timeline and FX'!Q12),'Timeline and FX'!Q14),'Timeline and FX'!Q13))/'Timeline and FX'!Q8</f>
        <v>1785.10328075489</v>
      </c>
      <c r="R92" s="60" t="n">
        <f aca="false">R52*(($I$13*'Timeline and FX'!R12)+$J$13*Payroll!$C$36*MIN(MAX(($I$13*'Timeline and FX'!R12),'Timeline and FX'!R14),'Timeline and FX'!R13))/'Timeline and FX'!R8</f>
        <v>1776.4562899365</v>
      </c>
      <c r="S92" s="60" t="n">
        <f aca="false">S52*(($I$13*'Timeline and FX'!S12)+$J$13*Payroll!$C$36*MIN(MAX(($I$13*'Timeline and FX'!S12),'Timeline and FX'!S14),'Timeline and FX'!S13))/'Timeline and FX'!S8</f>
        <v>1767.85118490199</v>
      </c>
      <c r="T92" s="60" t="n">
        <f aca="false">T52*(($I$13*'Timeline and FX'!T12)+$J$13*Payroll!$C$36*MIN(MAX(($I$13*'Timeline and FX'!T12),'Timeline and FX'!T14),'Timeline and FX'!T13))/'Timeline and FX'!T8</f>
        <v>1759.28776275778</v>
      </c>
      <c r="U92" s="60" t="n">
        <f aca="false">U52*(($I$13*'Timeline and FX'!U12)+$J$13*Payroll!$C$36*MIN(MAX(($I$13*'Timeline and FX'!U12),'Timeline and FX'!U14),'Timeline and FX'!U13))/'Timeline and FX'!U8</f>
        <v>1750.7658215931</v>
      </c>
      <c r="V92" s="60" t="n">
        <f aca="false">V52*(($I$13*'Timeline and FX'!V12)+$J$13*Payroll!$C$36*MIN(MAX(($I$13*'Timeline and FX'!V12),'Timeline and FX'!V14),'Timeline and FX'!V13))/'Timeline and FX'!V8</f>
        <v>1742.28516047524</v>
      </c>
      <c r="W92" s="60" t="n">
        <f aca="false">W52*(($I$13*'Timeline and FX'!W12)+$J$13*Payroll!$C$36*MIN(MAX(($I$13*'Timeline and FX'!W12),'Timeline and FX'!W14),'Timeline and FX'!W13))/'Timeline and FX'!W8</f>
        <v>1733.84557944479</v>
      </c>
      <c r="X92" s="60" t="n">
        <f aca="false">X52*(($I$13*'Timeline and FX'!X12)+$J$13*Payroll!$C$36*MIN(MAX(($I$13*'Timeline and FX'!X12),'Timeline and FX'!X14),'Timeline and FX'!X13))/'Timeline and FX'!X8</f>
        <v>1725.44687951096</v>
      </c>
      <c r="Y92" s="60" t="n">
        <f aca="false">Y52*(($I$13*'Timeline and FX'!Y12)+$J$13*Payroll!$C$36*MIN(MAX(($I$13*'Timeline and FX'!Y12),'Timeline and FX'!Y14),'Timeline and FX'!Y13))/'Timeline and FX'!Y8</f>
        <v>1717.08886264684</v>
      </c>
      <c r="Z92" s="60" t="n">
        <f aca="false">Z52*(($I$13*'Timeline and FX'!Z12)+$J$13*Payroll!$C$36*MIN(MAX(($I$13*'Timeline and FX'!Z12),'Timeline and FX'!Z14),'Timeline and FX'!Z13))/'Timeline and FX'!Z8</f>
        <v>1708.77133178477</v>
      </c>
      <c r="AA92" s="60" t="n">
        <f aca="false">AA52*(($I$13*'Timeline and FX'!AA12)+$J$13*Payroll!$C$36*MIN(MAX(($I$13*'Timeline and FX'!AA12),'Timeline and FX'!AA14),'Timeline and FX'!AA13))/'Timeline and FX'!AA8</f>
        <v>1700.49409081168</v>
      </c>
      <c r="AB92" s="59" t="n">
        <f aca="false">SUM(AC92:AN92)</f>
        <v>22198.0944170788</v>
      </c>
      <c r="AC92" s="60" t="n">
        <f aca="false">AC52*(($I$13*'Timeline and FX'!AC12)+$J$13*Payroll!$C$36*MIN(MAX(($I$13*'Timeline and FX'!AC12),'Timeline and FX'!AC14),'Timeline and FX'!AC13))/'Timeline and FX'!AC8</f>
        <v>1899.64285652566</v>
      </c>
      <c r="AD92" s="60" t="n">
        <f aca="false">AD52*(($I$13*'Timeline and FX'!AD12)+$J$13*Payroll!$C$36*MIN(MAX(($I$13*'Timeline and FX'!AD12),'Timeline and FX'!AD14),'Timeline and FX'!AD13))/'Timeline and FX'!AD8</f>
        <v>1890.44103917667</v>
      </c>
      <c r="AE92" s="60" t="n">
        <f aca="false">AE52*(($I$13*'Timeline and FX'!AE12)+$J$13*Payroll!$C$36*MIN(MAX(($I$13*'Timeline and FX'!AE12),'Timeline and FX'!AE14),'Timeline and FX'!AE13))/'Timeline and FX'!AE8</f>
        <v>1881.28379517589</v>
      </c>
      <c r="AF92" s="60" t="n">
        <f aca="false">AF52*(($I$13*'Timeline and FX'!AF12)+$J$13*Payroll!$C$36*MIN(MAX(($I$13*'Timeline and FX'!AF12),'Timeline and FX'!AF14),'Timeline and FX'!AF13))/'Timeline and FX'!AF8</f>
        <v>1872.17090861126</v>
      </c>
      <c r="AG92" s="60" t="n">
        <f aca="false">AG52*(($I$13*'Timeline and FX'!AG12)+$J$13*Payroll!$C$36*MIN(MAX(($I$13*'Timeline and FX'!AG12),'Timeline and FX'!AG14),'Timeline and FX'!AG13))/'Timeline and FX'!AG8</f>
        <v>1863.10216461659</v>
      </c>
      <c r="AH92" s="60" t="n">
        <f aca="false">AH52*(($I$13*'Timeline and FX'!AH12)+$J$13*Payroll!$C$36*MIN(MAX(($I$13*'Timeline and FX'!AH12),'Timeline and FX'!AH14),'Timeline and FX'!AH13))/'Timeline and FX'!AH8</f>
        <v>1854.07734936649</v>
      </c>
      <c r="AI92" s="60" t="n">
        <f aca="false">AI52*(($I$13*'Timeline and FX'!AI12)+$J$13*Payroll!$C$36*MIN(MAX(($I$13*'Timeline and FX'!AI12),'Timeline and FX'!AI14),'Timeline and FX'!AI13))/'Timeline and FX'!AI8</f>
        <v>1845.09625007134</v>
      </c>
      <c r="AJ92" s="60" t="n">
        <f aca="false">AJ52*(($I$13*'Timeline and FX'!AJ12)+$J$13*Payroll!$C$36*MIN(MAX(($I$13*'Timeline and FX'!AJ12),'Timeline and FX'!AJ14),'Timeline and FX'!AJ13))/'Timeline and FX'!AJ8</f>
        <v>1836.15865497227</v>
      </c>
      <c r="AK92" s="60" t="n">
        <f aca="false">AK52*(($I$13*'Timeline and FX'!AK12)+$J$13*Payroll!$C$36*MIN(MAX(($I$13*'Timeline and FX'!AK12),'Timeline and FX'!AK14),'Timeline and FX'!AK13))/'Timeline and FX'!AK8</f>
        <v>1827.26435333616</v>
      </c>
      <c r="AL92" s="60" t="n">
        <f aca="false">AL52*(($I$13*'Timeline and FX'!AL12)+$J$13*Payroll!$C$36*MIN(MAX(($I$13*'Timeline and FX'!AL12),'Timeline and FX'!AL14),'Timeline and FX'!AL13))/'Timeline and FX'!AL8</f>
        <v>1818.41313545067</v>
      </c>
      <c r="AM92" s="60" t="n">
        <f aca="false">AM52*(($I$13*'Timeline and FX'!AM12)+$J$13*Payroll!$C$36*MIN(MAX(($I$13*'Timeline and FX'!AM12),'Timeline and FX'!AM14),'Timeline and FX'!AM13))/'Timeline and FX'!AM8</f>
        <v>1809.60479261931</v>
      </c>
      <c r="AN92" s="60" t="n">
        <f aca="false">AN52*(($I$13*'Timeline and FX'!AN12)+$J$13*Payroll!$C$36*MIN(MAX(($I$13*'Timeline and FX'!AN12),'Timeline and FX'!AN14),'Timeline and FX'!AN13))/'Timeline and FX'!AN8</f>
        <v>1800.8391171565</v>
      </c>
      <c r="AO92" s="59" t="n">
        <f aca="false">SUM(AP92:BA92)</f>
        <v>35263.942500042</v>
      </c>
      <c r="AP92" s="60" t="n">
        <f aca="false">AP52*(($I$13*'Timeline and FX'!AP12)+$J$13*Payroll!$C$36*MIN(MAX(($I$13*'Timeline and FX'!AP12),'Timeline and FX'!AP14),'Timeline and FX'!AP13))/'Timeline and FX'!AP8</f>
        <v>3017.77689582203</v>
      </c>
      <c r="AQ92" s="60" t="n">
        <f aca="false">AQ52*(($I$13*'Timeline and FX'!AQ12)+$J$13*Payroll!$C$36*MIN(MAX(($I$13*'Timeline and FX'!AQ12),'Timeline and FX'!AQ14),'Timeline and FX'!AQ13))/'Timeline and FX'!AQ8</f>
        <v>3003.15886817543</v>
      </c>
      <c r="AR92" s="60" t="n">
        <f aca="false">AR52*(($I$13*'Timeline and FX'!AR12)+$J$13*Payroll!$C$36*MIN(MAX(($I$13*'Timeline and FX'!AR12),'Timeline and FX'!AR14),'Timeline and FX'!AR13))/'Timeline and FX'!AR8</f>
        <v>2988.61164984961</v>
      </c>
      <c r="AS92" s="60" t="n">
        <f aca="false">AS52*(($I$13*'Timeline and FX'!AS12)+$J$13*Payroll!$C$36*MIN(MAX(($I$13*'Timeline and FX'!AS12),'Timeline and FX'!AS14),'Timeline and FX'!AS13))/'Timeline and FX'!AS8</f>
        <v>2974.13489784619</v>
      </c>
      <c r="AT92" s="60" t="n">
        <f aca="false">AT52*(($I$13*'Timeline and FX'!AT12)+$J$13*Payroll!$C$36*MIN(MAX(($I$13*'Timeline and FX'!AT12),'Timeline and FX'!AT14),'Timeline and FX'!AT13))/'Timeline and FX'!AT8</f>
        <v>2959.72827082826</v>
      </c>
      <c r="AU92" s="60" t="n">
        <f aca="false">AU52*(($I$13*'Timeline and FX'!AU12)+$J$13*Payroll!$C$36*MIN(MAX(($I$13*'Timeline and FX'!AU12),'Timeline and FX'!AU14),'Timeline and FX'!AU13))/'Timeline and FX'!AU8</f>
        <v>2945.39142911233</v>
      </c>
      <c r="AV92" s="60" t="n">
        <f aca="false">AV52*(($I$13*'Timeline and FX'!AV12)+$J$13*Payroll!$C$36*MIN(MAX(($I$13*'Timeline and FX'!AV12),'Timeline and FX'!AV14),'Timeline and FX'!AV13))/'Timeline and FX'!AV8</f>
        <v>2931.12403466033</v>
      </c>
      <c r="AW92" s="60" t="n">
        <f aca="false">AW52*(($I$13*'Timeline and FX'!AW12)+$J$13*Payroll!$C$36*MIN(MAX(($I$13*'Timeline and FX'!AW12),'Timeline and FX'!AW14),'Timeline and FX'!AW13))/'Timeline and FX'!AW8</f>
        <v>2916.92575107163</v>
      </c>
      <c r="AX92" s="60" t="n">
        <f aca="false">AX52*(($I$13*'Timeline and FX'!AX12)+$J$13*Payroll!$C$36*MIN(MAX(($I$13*'Timeline and FX'!AX12),'Timeline and FX'!AX14),'Timeline and FX'!AX13))/'Timeline and FX'!AX8</f>
        <v>2902.79624357514</v>
      </c>
      <c r="AY92" s="60" t="n">
        <f aca="false">AY52*(($I$13*'Timeline and FX'!AY12)+$J$13*Payroll!$C$36*MIN(MAX(($I$13*'Timeline and FX'!AY12),'Timeline and FX'!AY14),'Timeline and FX'!AY13))/'Timeline and FX'!AY8</f>
        <v>2888.73517902137</v>
      </c>
      <c r="AZ92" s="60" t="n">
        <f aca="false">AZ52*(($I$13*'Timeline and FX'!AZ12)+$J$13*Payroll!$C$36*MIN(MAX(($I$13*'Timeline and FX'!AZ12),'Timeline and FX'!AZ14),'Timeline and FX'!AZ13))/'Timeline and FX'!AZ8</f>
        <v>2874.7422258746</v>
      </c>
      <c r="BA92" s="60" t="n">
        <f aca="false">BA52*(($I$13*'Timeline and FX'!BA12)+$J$13*Payroll!$C$36*MIN(MAX(($I$13*'Timeline and FX'!BA12),'Timeline and FX'!BA14),'Timeline and FX'!BA13))/'Timeline and FX'!BA8</f>
        <v>2860.81705420506</v>
      </c>
      <c r="BB92" s="59" t="n">
        <f aca="false">SUM(BC92:BN92)</f>
        <v>49798.7184404945</v>
      </c>
      <c r="BC92" s="60" t="n">
        <f aca="false">BC52*(($I$13*'Timeline and FX'!BC12)+$J$13*Payroll!$C$36*MIN(MAX(($I$13*'Timeline and FX'!BC12),'Timeline and FX'!BC14),'Timeline and FX'!BC13))/'Timeline and FX'!BC8</f>
        <v>4261.61714479576</v>
      </c>
      <c r="BD92" s="60" t="n">
        <f aca="false">BD52*(($I$13*'Timeline and FX'!BD12)+$J$13*Payroll!$C$36*MIN(MAX(($I$13*'Timeline and FX'!BD12),'Timeline and FX'!BD14),'Timeline and FX'!BD13))/'Timeline and FX'!BD8</f>
        <v>4240.97398945578</v>
      </c>
      <c r="BE92" s="60" t="n">
        <f aca="false">BE52*(($I$13*'Timeline and FX'!BE12)+$J$13*Payroll!$C$36*MIN(MAX(($I$13*'Timeline and FX'!BE12),'Timeline and FX'!BE14),'Timeline and FX'!BE13))/'Timeline and FX'!BE8</f>
        <v>4220.43082898815</v>
      </c>
      <c r="BF92" s="60" t="n">
        <f aca="false">BF52*(($I$13*'Timeline and FX'!BF12)+$J$13*Payroll!$C$36*MIN(MAX(($I$13*'Timeline and FX'!BF12),'Timeline and FX'!BF14),'Timeline and FX'!BF13))/'Timeline and FX'!BF8</f>
        <v>4199.98717902047</v>
      </c>
      <c r="BG92" s="60" t="n">
        <f aca="false">BG52*(($I$13*'Timeline and FX'!BG12)+$J$13*Payroll!$C$36*MIN(MAX(($I$13*'Timeline and FX'!BG12),'Timeline and FX'!BG14),'Timeline and FX'!BG13))/'Timeline and FX'!BG8</f>
        <v>4179.64255752665</v>
      </c>
      <c r="BH92" s="60" t="n">
        <f aca="false">BH52*(($I$13*'Timeline and FX'!BH12)+$J$13*Payroll!$C$36*MIN(MAX(($I$13*'Timeline and FX'!BH12),'Timeline and FX'!BH14),'Timeline and FX'!BH13))/'Timeline and FX'!BH8</f>
        <v>4159.3964848155</v>
      </c>
      <c r="BI92" s="60" t="n">
        <f aca="false">BI52*(($I$13*'Timeline and FX'!BI12)+$J$13*Payroll!$C$36*MIN(MAX(($I$13*'Timeline and FX'!BI12),'Timeline and FX'!BI14),'Timeline and FX'!BI13))/'Timeline and FX'!BI8</f>
        <v>4139.24848351945</v>
      </c>
      <c r="BJ92" s="60" t="n">
        <f aca="false">BJ52*(($I$13*'Timeline and FX'!BJ12)+$J$13*Payroll!$C$36*MIN(MAX(($I$13*'Timeline and FX'!BJ12),'Timeline and FX'!BJ14),'Timeline and FX'!BJ13))/'Timeline and FX'!BJ8</f>
        <v>4119.19807858329</v>
      </c>
      <c r="BK92" s="60" t="n">
        <f aca="false">BK52*(($I$13*'Timeline and FX'!BK12)+$J$13*Payroll!$C$36*MIN(MAX(($I$13*'Timeline and FX'!BK12),'Timeline and FX'!BK14),'Timeline and FX'!BK13))/'Timeline and FX'!BK8</f>
        <v>4099.24479725294</v>
      </c>
      <c r="BL92" s="60" t="n">
        <f aca="false">BL52*(($I$13*'Timeline and FX'!BL12)+$J$13*Payroll!$C$36*MIN(MAX(($I$13*'Timeline and FX'!BL12),'Timeline and FX'!BL14),'Timeline and FX'!BL13))/'Timeline and FX'!BL8</f>
        <v>4079.38816906435</v>
      </c>
      <c r="BM92" s="60" t="n">
        <f aca="false">BM52*(($I$13*'Timeline and FX'!BM12)+$J$13*Payroll!$C$36*MIN(MAX(($I$13*'Timeline and FX'!BM12),'Timeline and FX'!BM14),'Timeline and FX'!BM13))/'Timeline and FX'!BM8</f>
        <v>4059.6277258324</v>
      </c>
      <c r="BN92" s="60" t="n">
        <f aca="false">BN52*(($I$13*'Timeline and FX'!BN12)+$J$13*Payroll!$C$36*MIN(MAX(($I$13*'Timeline and FX'!BN12),'Timeline and FX'!BN14),'Timeline and FX'!BN13))/'Timeline and FX'!BN8</f>
        <v>4039.9630016398</v>
      </c>
    </row>
    <row r="93" customFormat="false" ht="15" hidden="false" customHeight="false" outlineLevel="0" collapsed="false">
      <c r="A93" s="4" t="s">
        <v>843</v>
      </c>
      <c r="B93" s="59" t="n">
        <f aca="false">SUM(C93:N93)</f>
        <v>9897.14019269525</v>
      </c>
      <c r="C93" s="60" t="n">
        <f aca="false">C53*(($I$14*'Timeline and FX'!C12)+$J$14*Payroll!$C$36*MIN(MAX(($I$14*'Timeline and FX'!C12),'Timeline and FX'!C14),'Timeline and FX'!C13))/'Timeline and FX'!C8</f>
        <v>846.966019417476</v>
      </c>
      <c r="D93" s="60" t="n">
        <f aca="false">D53*(($I$14*'Timeline and FX'!D12)+$J$14*Payroll!$C$36*MIN(MAX(($I$14*'Timeline and FX'!D12),'Timeline and FX'!D14),'Timeline and FX'!D13))/'Timeline and FX'!D8</f>
        <v>842.863339492821</v>
      </c>
      <c r="E93" s="60" t="n">
        <f aca="false">E53*(($I$14*'Timeline and FX'!E12)+$J$14*Payroll!$C$36*MIN(MAX(($I$14*'Timeline and FX'!E12),'Timeline and FX'!E14),'Timeline and FX'!E13))/'Timeline and FX'!E8</f>
        <v>838.780532836016</v>
      </c>
      <c r="F93" s="60" t="n">
        <f aca="false">F53*(($I$14*'Timeline and FX'!F12)+$J$14*Payroll!$C$36*MIN(MAX(($I$14*'Timeline and FX'!F12),'Timeline and FX'!F14),'Timeline and FX'!F13))/'Timeline and FX'!F8</f>
        <v>834.717503181503</v>
      </c>
      <c r="G93" s="60" t="n">
        <f aca="false">G53*(($I$14*'Timeline and FX'!G12)+$J$14*Payroll!$C$36*MIN(MAX(($I$14*'Timeline and FX'!G12),'Timeline and FX'!G14),'Timeline and FX'!G13))/'Timeline and FX'!G8</f>
        <v>830.674154730031</v>
      </c>
      <c r="H93" s="60" t="n">
        <f aca="false">H53*(($I$14*'Timeline and FX'!H12)+$J$14*Payroll!$C$36*MIN(MAX(($I$14*'Timeline and FX'!H12),'Timeline and FX'!H14),'Timeline and FX'!H13))/'Timeline and FX'!H8</f>
        <v>826.650392146398</v>
      </c>
      <c r="I93" s="60" t="n">
        <f aca="false">I53*(($I$14*'Timeline and FX'!I12)+$J$14*Payroll!$C$36*MIN(MAX(($I$14*'Timeline and FX'!I12),'Timeline and FX'!I14),'Timeline and FX'!I13))/'Timeline and FX'!I8</f>
        <v>822.646120557202</v>
      </c>
      <c r="J93" s="60" t="n">
        <f aca="false">J53*(($I$14*'Timeline and FX'!J12)+$J$14*Payroll!$C$36*MIN(MAX(($I$14*'Timeline and FX'!J12),'Timeline and FX'!J14),'Timeline and FX'!J13))/'Timeline and FX'!J8</f>
        <v>818.661245548608</v>
      </c>
      <c r="K93" s="60" t="n">
        <f aca="false">K53*(($I$14*'Timeline and FX'!K12)+$J$14*Payroll!$C$36*MIN(MAX(($I$14*'Timeline and FX'!K12),'Timeline and FX'!K14),'Timeline and FX'!K13))/'Timeline and FX'!K8</f>
        <v>814.695673164115</v>
      </c>
      <c r="L93" s="60" t="n">
        <f aca="false">L53*(($I$14*'Timeline and FX'!L12)+$J$14*Payroll!$C$36*MIN(MAX(($I$14*'Timeline and FX'!L12),'Timeline and FX'!L14),'Timeline and FX'!L13))/'Timeline and FX'!L8</f>
        <v>810.749309902349</v>
      </c>
      <c r="M93" s="60" t="n">
        <f aca="false">M53*(($I$14*'Timeline and FX'!M12)+$J$14*Payroll!$C$36*MIN(MAX(($I$14*'Timeline and FX'!M12),'Timeline and FX'!M14),'Timeline and FX'!M13))/'Timeline and FX'!M8</f>
        <v>806.82206271485</v>
      </c>
      <c r="N93" s="60" t="n">
        <f aca="false">N53*(($I$14*'Timeline and FX'!N12)+$J$14*Payroll!$C$36*MIN(MAX(($I$14*'Timeline and FX'!N12),'Timeline and FX'!N14),'Timeline and FX'!N13))/'Timeline and FX'!N8</f>
        <v>802.913839003885</v>
      </c>
      <c r="O93" s="59" t="n">
        <f aca="false">SUM(P93:AA93)</f>
        <v>10480.5943029284</v>
      </c>
      <c r="P93" s="60" t="n">
        <f aca="false">P53*(($I$14*'Timeline and FX'!P12)+$J$14*Payroll!$C$36*MIN(MAX(($I$14*'Timeline and FX'!P12),'Timeline and FX'!P14),'Timeline and FX'!P13))/'Timeline and FX'!P8</f>
        <v>896.896180619161</v>
      </c>
      <c r="Q93" s="60" t="n">
        <f aca="false">Q53*(($I$14*'Timeline and FX'!Q12)+$J$14*Payroll!$C$36*MIN(MAX(($I$14*'Timeline and FX'!Q12),'Timeline and FX'!Q14),'Timeline and FX'!Q13))/'Timeline and FX'!Q8</f>
        <v>892.551640377444</v>
      </c>
      <c r="R93" s="60" t="n">
        <f aca="false">R53*(($I$14*'Timeline and FX'!R12)+$J$14*Payroll!$C$36*MIN(MAX(($I$14*'Timeline and FX'!R12),'Timeline and FX'!R14),'Timeline and FX'!R13))/'Timeline and FX'!R8</f>
        <v>888.22814496825</v>
      </c>
      <c r="S93" s="60" t="n">
        <f aca="false">S53*(($I$14*'Timeline and FX'!S12)+$J$14*Payroll!$C$36*MIN(MAX(($I$14*'Timeline and FX'!S12),'Timeline and FX'!S14),'Timeline and FX'!S13))/'Timeline and FX'!S8</f>
        <v>883.925592450994</v>
      </c>
      <c r="T93" s="60" t="n">
        <f aca="false">T53*(($I$14*'Timeline and FX'!T12)+$J$14*Payroll!$C$36*MIN(MAX(($I$14*'Timeline and FX'!T12),'Timeline and FX'!T14),'Timeline and FX'!T13))/'Timeline and FX'!T8</f>
        <v>879.643881378888</v>
      </c>
      <c r="U93" s="60" t="n">
        <f aca="false">U53*(($I$14*'Timeline and FX'!U12)+$J$14*Payroll!$C$36*MIN(MAX(($I$14*'Timeline and FX'!U12),'Timeline and FX'!U14),'Timeline and FX'!U13))/'Timeline and FX'!U8</f>
        <v>875.382910796549</v>
      </c>
      <c r="V93" s="60" t="n">
        <f aca="false">V53*(($I$14*'Timeline and FX'!V12)+$J$14*Payroll!$C$36*MIN(MAX(($I$14*'Timeline and FX'!V12),'Timeline and FX'!V14),'Timeline and FX'!V13))/'Timeline and FX'!V8</f>
        <v>871.142580237618</v>
      </c>
      <c r="W93" s="60" t="n">
        <f aca="false">W53*(($I$14*'Timeline and FX'!W12)+$J$14*Payroll!$C$36*MIN(MAX(($I$14*'Timeline and FX'!W12),'Timeline and FX'!W14),'Timeline and FX'!W13))/'Timeline and FX'!W8</f>
        <v>866.922789722396</v>
      </c>
      <c r="X93" s="60" t="n">
        <f aca="false">X53*(($I$14*'Timeline and FX'!X12)+$J$14*Payroll!$C$36*MIN(MAX(($I$14*'Timeline and FX'!X12),'Timeline and FX'!X14),'Timeline and FX'!X13))/'Timeline and FX'!X8</f>
        <v>862.72343975548</v>
      </c>
      <c r="Y93" s="60" t="n">
        <f aca="false">Y53*(($I$14*'Timeline and FX'!Y12)+$J$14*Payroll!$C$36*MIN(MAX(($I$14*'Timeline and FX'!Y12),'Timeline and FX'!Y14),'Timeline and FX'!Y13))/'Timeline and FX'!Y8</f>
        <v>858.54443132342</v>
      </c>
      <c r="Z93" s="60" t="n">
        <f aca="false">Z53*(($I$14*'Timeline and FX'!Z12)+$J$14*Payroll!$C$36*MIN(MAX(($I$14*'Timeline and FX'!Z12),'Timeline and FX'!Z14),'Timeline and FX'!Z13))/'Timeline and FX'!Z8</f>
        <v>854.385665892384</v>
      </c>
      <c r="AA93" s="60" t="n">
        <f aca="false">AA53*(($I$14*'Timeline and FX'!AA12)+$J$14*Payroll!$C$36*MIN(MAX(($I$14*'Timeline and FX'!AA12),'Timeline and FX'!AA14),'Timeline and FX'!AA13))/'Timeline and FX'!AA8</f>
        <v>850.247045405838</v>
      </c>
      <c r="AB93" s="59" t="n">
        <f aca="false">SUM(AC93:AN93)</f>
        <v>22198.0944170788</v>
      </c>
      <c r="AC93" s="60" t="n">
        <f aca="false">AC53*(($I$14*'Timeline and FX'!AC12)+$J$14*Payroll!$C$36*MIN(MAX(($I$14*'Timeline and FX'!AC12),'Timeline and FX'!AC14),'Timeline and FX'!AC13))/'Timeline and FX'!AC8</f>
        <v>1899.64285652566</v>
      </c>
      <c r="AD93" s="60" t="n">
        <f aca="false">AD53*(($I$14*'Timeline and FX'!AD12)+$J$14*Payroll!$C$36*MIN(MAX(($I$14*'Timeline and FX'!AD12),'Timeline and FX'!AD14),'Timeline and FX'!AD13))/'Timeline and FX'!AD8</f>
        <v>1890.44103917667</v>
      </c>
      <c r="AE93" s="60" t="n">
        <f aca="false">AE53*(($I$14*'Timeline and FX'!AE12)+$J$14*Payroll!$C$36*MIN(MAX(($I$14*'Timeline and FX'!AE12),'Timeline and FX'!AE14),'Timeline and FX'!AE13))/'Timeline and FX'!AE8</f>
        <v>1881.28379517589</v>
      </c>
      <c r="AF93" s="60" t="n">
        <f aca="false">AF53*(($I$14*'Timeline and FX'!AF12)+$J$14*Payroll!$C$36*MIN(MAX(($I$14*'Timeline and FX'!AF12),'Timeline and FX'!AF14),'Timeline and FX'!AF13))/'Timeline and FX'!AF8</f>
        <v>1872.17090861126</v>
      </c>
      <c r="AG93" s="60" t="n">
        <f aca="false">AG53*(($I$14*'Timeline and FX'!AG12)+$J$14*Payroll!$C$36*MIN(MAX(($I$14*'Timeline and FX'!AG12),'Timeline and FX'!AG14),'Timeline and FX'!AG13))/'Timeline and FX'!AG8</f>
        <v>1863.10216461659</v>
      </c>
      <c r="AH93" s="60" t="n">
        <f aca="false">AH53*(($I$14*'Timeline and FX'!AH12)+$J$14*Payroll!$C$36*MIN(MAX(($I$14*'Timeline and FX'!AH12),'Timeline and FX'!AH14),'Timeline and FX'!AH13))/'Timeline and FX'!AH8</f>
        <v>1854.07734936649</v>
      </c>
      <c r="AI93" s="60" t="n">
        <f aca="false">AI53*(($I$14*'Timeline and FX'!AI12)+$J$14*Payroll!$C$36*MIN(MAX(($I$14*'Timeline and FX'!AI12),'Timeline and FX'!AI14),'Timeline and FX'!AI13))/'Timeline and FX'!AI8</f>
        <v>1845.09625007134</v>
      </c>
      <c r="AJ93" s="60" t="n">
        <f aca="false">AJ53*(($I$14*'Timeline and FX'!AJ12)+$J$14*Payroll!$C$36*MIN(MAX(($I$14*'Timeline and FX'!AJ12),'Timeline and FX'!AJ14),'Timeline and FX'!AJ13))/'Timeline and FX'!AJ8</f>
        <v>1836.15865497227</v>
      </c>
      <c r="AK93" s="60" t="n">
        <f aca="false">AK53*(($I$14*'Timeline and FX'!AK12)+$J$14*Payroll!$C$36*MIN(MAX(($I$14*'Timeline and FX'!AK12),'Timeline and FX'!AK14),'Timeline and FX'!AK13))/'Timeline and FX'!AK8</f>
        <v>1827.26435333616</v>
      </c>
      <c r="AL93" s="60" t="n">
        <f aca="false">AL53*(($I$14*'Timeline and FX'!AL12)+$J$14*Payroll!$C$36*MIN(MAX(($I$14*'Timeline and FX'!AL12),'Timeline and FX'!AL14),'Timeline and FX'!AL13))/'Timeline and FX'!AL8</f>
        <v>1818.41313545067</v>
      </c>
      <c r="AM93" s="60" t="n">
        <f aca="false">AM53*(($I$14*'Timeline and FX'!AM12)+$J$14*Payroll!$C$36*MIN(MAX(($I$14*'Timeline and FX'!AM12),'Timeline and FX'!AM14),'Timeline and FX'!AM13))/'Timeline and FX'!AM8</f>
        <v>1809.60479261931</v>
      </c>
      <c r="AN93" s="60" t="n">
        <f aca="false">AN53*(($I$14*'Timeline and FX'!AN12)+$J$14*Payroll!$C$36*MIN(MAX(($I$14*'Timeline and FX'!AN12),'Timeline and FX'!AN14),'Timeline and FX'!AN13))/'Timeline and FX'!AN8</f>
        <v>1800.8391171565</v>
      </c>
      <c r="AO93" s="59" t="n">
        <f aca="false">SUM(AP93:BA93)</f>
        <v>23509.295000028</v>
      </c>
      <c r="AP93" s="60" t="n">
        <f aca="false">AP53*(($I$14*'Timeline and FX'!AP12)+$J$14*Payroll!$C$36*MIN(MAX(($I$14*'Timeline and FX'!AP12),'Timeline and FX'!AP14),'Timeline and FX'!AP13))/'Timeline and FX'!AP8</f>
        <v>2011.85126388135</v>
      </c>
      <c r="AQ93" s="60" t="n">
        <f aca="false">AQ53*(($I$14*'Timeline and FX'!AQ12)+$J$14*Payroll!$C$36*MIN(MAX(($I$14*'Timeline and FX'!AQ12),'Timeline and FX'!AQ14),'Timeline and FX'!AQ13))/'Timeline and FX'!AQ8</f>
        <v>2002.10591211695</v>
      </c>
      <c r="AR93" s="60" t="n">
        <f aca="false">AR53*(($I$14*'Timeline and FX'!AR12)+$J$14*Payroll!$C$36*MIN(MAX(($I$14*'Timeline and FX'!AR12),'Timeline and FX'!AR14),'Timeline and FX'!AR13))/'Timeline and FX'!AR8</f>
        <v>1992.40776656641</v>
      </c>
      <c r="AS93" s="60" t="n">
        <f aca="false">AS53*(($I$14*'Timeline and FX'!AS12)+$J$14*Payroll!$C$36*MIN(MAX(($I$14*'Timeline and FX'!AS12),'Timeline and FX'!AS14),'Timeline and FX'!AS13))/'Timeline and FX'!AS8</f>
        <v>1982.75659856413</v>
      </c>
      <c r="AT93" s="60" t="n">
        <f aca="false">AT53*(($I$14*'Timeline and FX'!AT12)+$J$14*Payroll!$C$36*MIN(MAX(($I$14*'Timeline and FX'!AT12),'Timeline and FX'!AT14),'Timeline and FX'!AT13))/'Timeline and FX'!AT8</f>
        <v>1973.15218055217</v>
      </c>
      <c r="AU93" s="60" t="n">
        <f aca="false">AU53*(($I$14*'Timeline and FX'!AU12)+$J$14*Payroll!$C$36*MIN(MAX(($I$14*'Timeline and FX'!AU12),'Timeline and FX'!AU14),'Timeline and FX'!AU13))/'Timeline and FX'!AU8</f>
        <v>1963.59428607489</v>
      </c>
      <c r="AV93" s="60" t="n">
        <f aca="false">AV53*(($I$14*'Timeline and FX'!AV12)+$J$14*Payroll!$C$36*MIN(MAX(($I$14*'Timeline and FX'!AV12),'Timeline and FX'!AV14),'Timeline and FX'!AV13))/'Timeline and FX'!AV8</f>
        <v>1954.08268977355</v>
      </c>
      <c r="AW93" s="60" t="n">
        <f aca="false">AW53*(($I$14*'Timeline and FX'!AW12)+$J$14*Payroll!$C$36*MIN(MAX(($I$14*'Timeline and FX'!AW12),'Timeline and FX'!AW14),'Timeline and FX'!AW13))/'Timeline and FX'!AW8</f>
        <v>1944.61716738109</v>
      </c>
      <c r="AX93" s="60" t="n">
        <f aca="false">AX53*(($I$14*'Timeline and FX'!AX12)+$J$14*Payroll!$C$36*MIN(MAX(($I$14*'Timeline and FX'!AX12),'Timeline and FX'!AX14),'Timeline and FX'!AX13))/'Timeline and FX'!AX8</f>
        <v>1935.19749571676</v>
      </c>
      <c r="AY93" s="60" t="n">
        <f aca="false">AY53*(($I$14*'Timeline and FX'!AY12)+$J$14*Payroll!$C$36*MIN(MAX(($I$14*'Timeline and FX'!AY12),'Timeline and FX'!AY14),'Timeline and FX'!AY13))/'Timeline and FX'!AY8</f>
        <v>1925.82345268092</v>
      </c>
      <c r="AZ93" s="60" t="n">
        <f aca="false">AZ53*(($I$14*'Timeline and FX'!AZ12)+$J$14*Payroll!$C$36*MIN(MAX(($I$14*'Timeline and FX'!AZ12),'Timeline and FX'!AZ14),'Timeline and FX'!AZ13))/'Timeline and FX'!AZ8</f>
        <v>1916.49481724973</v>
      </c>
      <c r="BA93" s="60" t="n">
        <f aca="false">BA53*(($I$14*'Timeline and FX'!BA12)+$J$14*Payroll!$C$36*MIN(MAX(($I$14*'Timeline and FX'!BA12),'Timeline and FX'!BA14),'Timeline and FX'!BA13))/'Timeline and FX'!BA8</f>
        <v>1907.21136947004</v>
      </c>
      <c r="BB93" s="59" t="n">
        <f aca="false">SUM(BC93:BN93)</f>
        <v>37349.0388303709</v>
      </c>
      <c r="BC93" s="60" t="n">
        <f aca="false">BC53*(($I$14*'Timeline and FX'!BC12)+$J$14*Payroll!$C$36*MIN(MAX(($I$14*'Timeline and FX'!BC12),'Timeline and FX'!BC14),'Timeline and FX'!BC13))/'Timeline and FX'!BC8</f>
        <v>3196.21285859682</v>
      </c>
      <c r="BD93" s="60" t="n">
        <f aca="false">BD53*(($I$14*'Timeline and FX'!BD12)+$J$14*Payroll!$C$36*MIN(MAX(($I$14*'Timeline and FX'!BD12),'Timeline and FX'!BD14),'Timeline and FX'!BD13))/'Timeline and FX'!BD8</f>
        <v>3180.73049209184</v>
      </c>
      <c r="BE93" s="60" t="n">
        <f aca="false">BE53*(($I$14*'Timeline and FX'!BE12)+$J$14*Payroll!$C$36*MIN(MAX(($I$14*'Timeline and FX'!BE12),'Timeline and FX'!BE14),'Timeline and FX'!BE13))/'Timeline and FX'!BE8</f>
        <v>3165.32312174111</v>
      </c>
      <c r="BF93" s="60" t="n">
        <f aca="false">BF53*(($I$14*'Timeline and FX'!BF12)+$J$14*Payroll!$C$36*MIN(MAX(($I$14*'Timeline and FX'!BF12),'Timeline and FX'!BF14),'Timeline and FX'!BF13))/'Timeline and FX'!BF8</f>
        <v>3149.99038426536</v>
      </c>
      <c r="BG93" s="60" t="n">
        <f aca="false">BG53*(($I$14*'Timeline and FX'!BG12)+$J$14*Payroll!$C$36*MIN(MAX(($I$14*'Timeline and FX'!BG12),'Timeline and FX'!BG14),'Timeline and FX'!BG13))/'Timeline and FX'!BG8</f>
        <v>3134.73191814499</v>
      </c>
      <c r="BH93" s="60" t="n">
        <f aca="false">BH53*(($I$14*'Timeline and FX'!BH12)+$J$14*Payroll!$C$36*MIN(MAX(($I$14*'Timeline and FX'!BH12),'Timeline and FX'!BH14),'Timeline and FX'!BH13))/'Timeline and FX'!BH8</f>
        <v>3119.54736361163</v>
      </c>
      <c r="BI93" s="60" t="n">
        <f aca="false">BI53*(($I$14*'Timeline and FX'!BI12)+$J$14*Payroll!$C$36*MIN(MAX(($I$14*'Timeline and FX'!BI12),'Timeline and FX'!BI14),'Timeline and FX'!BI13))/'Timeline and FX'!BI8</f>
        <v>3104.43636263959</v>
      </c>
      <c r="BJ93" s="60" t="n">
        <f aca="false">BJ53*(($I$14*'Timeline and FX'!BJ12)+$J$14*Payroll!$C$36*MIN(MAX(($I$14*'Timeline and FX'!BJ12),'Timeline and FX'!BJ14),'Timeline and FX'!BJ13))/'Timeline and FX'!BJ8</f>
        <v>3089.39855893746</v>
      </c>
      <c r="BK93" s="60" t="n">
        <f aca="false">BK53*(($I$14*'Timeline and FX'!BK12)+$J$14*Payroll!$C$36*MIN(MAX(($I$14*'Timeline and FX'!BK12),'Timeline and FX'!BK14),'Timeline and FX'!BK13))/'Timeline and FX'!BK8</f>
        <v>3074.4335979397</v>
      </c>
      <c r="BL93" s="60" t="n">
        <f aca="false">BL53*(($I$14*'Timeline and FX'!BL12)+$J$14*Payroll!$C$36*MIN(MAX(($I$14*'Timeline and FX'!BL12),'Timeline and FX'!BL14),'Timeline and FX'!BL13))/'Timeline and FX'!BL8</f>
        <v>3059.54112679827</v>
      </c>
      <c r="BM93" s="60" t="n">
        <f aca="false">BM53*(($I$14*'Timeline and FX'!BM12)+$J$14*Payroll!$C$36*MIN(MAX(($I$14*'Timeline and FX'!BM12),'Timeline and FX'!BM14),'Timeline and FX'!BM13))/'Timeline and FX'!BM8</f>
        <v>3044.7207943743</v>
      </c>
      <c r="BN93" s="60" t="n">
        <f aca="false">BN53*(($I$14*'Timeline and FX'!BN12)+$J$14*Payroll!$C$36*MIN(MAX(($I$14*'Timeline and FX'!BN12),'Timeline and FX'!BN14),'Timeline and FX'!BN13))/'Timeline and FX'!BN8</f>
        <v>3029.97225122985</v>
      </c>
    </row>
    <row r="94" customFormat="false" ht="15" hidden="false" customHeight="false" outlineLevel="0" collapsed="false">
      <c r="A94" s="4" t="s">
        <v>844</v>
      </c>
      <c r="B94" s="59" t="n">
        <f aca="false">SUM(C94:N94)</f>
        <v>8762.63494063103</v>
      </c>
      <c r="C94" s="60" t="n">
        <f aca="false">C54*(($I$15*'Timeline and FX'!C12)+$J$15*Payroll!$C$36*MIN(MAX(($I$15*'Timeline and FX'!C12),'Timeline and FX'!C14),'Timeline and FX'!C13))/'Timeline and FX'!C8</f>
        <v>749.878640776699</v>
      </c>
      <c r="D94" s="60" t="n">
        <f aca="false">D54*(($I$15*'Timeline and FX'!D12)+$J$15*Payroll!$C$36*MIN(MAX(($I$15*'Timeline and FX'!D12),'Timeline and FX'!D14),'Timeline and FX'!D13))/'Timeline and FX'!D8</f>
        <v>746.246249423433</v>
      </c>
      <c r="E94" s="60" t="n">
        <f aca="false">E54*(($I$15*'Timeline and FX'!E12)+$J$15*Payroll!$C$36*MIN(MAX(($I$15*'Timeline and FX'!E12),'Timeline and FX'!E14),'Timeline and FX'!E13))/'Timeline and FX'!E8</f>
        <v>742.631453273211</v>
      </c>
      <c r="F94" s="60" t="n">
        <f aca="false">F54*(($I$15*'Timeline and FX'!F12)+$J$15*Payroll!$C$36*MIN(MAX(($I$15*'Timeline and FX'!F12),'Timeline and FX'!F14),'Timeline and FX'!F13))/'Timeline and FX'!F8</f>
        <v>739.034167095359</v>
      </c>
      <c r="G94" s="60" t="n">
        <f aca="false">G54*(($I$15*'Timeline and FX'!G12)+$J$15*Payroll!$C$36*MIN(MAX(($I$15*'Timeline and FX'!G12),'Timeline and FX'!G14),'Timeline and FX'!G13))/'Timeline and FX'!G8</f>
        <v>735.454306072054</v>
      </c>
      <c r="H94" s="60" t="n">
        <f aca="false">H54*(($I$15*'Timeline and FX'!H12)+$J$15*Payroll!$C$36*MIN(MAX(($I$15*'Timeline and FX'!H12),'Timeline and FX'!H14),'Timeline and FX'!H13))/'Timeline and FX'!H8</f>
        <v>731.891785796331</v>
      </c>
      <c r="I94" s="60" t="n">
        <f aca="false">I54*(($I$15*'Timeline and FX'!I12)+$J$15*Payroll!$C$36*MIN(MAX(($I$15*'Timeline and FX'!I12),'Timeline and FX'!I14),'Timeline and FX'!I13))/'Timeline and FX'!I8</f>
        <v>728.346522270089</v>
      </c>
      <c r="J94" s="60" t="n">
        <f aca="false">J54*(($I$15*'Timeline and FX'!J12)+$J$15*Payroll!$C$36*MIN(MAX(($I$15*'Timeline and FX'!J12),'Timeline and FX'!J14),'Timeline and FX'!J13))/'Timeline and FX'!J8</f>
        <v>724.818431902113</v>
      </c>
      <c r="K94" s="60" t="n">
        <f aca="false">K54*(($I$15*'Timeline and FX'!K12)+$J$15*Payroll!$C$36*MIN(MAX(($I$15*'Timeline and FX'!K12),'Timeline and FX'!K14),'Timeline and FX'!K13))/'Timeline and FX'!K8</f>
        <v>721.307431506099</v>
      </c>
      <c r="L94" s="60" t="n">
        <f aca="false">L54*(($I$15*'Timeline and FX'!L12)+$J$15*Payroll!$C$36*MIN(MAX(($I$15*'Timeline and FX'!L12),'Timeline and FX'!L14),'Timeline and FX'!L13))/'Timeline and FX'!L8</f>
        <v>717.813438298698</v>
      </c>
      <c r="M94" s="60" t="n">
        <f aca="false">M54*(($I$15*'Timeline and FX'!M12)+$J$15*Payroll!$C$36*MIN(MAX(($I$15*'Timeline and FX'!M12),'Timeline and FX'!M14),'Timeline and FX'!M13))/'Timeline and FX'!M8</f>
        <v>714.336369897558</v>
      </c>
      <c r="N94" s="60" t="n">
        <f aca="false">N54*(($I$15*'Timeline and FX'!N12)+$J$15*Payroll!$C$36*MIN(MAX(($I$15*'Timeline and FX'!N12),'Timeline and FX'!N14),'Timeline and FX'!N13))/'Timeline and FX'!N8</f>
        <v>710.876144319387</v>
      </c>
      <c r="O94" s="59" t="n">
        <f aca="false">SUM(P94:AA94)</f>
        <v>9281.87177244547</v>
      </c>
      <c r="P94" s="60" t="n">
        <f aca="false">P54*(($I$15*'Timeline and FX'!P12)+$J$15*Payroll!$C$36*MIN(MAX(($I$15*'Timeline and FX'!P12),'Timeline and FX'!P14),'Timeline and FX'!P13))/'Timeline and FX'!P8</f>
        <v>794.31328997985</v>
      </c>
      <c r="Q94" s="60" t="n">
        <f aca="false">Q54*(($I$15*'Timeline and FX'!Q12)+$J$15*Payroll!$C$36*MIN(MAX(($I$15*'Timeline and FX'!Q12),'Timeline and FX'!Q14),'Timeline and FX'!Q13))/'Timeline and FX'!Q8</f>
        <v>790.465658417336</v>
      </c>
      <c r="R94" s="60" t="n">
        <f aca="false">R54*(($I$15*'Timeline and FX'!R12)+$J$15*Payroll!$C$36*MIN(MAX(($I$15*'Timeline and FX'!R12),'Timeline and FX'!R14),'Timeline and FX'!R13))/'Timeline and FX'!R8</f>
        <v>786.636664675476</v>
      </c>
      <c r="S94" s="60" t="n">
        <f aca="false">S54*(($I$15*'Timeline and FX'!S12)+$J$15*Payroll!$C$36*MIN(MAX(($I$15*'Timeline and FX'!S12),'Timeline and FX'!S14),'Timeline and FX'!S13))/'Timeline and FX'!S8</f>
        <v>782.826218473181</v>
      </c>
      <c r="T94" s="60" t="n">
        <f aca="false">T54*(($I$15*'Timeline and FX'!T12)+$J$15*Payroll!$C$36*MIN(MAX(($I$15*'Timeline and FX'!T12),'Timeline and FX'!T14),'Timeline and FX'!T13))/'Timeline and FX'!T8</f>
        <v>779.034229966685</v>
      </c>
      <c r="U94" s="60" t="n">
        <f aca="false">U54*(($I$15*'Timeline and FX'!U12)+$J$15*Payroll!$C$36*MIN(MAX(($I$15*'Timeline and FX'!U12),'Timeline and FX'!U14),'Timeline and FX'!U13))/'Timeline and FX'!U8</f>
        <v>775.260609747421</v>
      </c>
      <c r="V94" s="60" t="n">
        <f aca="false">V54*(($I$15*'Timeline and FX'!V12)+$J$15*Payroll!$C$36*MIN(MAX(($I$15*'Timeline and FX'!V12),'Timeline and FX'!V14),'Timeline and FX'!V13))/'Timeline and FX'!V8</f>
        <v>771.505268839914</v>
      </c>
      <c r="W94" s="60" t="n">
        <f aca="false">W54*(($I$15*'Timeline and FX'!W12)+$J$15*Payroll!$C$36*MIN(MAX(($I$15*'Timeline and FX'!W12),'Timeline and FX'!W14),'Timeline and FX'!W13))/'Timeline and FX'!W8</f>
        <v>767.768118699685</v>
      </c>
      <c r="X94" s="60" t="n">
        <f aca="false">X54*(($I$15*'Timeline and FX'!X12)+$J$15*Payroll!$C$36*MIN(MAX(($I$15*'Timeline and FX'!X12),'Timeline and FX'!X14),'Timeline and FX'!X13))/'Timeline and FX'!X8</f>
        <v>764.049071211161</v>
      </c>
      <c r="Y94" s="60" t="n">
        <f aca="false">Y54*(($I$15*'Timeline and FX'!Y12)+$J$15*Payroll!$C$36*MIN(MAX(($I$15*'Timeline and FX'!Y12),'Timeline and FX'!Y14),'Timeline and FX'!Y13))/'Timeline and FX'!Y8</f>
        <v>760.3480386856</v>
      </c>
      <c r="Z94" s="60" t="n">
        <f aca="false">Z54*(($I$15*'Timeline and FX'!Z12)+$J$15*Payroll!$C$36*MIN(MAX(($I$15*'Timeline and FX'!Z12),'Timeline and FX'!Z14),'Timeline and FX'!Z13))/'Timeline and FX'!Z8</f>
        <v>756.664933859019</v>
      </c>
      <c r="AA94" s="60" t="n">
        <f aca="false">AA54*(($I$15*'Timeline and FX'!AA12)+$J$15*Payroll!$C$36*MIN(MAX(($I$15*'Timeline and FX'!AA12),'Timeline and FX'!AA14),'Timeline and FX'!AA13))/'Timeline and FX'!AA8</f>
        <v>752.999669890142</v>
      </c>
      <c r="AB94" s="59" t="n">
        <f aca="false">SUM(AC94:AN94)</f>
        <v>19664.9449186998</v>
      </c>
      <c r="AC94" s="60" t="n">
        <f aca="false">AC54*(($I$15*'Timeline and FX'!AC12)+$J$15*Payroll!$C$36*MIN(MAX(($I$15*'Timeline and FX'!AC12),'Timeline and FX'!AC14),'Timeline and FX'!AC13))/'Timeline and FX'!AC8</f>
        <v>1682.86391781617</v>
      </c>
      <c r="AD94" s="60" t="n">
        <f aca="false">AD54*(($I$15*'Timeline and FX'!AD12)+$J$15*Payroll!$C$36*MIN(MAX(($I$15*'Timeline and FX'!AD12),'Timeline and FX'!AD14),'Timeline and FX'!AD13))/'Timeline and FX'!AD8</f>
        <v>1674.71217163833</v>
      </c>
      <c r="AE94" s="60" t="n">
        <f aca="false">AE54*(($I$15*'Timeline and FX'!AE12)+$J$15*Payroll!$C$36*MIN(MAX(($I$15*'Timeline and FX'!AE12),'Timeline and FX'!AE14),'Timeline and FX'!AE13))/'Timeline and FX'!AE8</f>
        <v>1666.59991229305</v>
      </c>
      <c r="AF94" s="60" t="n">
        <f aca="false">AF54*(($I$15*'Timeline and FX'!AF12)+$J$15*Payroll!$C$36*MIN(MAX(($I$15*'Timeline and FX'!AF12),'Timeline and FX'!AF14),'Timeline and FX'!AF13))/'Timeline and FX'!AF8</f>
        <v>1658.5269485072</v>
      </c>
      <c r="AG94" s="60" t="n">
        <f aca="false">AG54*(($I$15*'Timeline and FX'!AG12)+$J$15*Payroll!$C$36*MIN(MAX(($I$15*'Timeline and FX'!AG12),'Timeline and FX'!AG14),'Timeline and FX'!AG13))/'Timeline and FX'!AG8</f>
        <v>1650.4930899342</v>
      </c>
      <c r="AH94" s="60" t="n">
        <f aca="false">AH54*(($I$15*'Timeline and FX'!AH12)+$J$15*Payroll!$C$36*MIN(MAX(($I$15*'Timeline and FX'!AH12),'Timeline and FX'!AH14),'Timeline and FX'!AH13))/'Timeline and FX'!AH8</f>
        <v>1642.49814714947</v>
      </c>
      <c r="AI94" s="60" t="n">
        <f aca="false">AI54*(($I$15*'Timeline and FX'!AI12)+$J$15*Payroll!$C$36*MIN(MAX(($I$15*'Timeline and FX'!AI12),'Timeline and FX'!AI14),'Timeline and FX'!AI13))/'Timeline and FX'!AI8</f>
        <v>1634.54193164601</v>
      </c>
      <c r="AJ94" s="60" t="n">
        <f aca="false">AJ54*(($I$15*'Timeline and FX'!AJ12)+$J$15*Payroll!$C$36*MIN(MAX(($I$15*'Timeline and FX'!AJ12),'Timeline and FX'!AJ14),'Timeline and FX'!AJ13))/'Timeline and FX'!AJ8</f>
        <v>1626.62425582994</v>
      </c>
      <c r="AK94" s="60" t="n">
        <f aca="false">AK54*(($I$15*'Timeline and FX'!AK12)+$J$15*Payroll!$C$36*MIN(MAX(($I$15*'Timeline and FX'!AK12),'Timeline and FX'!AK14),'Timeline and FX'!AK13))/'Timeline and FX'!AK8</f>
        <v>1618.74493301609</v>
      </c>
      <c r="AL94" s="60" t="n">
        <f aca="false">AL54*(($I$15*'Timeline and FX'!AL12)+$J$15*Payroll!$C$36*MIN(MAX(($I$15*'Timeline and FX'!AL12),'Timeline and FX'!AL14),'Timeline and FX'!AL13))/'Timeline and FX'!AL8</f>
        <v>1610.90377742358</v>
      </c>
      <c r="AM94" s="60" t="n">
        <f aca="false">AM54*(($I$15*'Timeline and FX'!AM12)+$J$15*Payroll!$C$36*MIN(MAX(($I$15*'Timeline and FX'!AM12),'Timeline and FX'!AM14),'Timeline and FX'!AM13))/'Timeline and FX'!AM8</f>
        <v>1603.10060417144</v>
      </c>
      <c r="AN94" s="60" t="n">
        <f aca="false">AN54*(($I$15*'Timeline and FX'!AN12)+$J$15*Payroll!$C$36*MIN(MAX(($I$15*'Timeline and FX'!AN12),'Timeline and FX'!AN14),'Timeline and FX'!AN13))/'Timeline and FX'!AN8</f>
        <v>1595.33522927428</v>
      </c>
      <c r="AO94" s="59" t="n">
        <f aca="false">SUM(AP94:BA94)</f>
        <v>20832.759680986</v>
      </c>
      <c r="AP94" s="60" t="n">
        <f aca="false">AP54*(($I$15*'Timeline and FX'!AP12)+$J$15*Payroll!$C$36*MIN(MAX(($I$15*'Timeline and FX'!AP12),'Timeline and FX'!AP14),'Timeline and FX'!AP13))/'Timeline and FX'!AP8</f>
        <v>1782.80181920718</v>
      </c>
      <c r="AQ94" s="60" t="n">
        <f aca="false">AQ54*(($I$15*'Timeline and FX'!AQ12)+$J$15*Payroll!$C$36*MIN(MAX(($I$15*'Timeline and FX'!AQ12),'Timeline and FX'!AQ14),'Timeline and FX'!AQ13))/'Timeline and FX'!AQ8</f>
        <v>1774.16597660474</v>
      </c>
      <c r="AR94" s="60" t="n">
        <f aca="false">AR54*(($I$15*'Timeline and FX'!AR12)+$J$15*Payroll!$C$36*MIN(MAX(($I$15*'Timeline and FX'!AR12),'Timeline and FX'!AR14),'Timeline and FX'!AR13))/'Timeline and FX'!AR8</f>
        <v>1765.57196578453</v>
      </c>
      <c r="AS94" s="60" t="n">
        <f aca="false">AS54*(($I$15*'Timeline and FX'!AS12)+$J$15*Payroll!$C$36*MIN(MAX(($I$15*'Timeline and FX'!AS12),'Timeline and FX'!AS14),'Timeline and FX'!AS13))/'Timeline and FX'!AS8</f>
        <v>1757.01958411456</v>
      </c>
      <c r="AT94" s="60" t="n">
        <f aca="false">AT54*(($I$15*'Timeline and FX'!AT12)+$J$15*Payroll!$C$36*MIN(MAX(($I$15*'Timeline and FX'!AT12),'Timeline and FX'!AT14),'Timeline and FX'!AT13))/'Timeline and FX'!AT8</f>
        <v>1748.50862994436</v>
      </c>
      <c r="AU94" s="60" t="n">
        <f aca="false">AU54*(($I$15*'Timeline and FX'!AU12)+$J$15*Payroll!$C$36*MIN(MAX(($I$15*'Timeline and FX'!AU12),'Timeline and FX'!AU14),'Timeline and FX'!AU13))/'Timeline and FX'!AU8</f>
        <v>1740.03890260029</v>
      </c>
      <c r="AV94" s="60" t="n">
        <f aca="false">AV54*(($I$15*'Timeline and FX'!AV12)+$J$15*Payroll!$C$36*MIN(MAX(($I$15*'Timeline and FX'!AV12),'Timeline and FX'!AV14),'Timeline and FX'!AV13))/'Timeline and FX'!AV8</f>
        <v>1731.61020238074</v>
      </c>
      <c r="AW94" s="60" t="n">
        <f aca="false">AW54*(($I$15*'Timeline and FX'!AW12)+$J$15*Payroll!$C$36*MIN(MAX(($I$15*'Timeline and FX'!AW12),'Timeline and FX'!AW14),'Timeline and FX'!AW13))/'Timeline and FX'!AW8</f>
        <v>1723.22233055145</v>
      </c>
      <c r="AX94" s="60" t="n">
        <f aca="false">AX54*(($I$15*'Timeline and FX'!AX12)+$J$15*Payroll!$C$36*MIN(MAX(($I$15*'Timeline and FX'!AX12),'Timeline and FX'!AX14),'Timeline and FX'!AX13))/'Timeline and FX'!AX8</f>
        <v>1714.87508934084</v>
      </c>
      <c r="AY94" s="60" t="n">
        <f aca="false">AY54*(($I$15*'Timeline and FX'!AY12)+$J$15*Payroll!$C$36*MIN(MAX(($I$15*'Timeline and FX'!AY12),'Timeline and FX'!AY14),'Timeline and FX'!AY13))/'Timeline and FX'!AY8</f>
        <v>1706.56828193531</v>
      </c>
      <c r="AZ94" s="60" t="n">
        <f aca="false">AZ54*(($I$15*'Timeline and FX'!AZ12)+$J$15*Payroll!$C$36*MIN(MAX(($I$15*'Timeline and FX'!AZ12),'Timeline and FX'!AZ14),'Timeline and FX'!AZ13))/'Timeline and FX'!AZ8</f>
        <v>1698.30171247463</v>
      </c>
      <c r="BA94" s="60" t="n">
        <f aca="false">BA54*(($I$15*'Timeline and FX'!BA12)+$J$15*Payroll!$C$36*MIN(MAX(($I$15*'Timeline and FX'!BA12),'Timeline and FX'!BA14),'Timeline and FX'!BA13))/'Timeline and FX'!BA8</f>
        <v>1690.07518604731</v>
      </c>
      <c r="BB94" s="59" t="n">
        <f aca="false">SUM(BC94:BN94)</f>
        <v>22071.3219020142</v>
      </c>
      <c r="BC94" s="60" t="n">
        <f aca="false">BC54*(($I$15*'Timeline and FX'!BC12)+$J$15*Payroll!$C$36*MIN(MAX(($I$15*'Timeline and FX'!BC12),'Timeline and FX'!BC14),'Timeline and FX'!BC13))/'Timeline and FX'!BC8</f>
        <v>1888.79406481762</v>
      </c>
      <c r="BD94" s="60" t="n">
        <f aca="false">BD54*(($I$15*'Timeline and FX'!BD12)+$J$15*Payroll!$C$36*MIN(MAX(($I$15*'Timeline and FX'!BD12),'Timeline and FX'!BD14),'Timeline and FX'!BD13))/'Timeline and FX'!BD8</f>
        <v>1879.64479871499</v>
      </c>
      <c r="BE94" s="60" t="n">
        <f aca="false">BE54*(($I$15*'Timeline and FX'!BE12)+$J$15*Payroll!$C$36*MIN(MAX(($I$15*'Timeline and FX'!BE12),'Timeline and FX'!BE14),'Timeline and FX'!BE13))/'Timeline and FX'!BE8</f>
        <v>1870.53985140379</v>
      </c>
      <c r="BF94" s="60" t="n">
        <f aca="false">BF54*(($I$15*'Timeline and FX'!BF12)+$J$15*Payroll!$C$36*MIN(MAX(($I$15*'Timeline and FX'!BF12),'Timeline and FX'!BF14),'Timeline and FX'!BF13))/'Timeline and FX'!BF8</f>
        <v>1861.47900820503</v>
      </c>
      <c r="BG94" s="60" t="n">
        <f aca="false">BG54*(($I$15*'Timeline and FX'!BG12)+$J$15*Payroll!$C$36*MIN(MAX(($I$15*'Timeline and FX'!BG12),'Timeline and FX'!BG14),'Timeline and FX'!BG13))/'Timeline and FX'!BG8</f>
        <v>1852.4620554796</v>
      </c>
      <c r="BH94" s="60" t="n">
        <f aca="false">BH54*(($I$15*'Timeline and FX'!BH12)+$J$15*Payroll!$C$36*MIN(MAX(($I$15*'Timeline and FX'!BH12),'Timeline and FX'!BH14),'Timeline and FX'!BH13))/'Timeline and FX'!BH8</f>
        <v>1843.48878062328</v>
      </c>
      <c r="BI94" s="60" t="n">
        <f aca="false">BI54*(($I$15*'Timeline and FX'!BI12)+$J$15*Payroll!$C$36*MIN(MAX(($I$15*'Timeline and FX'!BI12),'Timeline and FX'!BI14),'Timeline and FX'!BI13))/'Timeline and FX'!BI8</f>
        <v>1834.55897206166</v>
      </c>
      <c r="BJ94" s="60" t="n">
        <f aca="false">BJ54*(($I$15*'Timeline and FX'!BJ12)+$J$15*Payroll!$C$36*MIN(MAX(($I$15*'Timeline and FX'!BJ12),'Timeline and FX'!BJ14),'Timeline and FX'!BJ13))/'Timeline and FX'!BJ8</f>
        <v>1825.67241924523</v>
      </c>
      <c r="BK94" s="60" t="n">
        <f aca="false">BK54*(($I$15*'Timeline and FX'!BK12)+$J$15*Payroll!$C$36*MIN(MAX(($I$15*'Timeline and FX'!BK12),'Timeline and FX'!BK14),'Timeline and FX'!BK13))/'Timeline and FX'!BK8</f>
        <v>1816.82891264436</v>
      </c>
      <c r="BL94" s="60" t="n">
        <f aca="false">BL54*(($I$15*'Timeline and FX'!BL12)+$J$15*Payroll!$C$36*MIN(MAX(($I$15*'Timeline and FX'!BL12),'Timeline and FX'!BL14),'Timeline and FX'!BL13))/'Timeline and FX'!BL8</f>
        <v>1808.02824374437</v>
      </c>
      <c r="BM94" s="60" t="n">
        <f aca="false">BM54*(($I$15*'Timeline and FX'!BM12)+$J$15*Payroll!$C$36*MIN(MAX(($I$15*'Timeline and FX'!BM12),'Timeline and FX'!BM14),'Timeline and FX'!BM13))/'Timeline and FX'!BM8</f>
        <v>1799.27020504062</v>
      </c>
      <c r="BN94" s="60" t="n">
        <f aca="false">BN54*(($I$15*'Timeline and FX'!BN12)+$J$15*Payroll!$C$36*MIN(MAX(($I$15*'Timeline and FX'!BN12),'Timeline and FX'!BN14),'Timeline and FX'!BN13))/'Timeline and FX'!BN8</f>
        <v>1790.55459003362</v>
      </c>
    </row>
    <row r="95" customFormat="false" ht="15" hidden="false" customHeight="false" outlineLevel="0" collapsed="false">
      <c r="A95" s="4" t="s">
        <v>845</v>
      </c>
      <c r="B95" s="59" t="n">
        <f aca="false">SUM(C95:N95)</f>
        <v>6493.62443650259</v>
      </c>
      <c r="C95" s="60" t="n">
        <f aca="false">C55*(($I$16*'Timeline and FX'!C12)+$J$16*Payroll!$C$36*MIN(MAX(($I$16*'Timeline and FX'!C12),'Timeline and FX'!C14),'Timeline and FX'!C13))/'Timeline and FX'!C8</f>
        <v>555.703883495146</v>
      </c>
      <c r="D95" s="60" t="n">
        <f aca="false">D55*(($I$16*'Timeline and FX'!D12)+$J$16*Payroll!$C$36*MIN(MAX(($I$16*'Timeline and FX'!D12),'Timeline and FX'!D14),'Timeline and FX'!D13))/'Timeline and FX'!D8</f>
        <v>553.012069284658</v>
      </c>
      <c r="E95" s="60" t="n">
        <f aca="false">E55*(($I$16*'Timeline and FX'!E12)+$J$16*Payroll!$C$36*MIN(MAX(($I$16*'Timeline and FX'!E12),'Timeline and FX'!E14),'Timeline and FX'!E13))/'Timeline and FX'!E8</f>
        <v>550.333294147602</v>
      </c>
      <c r="F95" s="60" t="n">
        <f aca="false">F55*(($I$16*'Timeline and FX'!F12)+$J$16*Payroll!$C$36*MIN(MAX(($I$16*'Timeline and FX'!F12),'Timeline and FX'!F14),'Timeline and FX'!F13))/'Timeline and FX'!F8</f>
        <v>547.66749492307</v>
      </c>
      <c r="G95" s="60" t="n">
        <f aca="false">G55*(($I$16*'Timeline and FX'!G12)+$J$16*Payroll!$C$36*MIN(MAX(($I$16*'Timeline and FX'!G12),'Timeline and FX'!G14),'Timeline and FX'!G13))/'Timeline and FX'!G8</f>
        <v>545.014608756099</v>
      </c>
      <c r="H95" s="60" t="n">
        <f aca="false">H55*(($I$16*'Timeline and FX'!H12)+$J$16*Payroll!$C$36*MIN(MAX(($I$16*'Timeline and FX'!H12),'Timeline and FX'!H14),'Timeline and FX'!H13))/'Timeline and FX'!H8</f>
        <v>542.374573096196</v>
      </c>
      <c r="I95" s="60" t="n">
        <f aca="false">I55*(($I$16*'Timeline and FX'!I12)+$J$16*Payroll!$C$36*MIN(MAX(($I$16*'Timeline and FX'!I12),'Timeline and FX'!I14),'Timeline and FX'!I13))/'Timeline and FX'!I8</f>
        <v>539.747325695863</v>
      </c>
      <c r="J95" s="60" t="n">
        <f aca="false">J55*(($I$16*'Timeline and FX'!J12)+$J$16*Payroll!$C$36*MIN(MAX(($I$16*'Timeline and FX'!J12),'Timeline and FX'!J14),'Timeline and FX'!J13))/'Timeline and FX'!J8</f>
        <v>537.132804609124</v>
      </c>
      <c r="K95" s="60" t="n">
        <f aca="false">K55*(($I$16*'Timeline and FX'!K12)+$J$16*Payroll!$C$36*MIN(MAX(($I$16*'Timeline and FX'!K12),'Timeline and FX'!K14),'Timeline and FX'!K13))/'Timeline and FX'!K8</f>
        <v>534.530948190068</v>
      </c>
      <c r="L95" s="60" t="n">
        <f aca="false">L55*(($I$16*'Timeline and FX'!L12)+$J$16*Payroll!$C$36*MIN(MAX(($I$16*'Timeline and FX'!L12),'Timeline and FX'!L14),'Timeline and FX'!L13))/'Timeline and FX'!L8</f>
        <v>531.941695091396</v>
      </c>
      <c r="M95" s="60" t="n">
        <f aca="false">M55*(($I$16*'Timeline and FX'!M12)+$J$16*Payroll!$C$36*MIN(MAX(($I$16*'Timeline and FX'!M12),'Timeline and FX'!M14),'Timeline and FX'!M13))/'Timeline and FX'!M8</f>
        <v>529.364984262974</v>
      </c>
      <c r="N95" s="60" t="n">
        <f aca="false">N55*(($I$16*'Timeline and FX'!N12)+$J$16*Payroll!$C$36*MIN(MAX(($I$16*'Timeline and FX'!N12),'Timeline and FX'!N14),'Timeline and FX'!N13))/'Timeline and FX'!N8</f>
        <v>526.800754950392</v>
      </c>
      <c r="O95" s="59" t="n">
        <f aca="false">SUM(P95:AA95)</f>
        <v>6884.42671147957</v>
      </c>
      <c r="P95" s="60" t="n">
        <f aca="false">P55*(($I$16*'Timeline and FX'!P12)+$J$16*Payroll!$C$36*MIN(MAX(($I$16*'Timeline and FX'!P12),'Timeline and FX'!P14),'Timeline and FX'!P13))/'Timeline and FX'!P8</f>
        <v>589.147508701227</v>
      </c>
      <c r="Q95" s="60" t="n">
        <f aca="false">Q55*(($I$16*'Timeline and FX'!Q12)+$J$16*Payroll!$C$36*MIN(MAX(($I$16*'Timeline and FX'!Q12),'Timeline and FX'!Q14),'Timeline and FX'!Q13))/'Timeline and FX'!Q8</f>
        <v>586.293694497121</v>
      </c>
      <c r="R95" s="60" t="n">
        <f aca="false">R55*(($I$16*'Timeline and FX'!R12)+$J$16*Payroll!$C$36*MIN(MAX(($I$16*'Timeline and FX'!R12),'Timeline and FX'!R14),'Timeline and FX'!R13))/'Timeline and FX'!R8</f>
        <v>583.453704089926</v>
      </c>
      <c r="S95" s="60" t="n">
        <f aca="false">S55*(($I$16*'Timeline and FX'!S12)+$J$16*Payroll!$C$36*MIN(MAX(($I$16*'Timeline and FX'!S12),'Timeline and FX'!S14),'Timeline and FX'!S13))/'Timeline and FX'!S8</f>
        <v>580.627470517555</v>
      </c>
      <c r="T95" s="60" t="n">
        <f aca="false">T55*(($I$16*'Timeline and FX'!T12)+$J$16*Payroll!$C$36*MIN(MAX(($I$16*'Timeline and FX'!T12),'Timeline and FX'!T14),'Timeline and FX'!T13))/'Timeline and FX'!T8</f>
        <v>577.81492714228</v>
      </c>
      <c r="U95" s="60" t="n">
        <f aca="false">U55*(($I$16*'Timeline and FX'!U12)+$J$16*Payroll!$C$36*MIN(MAX(($I$16*'Timeline and FX'!U12),'Timeline and FX'!U14),'Timeline and FX'!U13))/'Timeline and FX'!U8</f>
        <v>575.016007649166</v>
      </c>
      <c r="V95" s="60" t="n">
        <f aca="false">V55*(($I$16*'Timeline and FX'!V12)+$J$16*Payroll!$C$36*MIN(MAX(($I$16*'Timeline and FX'!V12),'Timeline and FX'!V14),'Timeline and FX'!V13))/'Timeline and FX'!V8</f>
        <v>572.230646044505</v>
      </c>
      <c r="W95" s="60" t="n">
        <f aca="false">W55*(($I$16*'Timeline and FX'!W12)+$J$16*Payroll!$C$36*MIN(MAX(($I$16*'Timeline and FX'!W12),'Timeline and FX'!W14),'Timeline and FX'!W13))/'Timeline and FX'!W8</f>
        <v>569.458776654262</v>
      </c>
      <c r="X95" s="60" t="n">
        <f aca="false">X55*(($I$16*'Timeline and FX'!X12)+$J$16*Payroll!$C$36*MIN(MAX(($I$16*'Timeline and FX'!X12),'Timeline and FX'!X14),'Timeline and FX'!X13))/'Timeline and FX'!X8</f>
        <v>566.700334122524</v>
      </c>
      <c r="Y95" s="60" t="n">
        <f aca="false">Y55*(($I$16*'Timeline and FX'!Y12)+$J$16*Payroll!$C$36*MIN(MAX(($I$16*'Timeline and FX'!Y12),'Timeline and FX'!Y14),'Timeline and FX'!Y13))/'Timeline and FX'!Y8</f>
        <v>563.95525340996</v>
      </c>
      <c r="Z95" s="60" t="n">
        <f aca="false">Z55*(($I$16*'Timeline and FX'!Z12)+$J$16*Payroll!$C$36*MIN(MAX(($I$16*'Timeline and FX'!Z12),'Timeline and FX'!Z14),'Timeline and FX'!Z13))/'Timeline and FX'!Z8</f>
        <v>561.223469792289</v>
      </c>
      <c r="AA95" s="60" t="n">
        <f aca="false">AA55*(($I$16*'Timeline and FX'!AA12)+$J$16*Payroll!$C$36*MIN(MAX(($I$16*'Timeline and FX'!AA12),'Timeline and FX'!AA14),'Timeline and FX'!AA13))/'Timeline and FX'!AA8</f>
        <v>558.504918858751</v>
      </c>
      <c r="AB95" s="59" t="n">
        <f aca="false">SUM(AC95:AN95)</f>
        <v>7299.32296097081</v>
      </c>
      <c r="AC95" s="60" t="n">
        <f aca="false">AC55*(($I$16*'Timeline and FX'!AC12)+$J$16*Payroll!$C$36*MIN(MAX(($I$16*'Timeline and FX'!AC12),'Timeline and FX'!AC14),'Timeline and FX'!AC13))/'Timeline and FX'!AC8</f>
        <v>624.653020198599</v>
      </c>
      <c r="AD95" s="60" t="n">
        <f aca="false">AD55*(($I$16*'Timeline and FX'!AD12)+$J$16*Payroll!$C$36*MIN(MAX(($I$16*'Timeline and FX'!AD12),'Timeline and FX'!AD14),'Timeline and FX'!AD13))/'Timeline and FX'!AD8</f>
        <v>621.627218280823</v>
      </c>
      <c r="AE95" s="60" t="n">
        <f aca="false">AE55*(($I$16*'Timeline and FX'!AE12)+$J$16*Payroll!$C$36*MIN(MAX(($I$16*'Timeline and FX'!AE12),'Timeline and FX'!AE14),'Timeline and FX'!AE13))/'Timeline and FX'!AE8</f>
        <v>618.616073263678</v>
      </c>
      <c r="AF95" s="60" t="n">
        <f aca="false">AF55*(($I$16*'Timeline and FX'!AF12)+$J$16*Payroll!$C$36*MIN(MAX(($I$16*'Timeline and FX'!AF12),'Timeline and FX'!AF14),'Timeline and FX'!AF13))/'Timeline and FX'!AF8</f>
        <v>615.619514149544</v>
      </c>
      <c r="AG95" s="60" t="n">
        <f aca="false">AG55*(($I$16*'Timeline and FX'!AG12)+$J$16*Payroll!$C$36*MIN(MAX(($I$16*'Timeline and FX'!AG12),'Timeline and FX'!AG14),'Timeline and FX'!AG13))/'Timeline and FX'!AG8</f>
        <v>612.637470284709</v>
      </c>
      <c r="AH95" s="60" t="n">
        <f aca="false">AH55*(($I$16*'Timeline and FX'!AH12)+$J$16*Payroll!$C$36*MIN(MAX(($I$16*'Timeline and FX'!AH12),'Timeline and FX'!AH14),'Timeline and FX'!AH13))/'Timeline and FX'!AH8</f>
        <v>609.669871357709</v>
      </c>
      <c r="AI95" s="60" t="n">
        <f aca="false">AI55*(($I$16*'Timeline and FX'!AI12)+$J$16*Payroll!$C$36*MIN(MAX(($I$16*'Timeline and FX'!AI12),'Timeline and FX'!AI14),'Timeline and FX'!AI13))/'Timeline and FX'!AI8</f>
        <v>606.716647397666</v>
      </c>
      <c r="AJ95" s="60" t="n">
        <f aca="false">AJ55*(($I$16*'Timeline and FX'!AJ12)+$J$16*Payroll!$C$36*MIN(MAX(($I$16*'Timeline and FX'!AJ12),'Timeline and FX'!AJ14),'Timeline and FX'!AJ13))/'Timeline and FX'!AJ8</f>
        <v>603.777728772637</v>
      </c>
      <c r="AK95" s="60" t="n">
        <f aca="false">AK55*(($I$16*'Timeline and FX'!AK12)+$J$16*Payroll!$C$36*MIN(MAX(($I$16*'Timeline and FX'!AK12),'Timeline and FX'!AK14),'Timeline and FX'!AK13))/'Timeline and FX'!AK8</f>
        <v>600.853046187976</v>
      </c>
      <c r="AL95" s="60" t="n">
        <f aca="false">AL55*(($I$16*'Timeline and FX'!AL12)+$J$16*Payroll!$C$36*MIN(MAX(($I$16*'Timeline and FX'!AL12),'Timeline and FX'!AL14),'Timeline and FX'!AL13))/'Timeline and FX'!AL8</f>
        <v>597.942530684699</v>
      </c>
      <c r="AM95" s="60" t="n">
        <f aca="false">AM55*(($I$16*'Timeline and FX'!AM12)+$J$16*Payroll!$C$36*MIN(MAX(($I$16*'Timeline and FX'!AM12),'Timeline and FX'!AM14),'Timeline and FX'!AM13))/'Timeline and FX'!AM8</f>
        <v>595.046113637856</v>
      </c>
      <c r="AN95" s="60" t="n">
        <f aca="false">AN55*(($I$16*'Timeline and FX'!AN12)+$J$16*Payroll!$C$36*MIN(MAX(($I$16*'Timeline and FX'!AN12),'Timeline and FX'!AN14),'Timeline and FX'!AN13))/'Timeline and FX'!AN8</f>
        <v>592.163726754915</v>
      </c>
      <c r="AO95" s="59" t="n">
        <f aca="false">SUM(AP95:BA95)</f>
        <v>15479.6890429019</v>
      </c>
      <c r="AP95" s="60" t="n">
        <f aca="false">AP55*(($I$16*'Timeline and FX'!AP12)+$J$16*Payroll!$C$36*MIN(MAX(($I$16*'Timeline and FX'!AP12),'Timeline and FX'!AP14),'Timeline and FX'!AP13))/'Timeline and FX'!AP8</f>
        <v>1324.70292985883</v>
      </c>
      <c r="AQ95" s="60" t="n">
        <f aca="false">AQ55*(($I$16*'Timeline and FX'!AQ12)+$J$16*Payroll!$C$36*MIN(MAX(($I$16*'Timeline and FX'!AQ12),'Timeline and FX'!AQ14),'Timeline and FX'!AQ13))/'Timeline and FX'!AQ8</f>
        <v>1318.28610558032</v>
      </c>
      <c r="AR95" s="60" t="n">
        <f aca="false">AR55*(($I$16*'Timeline and FX'!AR12)+$J$16*Payroll!$C$36*MIN(MAX(($I$16*'Timeline and FX'!AR12),'Timeline and FX'!AR14),'Timeline and FX'!AR13))/'Timeline and FX'!AR8</f>
        <v>1311.90036422079</v>
      </c>
      <c r="AS95" s="60" t="n">
        <f aca="false">AS55*(($I$16*'Timeline and FX'!AS12)+$J$16*Payroll!$C$36*MIN(MAX(($I$16*'Timeline and FX'!AS12),'Timeline and FX'!AS14),'Timeline and FX'!AS13))/'Timeline and FX'!AS8</f>
        <v>1305.54555521542</v>
      </c>
      <c r="AT95" s="60" t="n">
        <f aca="false">AT55*(($I$16*'Timeline and FX'!AT12)+$J$16*Payroll!$C$36*MIN(MAX(($I$16*'Timeline and FX'!AT12),'Timeline and FX'!AT14),'Timeline and FX'!AT13))/'Timeline and FX'!AT8</f>
        <v>1299.22152872875</v>
      </c>
      <c r="AU95" s="60" t="n">
        <f aca="false">AU55*(($I$16*'Timeline and FX'!AU12)+$J$16*Payroll!$C$36*MIN(MAX(($I$16*'Timeline and FX'!AU12),'Timeline and FX'!AU14),'Timeline and FX'!AU13))/'Timeline and FX'!AU8</f>
        <v>1292.92813565111</v>
      </c>
      <c r="AV95" s="60" t="n">
        <f aca="false">AV55*(($I$16*'Timeline and FX'!AV12)+$J$16*Payroll!$C$36*MIN(MAX(($I$16*'Timeline and FX'!AV12),'Timeline and FX'!AV14),'Timeline and FX'!AV13))/'Timeline and FX'!AV8</f>
        <v>1286.66522759512</v>
      </c>
      <c r="AW95" s="60" t="n">
        <f aca="false">AW55*(($I$16*'Timeline and FX'!AW12)+$J$16*Payroll!$C$36*MIN(MAX(($I$16*'Timeline and FX'!AW12),'Timeline and FX'!AW14),'Timeline and FX'!AW13))/'Timeline and FX'!AW8</f>
        <v>1280.43265689218</v>
      </c>
      <c r="AX95" s="60" t="n">
        <f aca="false">AX55*(($I$16*'Timeline and FX'!AX12)+$J$16*Payroll!$C$36*MIN(MAX(($I$16*'Timeline and FX'!AX12),'Timeline and FX'!AX14),'Timeline and FX'!AX13))/'Timeline and FX'!AX8</f>
        <v>1274.230276589</v>
      </c>
      <c r="AY95" s="60" t="n">
        <f aca="false">AY55*(($I$16*'Timeline and FX'!AY12)+$J$16*Payroll!$C$36*MIN(MAX(($I$16*'Timeline and FX'!AY12),'Timeline and FX'!AY14),'Timeline and FX'!AY13))/'Timeline and FX'!AY8</f>
        <v>1268.0579404441</v>
      </c>
      <c r="AZ95" s="60" t="n">
        <f aca="false">AZ55*(($I$16*'Timeline and FX'!AZ12)+$J$16*Payroll!$C$36*MIN(MAX(($I$16*'Timeline and FX'!AZ12),'Timeline and FX'!AZ14),'Timeline and FX'!AZ13))/'Timeline and FX'!AZ8</f>
        <v>1261.91550292442</v>
      </c>
      <c r="BA95" s="60" t="n">
        <f aca="false">BA55*(($I$16*'Timeline and FX'!BA12)+$J$16*Payroll!$C$36*MIN(MAX(($I$16*'Timeline and FX'!BA12),'Timeline and FX'!BA14),'Timeline and FX'!BA13))/'Timeline and FX'!BA8</f>
        <v>1255.80281920186</v>
      </c>
      <c r="BB95" s="59" t="n">
        <f aca="false">SUM(BC95:BN95)</f>
        <v>16415.247265548</v>
      </c>
      <c r="BC95" s="60" t="n">
        <f aca="false">BC55*(($I$16*'Timeline and FX'!BC12)+$J$16*Payroll!$C$36*MIN(MAX(($I$16*'Timeline and FX'!BC12),'Timeline and FX'!BC14),'Timeline and FX'!BC13))/'Timeline and FX'!BC8</f>
        <v>1404.7650496571</v>
      </c>
      <c r="BD95" s="60" t="n">
        <f aca="false">BD55*(($I$16*'Timeline and FX'!BD12)+$J$16*Payroll!$C$36*MIN(MAX(($I$16*'Timeline and FX'!BD12),'Timeline and FX'!BD14),'Timeline and FX'!BD13))/'Timeline and FX'!BD8</f>
        <v>1397.96040668919</v>
      </c>
      <c r="BE95" s="60" t="n">
        <f aca="false">BE55*(($I$16*'Timeline and FX'!BE12)+$J$16*Payroll!$C$36*MIN(MAX(($I$16*'Timeline and FX'!BE12),'Timeline and FX'!BE14),'Timeline and FX'!BE13))/'Timeline and FX'!BE8</f>
        <v>1391.18872522323</v>
      </c>
      <c r="BF95" s="60" t="n">
        <f aca="false">BF55*(($I$16*'Timeline and FX'!BF12)+$J$16*Payroll!$C$36*MIN(MAX(($I$16*'Timeline and FX'!BF12),'Timeline and FX'!BF14),'Timeline and FX'!BF13))/'Timeline and FX'!BF8</f>
        <v>1384.44984559462</v>
      </c>
      <c r="BG95" s="60" t="n">
        <f aca="false">BG55*(($I$16*'Timeline and FX'!BG12)+$J$16*Payroll!$C$36*MIN(MAX(($I$16*'Timeline and FX'!BG12),'Timeline and FX'!BG14),'Timeline and FX'!BG13))/'Timeline and FX'!BG8</f>
        <v>1377.74360891216</v>
      </c>
      <c r="BH95" s="60" t="n">
        <f aca="false">BH55*(($I$16*'Timeline and FX'!BH12)+$J$16*Payroll!$C$36*MIN(MAX(($I$16*'Timeline and FX'!BH12),'Timeline and FX'!BH14),'Timeline and FX'!BH13))/'Timeline and FX'!BH8</f>
        <v>1371.06985705433</v>
      </c>
      <c r="BI95" s="60" t="n">
        <f aca="false">BI55*(($I$16*'Timeline and FX'!BI12)+$J$16*Payroll!$C$36*MIN(MAX(($I$16*'Timeline and FX'!BI12),'Timeline and FX'!BI14),'Timeline and FX'!BI13))/'Timeline and FX'!BI8</f>
        <v>1364.42843266554</v>
      </c>
      <c r="BJ95" s="60" t="n">
        <f aca="false">BJ55*(($I$16*'Timeline and FX'!BJ12)+$J$16*Payroll!$C$36*MIN(MAX(($I$16*'Timeline and FX'!BJ12),'Timeline and FX'!BJ14),'Timeline and FX'!BJ13))/'Timeline and FX'!BJ8</f>
        <v>1357.81917915242</v>
      </c>
      <c r="BK95" s="60" t="n">
        <f aca="false">BK55*(($I$16*'Timeline and FX'!BK12)+$J$16*Payroll!$C$36*MIN(MAX(($I$16*'Timeline and FX'!BK12),'Timeline and FX'!BK14),'Timeline and FX'!BK13))/'Timeline and FX'!BK8</f>
        <v>1351.24194068015</v>
      </c>
      <c r="BL95" s="60" t="n">
        <f aca="false">BL55*(($I$16*'Timeline and FX'!BL12)+$J$16*Payroll!$C$36*MIN(MAX(($I$16*'Timeline and FX'!BL12),'Timeline and FX'!BL14),'Timeline and FX'!BL13))/'Timeline and FX'!BL8</f>
        <v>1344.69656216875</v>
      </c>
      <c r="BM95" s="60" t="n">
        <f aca="false">BM55*(($I$16*'Timeline and FX'!BM12)+$J$16*Payroll!$C$36*MIN(MAX(($I$16*'Timeline and FX'!BM12),'Timeline and FX'!BM14),'Timeline and FX'!BM13))/'Timeline and FX'!BM8</f>
        <v>1338.18288928946</v>
      </c>
      <c r="BN95" s="60" t="n">
        <f aca="false">BN55*(($I$16*'Timeline and FX'!BN12)+$J$16*Payroll!$C$36*MIN(MAX(($I$16*'Timeline and FX'!BN12),'Timeline and FX'!BN14),'Timeline and FX'!BN13))/'Timeline and FX'!BN8</f>
        <v>1331.70076846106</v>
      </c>
    </row>
    <row r="96" customFormat="false" ht="15" hidden="false" customHeight="false" outlineLevel="0" collapsed="false">
      <c r="A96" s="4" t="s">
        <v>846</v>
      </c>
      <c r="B96" s="59" t="n">
        <f aca="false">SUM(C96:N96)</f>
        <v>5672.52626032111</v>
      </c>
      <c r="C96" s="60" t="n">
        <f aca="false">C56*(($I$17*'Timeline and FX'!C12)+$J$17*Payroll!$C$36*MIN(MAX(($I$17*'Timeline and FX'!C12),'Timeline and FX'!C14),'Timeline and FX'!C13))/'Timeline and FX'!C8</f>
        <v>485.436893203883</v>
      </c>
      <c r="D96" s="60" t="n">
        <f aca="false">D56*(($I$17*'Timeline and FX'!D12)+$J$17*Payroll!$C$36*MIN(MAX(($I$17*'Timeline and FX'!D12),'Timeline and FX'!D14),'Timeline and FX'!D13))/'Timeline and FX'!D8</f>
        <v>483.085450346938</v>
      </c>
      <c r="E96" s="60" t="n">
        <f aca="false">E56*(($I$17*'Timeline and FX'!E12)+$J$17*Payroll!$C$36*MIN(MAX(($I$17*'Timeline and FX'!E12),'Timeline and FX'!E14),'Timeline and FX'!E13))/'Timeline and FX'!E8</f>
        <v>480.745397814023</v>
      </c>
      <c r="F96" s="60" t="n">
        <f aca="false">F56*(($I$17*'Timeline and FX'!F12)+$J$17*Payroll!$C$36*MIN(MAX(($I$17*'Timeline and FX'!F12),'Timeline and FX'!F14),'Timeline and FX'!F13))/'Timeline and FX'!F8</f>
        <v>478.416680430722</v>
      </c>
      <c r="G96" s="60" t="n">
        <f aca="false">G56*(($I$17*'Timeline and FX'!G12)+$J$17*Payroll!$C$36*MIN(MAX(($I$17*'Timeline and FX'!G12),'Timeline and FX'!G14),'Timeline and FX'!G13))/'Timeline and FX'!G8</f>
        <v>476.099243289887</v>
      </c>
      <c r="H96" s="60" t="n">
        <f aca="false">H56*(($I$17*'Timeline and FX'!H12)+$J$17*Payroll!$C$36*MIN(MAX(($I$17*'Timeline and FX'!H12),'Timeline and FX'!H14),'Timeline and FX'!H13))/'Timeline and FX'!H8</f>
        <v>473.793031750335</v>
      </c>
      <c r="I96" s="60" t="n">
        <f aca="false">I56*(($I$17*'Timeline and FX'!I12)+$J$17*Payroll!$C$36*MIN(MAX(($I$17*'Timeline and FX'!I12),'Timeline and FX'!I14),'Timeline and FX'!I13))/'Timeline and FX'!I8</f>
        <v>471.497991435565</v>
      </c>
      <c r="J96" s="60" t="n">
        <f aca="false">J56*(($I$17*'Timeline and FX'!J12)+$J$17*Payroll!$C$36*MIN(MAX(($I$17*'Timeline and FX'!J12),'Timeline and FX'!J14),'Timeline and FX'!J13))/'Timeline and FX'!J8</f>
        <v>469.214068232473</v>
      </c>
      <c r="K96" s="60" t="n">
        <f aca="false">K56*(($I$17*'Timeline and FX'!K12)+$J$17*Payroll!$C$36*MIN(MAX(($I$17*'Timeline and FX'!K12),'Timeline and FX'!K14),'Timeline and FX'!K13))/'Timeline and FX'!K8</f>
        <v>466.941208290079</v>
      </c>
      <c r="L96" s="60" t="n">
        <f aca="false">L56*(($I$17*'Timeline and FX'!L12)+$J$17*Payroll!$C$36*MIN(MAX(($I$17*'Timeline and FX'!L12),'Timeline and FX'!L14),'Timeline and FX'!L13))/'Timeline and FX'!L8</f>
        <v>464.679358018254</v>
      </c>
      <c r="M96" s="60" t="n">
        <f aca="false">M56*(($I$17*'Timeline and FX'!M12)+$J$17*Payroll!$C$36*MIN(MAX(($I$17*'Timeline and FX'!M12),'Timeline and FX'!M14),'Timeline and FX'!M13))/'Timeline and FX'!M8</f>
        <v>462.428464086459</v>
      </c>
      <c r="N96" s="60" t="n">
        <f aca="false">N56*(($I$17*'Timeline and FX'!N12)+$J$17*Payroll!$C$36*MIN(MAX(($I$17*'Timeline and FX'!N12),'Timeline and FX'!N14),'Timeline and FX'!N13))/'Timeline and FX'!N8</f>
        <v>460.188473422487</v>
      </c>
      <c r="O96" s="59" t="n">
        <f aca="false">SUM(P96:AA96)</f>
        <v>5993.61265241476</v>
      </c>
      <c r="P96" s="60" t="n">
        <f aca="false">P56*(($I$17*'Timeline and FX'!P12)+$J$17*Payroll!$C$36*MIN(MAX(($I$17*'Timeline and FX'!P12),'Timeline and FX'!P14),'Timeline and FX'!P13))/'Timeline and FX'!P8</f>
        <v>512.914453196556</v>
      </c>
      <c r="Q96" s="60" t="n">
        <f aca="false">Q56*(($I$17*'Timeline and FX'!Q12)+$J$17*Payroll!$C$36*MIN(MAX(($I$17*'Timeline and FX'!Q12),'Timeline and FX'!Q14),'Timeline and FX'!Q13))/'Timeline and FX'!Q8</f>
        <v>510.429909800539</v>
      </c>
      <c r="R96" s="60" t="n">
        <f aca="false">R56*(($I$17*'Timeline and FX'!R12)+$J$17*Payroll!$C$36*MIN(MAX(($I$17*'Timeline and FX'!R12),'Timeline and FX'!R14),'Timeline and FX'!R13))/'Timeline and FX'!R8</f>
        <v>507.957401463873</v>
      </c>
      <c r="S96" s="60" t="n">
        <f aca="false">S56*(($I$17*'Timeline and FX'!S12)+$J$17*Payroll!$C$36*MIN(MAX(($I$17*'Timeline and FX'!S12),'Timeline and FX'!S14),'Timeline and FX'!S13))/'Timeline and FX'!S8</f>
        <v>505.496869889065</v>
      </c>
      <c r="T96" s="60" t="n">
        <f aca="false">T56*(($I$17*'Timeline and FX'!T12)+$J$17*Payroll!$C$36*MIN(MAX(($I$17*'Timeline and FX'!T12),'Timeline and FX'!T14),'Timeline and FX'!T13))/'Timeline and FX'!T8</f>
        <v>503.048257061013</v>
      </c>
      <c r="U96" s="60" t="n">
        <f aca="false">U56*(($I$17*'Timeline and FX'!U12)+$J$17*Payroll!$C$36*MIN(MAX(($I$17*'Timeline and FX'!U12),'Timeline and FX'!U14),'Timeline and FX'!U13))/'Timeline and FX'!U8</f>
        <v>500.611505245638</v>
      </c>
      <c r="V96" s="60" t="n">
        <f aca="false">V56*(($I$17*'Timeline and FX'!V12)+$J$17*Payroll!$C$36*MIN(MAX(($I$17*'Timeline and FX'!V12),'Timeline and FX'!V14),'Timeline and FX'!V13))/'Timeline and FX'!V8</f>
        <v>498.186556988522</v>
      </c>
      <c r="W96" s="60" t="n">
        <f aca="false">W56*(($I$17*'Timeline and FX'!W12)+$J$17*Payroll!$C$36*MIN(MAX(($I$17*'Timeline and FX'!W12),'Timeline and FX'!W14),'Timeline and FX'!W13))/'Timeline and FX'!W8</f>
        <v>495.773355113557</v>
      </c>
      <c r="X96" s="60" t="n">
        <f aca="false">X56*(($I$17*'Timeline and FX'!X12)+$J$17*Payroll!$C$36*MIN(MAX(($I$17*'Timeline and FX'!X12),'Timeline and FX'!X14),'Timeline and FX'!X13))/'Timeline and FX'!X8</f>
        <v>493.371842721593</v>
      </c>
      <c r="Y96" s="60" t="n">
        <f aca="false">Y56*(($I$17*'Timeline and FX'!Y12)+$J$17*Payroll!$C$36*MIN(MAX(($I$17*'Timeline and FX'!Y12),'Timeline and FX'!Y14),'Timeline and FX'!Y13))/'Timeline and FX'!Y8</f>
        <v>490.981963189099</v>
      </c>
      <c r="Z96" s="60" t="n">
        <f aca="false">Z56*(($I$17*'Timeline and FX'!Z12)+$J$17*Payroll!$C$36*MIN(MAX(($I$17*'Timeline and FX'!Z12),'Timeline and FX'!Z14),'Timeline and FX'!Z13))/'Timeline and FX'!Z8</f>
        <v>488.603660166825</v>
      </c>
      <c r="AA96" s="60" t="n">
        <f aca="false">AA56*(($I$17*'Timeline and FX'!AA12)+$J$17*Payroll!$C$36*MIN(MAX(($I$17*'Timeline and FX'!AA12),'Timeline and FX'!AA14),'Timeline and FX'!AA13))/'Timeline and FX'!AA8</f>
        <v>486.236877578477</v>
      </c>
      <c r="AB96" s="59" t="n">
        <f aca="false">SUM(AC96:AN96)</f>
        <v>12665.7474918953</v>
      </c>
      <c r="AC96" s="60" t="n">
        <f aca="false">AC56*(($I$17*'Timeline and FX'!AC12)+$J$17*Payroll!$C$36*MIN(MAX(($I$17*'Timeline and FX'!AC12),'Timeline and FX'!AC14),'Timeline and FX'!AC13))/'Timeline and FX'!AC8</f>
        <v>1083.89469354744</v>
      </c>
      <c r="AD96" s="60" t="n">
        <f aca="false">AD56*(($I$17*'Timeline and FX'!AD12)+$J$17*Payroll!$C$36*MIN(MAX(($I$17*'Timeline and FX'!AD12),'Timeline and FX'!AD14),'Timeline and FX'!AD13))/'Timeline and FX'!AD8</f>
        <v>1078.6443376917</v>
      </c>
      <c r="AE96" s="60" t="n">
        <f aca="false">AE56*(($I$17*'Timeline and FX'!AE12)+$J$17*Payroll!$C$36*MIN(MAX(($I$17*'Timeline and FX'!AE12),'Timeline and FX'!AE14),'Timeline and FX'!AE13))/'Timeline and FX'!AE8</f>
        <v>1073.41941441422</v>
      </c>
      <c r="AF96" s="60" t="n">
        <f aca="false">AF56*(($I$17*'Timeline and FX'!AF12)+$J$17*Payroll!$C$36*MIN(MAX(($I$17*'Timeline and FX'!AF12),'Timeline and FX'!AF14),'Timeline and FX'!AF13))/'Timeline and FX'!AF8</f>
        <v>1068.21980052029</v>
      </c>
      <c r="AG96" s="60" t="n">
        <f aca="false">AG56*(($I$17*'Timeline and FX'!AG12)+$J$17*Payroll!$C$36*MIN(MAX(($I$17*'Timeline and FX'!AG12),'Timeline and FX'!AG14),'Timeline and FX'!AG13))/'Timeline and FX'!AG8</f>
        <v>1063.04537341195</v>
      </c>
      <c r="AH96" s="60" t="n">
        <f aca="false">AH56*(($I$17*'Timeline and FX'!AH12)+$J$17*Payroll!$C$36*MIN(MAX(($I$17*'Timeline and FX'!AH12),'Timeline and FX'!AH14),'Timeline and FX'!AH13))/'Timeline and FX'!AH8</f>
        <v>1057.89601108512</v>
      </c>
      <c r="AI96" s="60" t="n">
        <f aca="false">AI56*(($I$17*'Timeline and FX'!AI12)+$J$17*Payroll!$C$36*MIN(MAX(($I$17*'Timeline and FX'!AI12),'Timeline and FX'!AI14),'Timeline and FX'!AI13))/'Timeline and FX'!AI8</f>
        <v>1052.77159212669</v>
      </c>
      <c r="AJ96" s="60" t="n">
        <f aca="false">AJ56*(($I$17*'Timeline and FX'!AJ12)+$J$17*Payroll!$C$36*MIN(MAX(($I$17*'Timeline and FX'!AJ12),'Timeline and FX'!AJ14),'Timeline and FX'!AJ13))/'Timeline and FX'!AJ8</f>
        <v>1047.67199571167</v>
      </c>
      <c r="AK96" s="60" t="n">
        <f aca="false">AK56*(($I$17*'Timeline and FX'!AK12)+$J$17*Payroll!$C$36*MIN(MAX(($I$17*'Timeline and FX'!AK12),'Timeline and FX'!AK14),'Timeline and FX'!AK13))/'Timeline and FX'!AK8</f>
        <v>1042.59710160035</v>
      </c>
      <c r="AL96" s="60" t="n">
        <f aca="false">AL56*(($I$17*'Timeline and FX'!AL12)+$J$17*Payroll!$C$36*MIN(MAX(($I$17*'Timeline and FX'!AL12),'Timeline and FX'!AL14),'Timeline and FX'!AL13))/'Timeline and FX'!AL8</f>
        <v>1037.54679013545</v>
      </c>
      <c r="AM96" s="60" t="n">
        <f aca="false">AM56*(($I$17*'Timeline and FX'!AM12)+$J$17*Payroll!$C$36*MIN(MAX(($I$17*'Timeline and FX'!AM12),'Timeline and FX'!AM14),'Timeline and FX'!AM13))/'Timeline and FX'!AM8</f>
        <v>1032.52094223933</v>
      </c>
      <c r="AN96" s="60" t="n">
        <f aca="false">AN56*(($I$17*'Timeline and FX'!AN12)+$J$17*Payroll!$C$36*MIN(MAX(($I$17*'Timeline and FX'!AN12),'Timeline and FX'!AN14),'Timeline and FX'!AN13))/'Timeline and FX'!AN8</f>
        <v>1027.51943941112</v>
      </c>
      <c r="AO96" s="59" t="n">
        <f aca="false">SUM(AP96:BA96)</f>
        <v>13382.6765952102</v>
      </c>
      <c r="AP96" s="60" t="n">
        <f aca="false">AP56*(($I$17*'Timeline and FX'!AP12)+$J$17*Payroll!$C$36*MIN(MAX(($I$17*'Timeline and FX'!AP12),'Timeline and FX'!AP14),'Timeline and FX'!AP13))/'Timeline and FX'!AP8</f>
        <v>1145.24722337088</v>
      </c>
      <c r="AQ96" s="60" t="n">
        <f aca="false">AQ56*(($I$17*'Timeline and FX'!AQ12)+$J$17*Payroll!$C$36*MIN(MAX(($I$17*'Timeline and FX'!AQ12),'Timeline and FX'!AQ14),'Timeline and FX'!AQ13))/'Timeline and FX'!AQ8</f>
        <v>1139.69967756105</v>
      </c>
      <c r="AR96" s="60" t="n">
        <f aca="false">AR56*(($I$17*'Timeline and FX'!AR12)+$J$17*Payroll!$C$36*MIN(MAX(($I$17*'Timeline and FX'!AR12),'Timeline and FX'!AR14),'Timeline and FX'!AR13))/'Timeline and FX'!AR8</f>
        <v>1134.17900390937</v>
      </c>
      <c r="AS96" s="60" t="n">
        <f aca="false">AS56*(($I$17*'Timeline and FX'!AS12)+$J$17*Payroll!$C$36*MIN(MAX(($I$17*'Timeline and FX'!AS12),'Timeline and FX'!AS14),'Timeline and FX'!AS13))/'Timeline and FX'!AS8</f>
        <v>1128.68507224785</v>
      </c>
      <c r="AT96" s="60" t="n">
        <f aca="false">AT56*(($I$17*'Timeline and FX'!AT12)+$J$17*Payroll!$C$36*MIN(MAX(($I$17*'Timeline and FX'!AT12),'Timeline and FX'!AT14),'Timeline and FX'!AT13))/'Timeline and FX'!AT8</f>
        <v>1123.21775303904</v>
      </c>
      <c r="AU96" s="60" t="n">
        <f aca="false">AU56*(($I$17*'Timeline and FX'!AU12)+$J$17*Payroll!$C$36*MIN(MAX(($I$17*'Timeline and FX'!AU12),'Timeline and FX'!AU14),'Timeline and FX'!AU13))/'Timeline and FX'!AU8</f>
        <v>1117.77691737296</v>
      </c>
      <c r="AV96" s="60" t="n">
        <f aca="false">AV56*(($I$17*'Timeline and FX'!AV12)+$J$17*Payroll!$C$36*MIN(MAX(($I$17*'Timeline and FX'!AV12),'Timeline and FX'!AV14),'Timeline and FX'!AV13))/'Timeline and FX'!AV8</f>
        <v>1112.36243696405</v>
      </c>
      <c r="AW96" s="60" t="n">
        <f aca="false">AW56*(($I$17*'Timeline and FX'!AW12)+$J$17*Payroll!$C$36*MIN(MAX(($I$17*'Timeline and FX'!AW12),'Timeline and FX'!AW14),'Timeline and FX'!AW13))/'Timeline and FX'!AW8</f>
        <v>1106.97418414818</v>
      </c>
      <c r="AX96" s="60" t="n">
        <f aca="false">AX56*(($I$17*'Timeline and FX'!AX12)+$J$17*Payroll!$C$36*MIN(MAX(($I$17*'Timeline and FX'!AX12),'Timeline and FX'!AX14),'Timeline and FX'!AX13))/'Timeline and FX'!AX8</f>
        <v>1101.61203187961</v>
      </c>
      <c r="AY96" s="60" t="n">
        <f aca="false">AY56*(($I$17*'Timeline and FX'!AY12)+$J$17*Payroll!$C$36*MIN(MAX(($I$17*'Timeline and FX'!AY12),'Timeline and FX'!AY14),'Timeline and FX'!AY13))/'Timeline and FX'!AY8</f>
        <v>1096.27585372803</v>
      </c>
      <c r="AZ96" s="60" t="n">
        <f aca="false">AZ56*(($I$17*'Timeline and FX'!AZ12)+$J$17*Payroll!$C$36*MIN(MAX(($I$17*'Timeline and FX'!AZ12),'Timeline and FX'!AZ14),'Timeline and FX'!AZ13))/'Timeline and FX'!AZ8</f>
        <v>1090.96552387552</v>
      </c>
      <c r="BA96" s="60" t="n">
        <f aca="false">BA56*(($I$17*'Timeline and FX'!BA12)+$J$17*Payroll!$C$36*MIN(MAX(($I$17*'Timeline and FX'!BA12),'Timeline and FX'!BA14),'Timeline and FX'!BA13))/'Timeline and FX'!BA8</f>
        <v>1085.68091711364</v>
      </c>
      <c r="BB96" s="59" t="n">
        <f aca="false">SUM(BC96:BN96)</f>
        <v>21210.2798867482</v>
      </c>
      <c r="BC96" s="60" t="n">
        <f aca="false">BC56*(($I$17*'Timeline and FX'!BC12)+$J$17*Payroll!$C$36*MIN(MAX(($I$17*'Timeline and FX'!BC12),'Timeline and FX'!BC14),'Timeline and FX'!BC13))/'Timeline and FX'!BC8</f>
        <v>1815.10880685196</v>
      </c>
      <c r="BD96" s="60" t="n">
        <f aca="false">BD56*(($I$17*'Timeline and FX'!BD12)+$J$17*Payroll!$C$36*MIN(MAX(($I$17*'Timeline and FX'!BD12),'Timeline and FX'!BD14),'Timeline and FX'!BD13))/'Timeline and FX'!BD8</f>
        <v>1806.31647009675</v>
      </c>
      <c r="BE96" s="60" t="n">
        <f aca="false">BE56*(($I$17*'Timeline and FX'!BE12)+$J$17*Payroll!$C$36*MIN(MAX(($I$17*'Timeline and FX'!BE12),'Timeline and FX'!BE14),'Timeline and FX'!BE13))/'Timeline and FX'!BE8</f>
        <v>1797.56672317711</v>
      </c>
      <c r="BF96" s="60" t="n">
        <f aca="false">BF56*(($I$17*'Timeline and FX'!BF12)+$J$17*Payroll!$C$36*MIN(MAX(($I$17*'Timeline and FX'!BF12),'Timeline and FX'!BF14),'Timeline and FX'!BF13))/'Timeline and FX'!BF8</f>
        <v>1788.85935978905</v>
      </c>
      <c r="BG96" s="60" t="n">
        <f aca="false">BG56*(($I$17*'Timeline and FX'!BG12)+$J$17*Payroll!$C$36*MIN(MAX(($I$17*'Timeline and FX'!BG12),'Timeline and FX'!BG14),'Timeline and FX'!BG13))/'Timeline and FX'!BG8</f>
        <v>1780.19417462792</v>
      </c>
      <c r="BH96" s="60" t="n">
        <f aca="false">BH56*(($I$17*'Timeline and FX'!BH12)+$J$17*Payroll!$C$36*MIN(MAX(($I$17*'Timeline and FX'!BH12),'Timeline and FX'!BH14),'Timeline and FX'!BH13))/'Timeline and FX'!BH8</f>
        <v>1771.57096338356</v>
      </c>
      <c r="BI96" s="60" t="n">
        <f aca="false">BI56*(($I$17*'Timeline and FX'!BI12)+$J$17*Payroll!$C$36*MIN(MAX(($I$17*'Timeline and FX'!BI12),'Timeline and FX'!BI14),'Timeline and FX'!BI13))/'Timeline and FX'!BI8</f>
        <v>1762.98952273547</v>
      </c>
      <c r="BJ96" s="60" t="n">
        <f aca="false">BJ56*(($I$17*'Timeline and FX'!BJ12)+$J$17*Payroll!$C$36*MIN(MAX(($I$17*'Timeline and FX'!BJ12),'Timeline and FX'!BJ14),'Timeline and FX'!BJ13))/'Timeline and FX'!BJ8</f>
        <v>1754.44965034805</v>
      </c>
      <c r="BK96" s="60" t="n">
        <f aca="false">BK56*(($I$17*'Timeline and FX'!BK12)+$J$17*Payroll!$C$36*MIN(MAX(($I$17*'Timeline and FX'!BK12),'Timeline and FX'!BK14),'Timeline and FX'!BK13))/'Timeline and FX'!BK8</f>
        <v>1745.9511448658</v>
      </c>
      <c r="BL96" s="60" t="n">
        <f aca="false">BL56*(($I$17*'Timeline and FX'!BL12)+$J$17*Payroll!$C$36*MIN(MAX(($I$17*'Timeline and FX'!BL12),'Timeline and FX'!BL14),'Timeline and FX'!BL13))/'Timeline and FX'!BL8</f>
        <v>1737.49380590857</v>
      </c>
      <c r="BM96" s="60" t="n">
        <f aca="false">BM56*(($I$17*'Timeline and FX'!BM12)+$J$17*Payroll!$C$36*MIN(MAX(($I$17*'Timeline and FX'!BM12),'Timeline and FX'!BM14),'Timeline and FX'!BM13))/'Timeline and FX'!BM8</f>
        <v>1729.07743406686</v>
      </c>
      <c r="BN96" s="60" t="n">
        <f aca="false">BN56*(($I$17*'Timeline and FX'!BN12)+$J$17*Payroll!$C$36*MIN(MAX(($I$17*'Timeline and FX'!BN12),'Timeline and FX'!BN14),'Timeline and FX'!BN13))/'Timeline and FX'!BN8</f>
        <v>1720.70183089709</v>
      </c>
    </row>
    <row r="97" customFormat="false" ht="15" hidden="false" customHeight="false" outlineLevel="0" collapsed="false">
      <c r="A97" s="4" t="s">
        <v>847</v>
      </c>
      <c r="B97" s="59" t="n">
        <f aca="false">SUM(C97:N97)</f>
        <v>0</v>
      </c>
      <c r="C97" s="60" t="n">
        <f aca="false">C57*(($I$18*'Timeline and FX'!C12)+$J$18*Payroll!$C$36*MIN(MAX(($I$18*'Timeline and FX'!C12),'Timeline and FX'!C14),'Timeline and FX'!C13))/'Timeline and FX'!C8</f>
        <v>0</v>
      </c>
      <c r="D97" s="60" t="n">
        <f aca="false">D57*(($I$18*'Timeline and FX'!D12)+$J$18*Payroll!$C$36*MIN(MAX(($I$18*'Timeline and FX'!D12),'Timeline and FX'!D14),'Timeline and FX'!D13))/'Timeline and FX'!D8</f>
        <v>0</v>
      </c>
      <c r="E97" s="60" t="n">
        <f aca="false">E57*(($I$18*'Timeline and FX'!E12)+$J$18*Payroll!$C$36*MIN(MAX(($I$18*'Timeline and FX'!E12),'Timeline and FX'!E14),'Timeline and FX'!E13))/'Timeline and FX'!E8</f>
        <v>0</v>
      </c>
      <c r="F97" s="60" t="n">
        <f aca="false">F57*(($I$18*'Timeline and FX'!F12)+$J$18*Payroll!$C$36*MIN(MAX(($I$18*'Timeline and FX'!F12),'Timeline and FX'!F14),'Timeline and FX'!F13))/'Timeline and FX'!F8</f>
        <v>0</v>
      </c>
      <c r="G97" s="60" t="n">
        <f aca="false">G57*(($I$18*'Timeline and FX'!G12)+$J$18*Payroll!$C$36*MIN(MAX(($I$18*'Timeline and FX'!G12),'Timeline and FX'!G14),'Timeline and FX'!G13))/'Timeline and FX'!G8</f>
        <v>0</v>
      </c>
      <c r="H97" s="60" t="n">
        <f aca="false">H57*(($I$18*'Timeline and FX'!H12)+$J$18*Payroll!$C$36*MIN(MAX(($I$18*'Timeline and FX'!H12),'Timeline and FX'!H14),'Timeline and FX'!H13))/'Timeline and FX'!H8</f>
        <v>0</v>
      </c>
      <c r="I97" s="60" t="n">
        <f aca="false">I57*(($I$18*'Timeline and FX'!I12)+$J$18*Payroll!$C$36*MIN(MAX(($I$18*'Timeline and FX'!I12),'Timeline and FX'!I14),'Timeline and FX'!I13))/'Timeline and FX'!I8</f>
        <v>0</v>
      </c>
      <c r="J97" s="60" t="n">
        <f aca="false">J57*(($I$18*'Timeline and FX'!J12)+$J$18*Payroll!$C$36*MIN(MAX(($I$18*'Timeline and FX'!J12),'Timeline and FX'!J14),'Timeline and FX'!J13))/'Timeline and FX'!J8</f>
        <v>0</v>
      </c>
      <c r="K97" s="60" t="n">
        <f aca="false">K57*(($I$18*'Timeline and FX'!K12)+$J$18*Payroll!$C$36*MIN(MAX(($I$18*'Timeline and FX'!K12),'Timeline and FX'!K14),'Timeline and FX'!K13))/'Timeline and FX'!K8</f>
        <v>0</v>
      </c>
      <c r="L97" s="60" t="n">
        <f aca="false">L57*(($I$18*'Timeline and FX'!L12)+$J$18*Payroll!$C$36*MIN(MAX(($I$18*'Timeline and FX'!L12),'Timeline and FX'!L14),'Timeline and FX'!L13))/'Timeline and FX'!L8</f>
        <v>0</v>
      </c>
      <c r="M97" s="60" t="n">
        <f aca="false">M57*(($I$18*'Timeline and FX'!M12)+$J$18*Payroll!$C$36*MIN(MAX(($I$18*'Timeline and FX'!M12),'Timeline and FX'!M14),'Timeline and FX'!M13))/'Timeline and FX'!M8</f>
        <v>0</v>
      </c>
      <c r="N97" s="60" t="n">
        <f aca="false">N57*(($I$18*'Timeline and FX'!N12)+$J$18*Payroll!$C$36*MIN(MAX(($I$18*'Timeline and FX'!N12),'Timeline and FX'!N14),'Timeline and FX'!N13))/'Timeline and FX'!N8</f>
        <v>0</v>
      </c>
      <c r="O97" s="59" t="n">
        <f aca="false">SUM(P97:AA97)</f>
        <v>11679.3168334114</v>
      </c>
      <c r="P97" s="60" t="n">
        <f aca="false">P57*(($I$18*'Timeline and FX'!P12)+$J$18*Payroll!$C$36*MIN(MAX(($I$18*'Timeline and FX'!P12),'Timeline and FX'!P14),'Timeline and FX'!P13))/'Timeline and FX'!P8</f>
        <v>999.479071258472</v>
      </c>
      <c r="Q97" s="60" t="n">
        <f aca="false">Q57*(($I$18*'Timeline and FX'!Q12)+$J$18*Payroll!$C$36*MIN(MAX(($I$18*'Timeline and FX'!Q12),'Timeline and FX'!Q14),'Timeline and FX'!Q13))/'Timeline and FX'!Q8</f>
        <v>994.637622337552</v>
      </c>
      <c r="R97" s="60" t="n">
        <f aca="false">R57*(($I$18*'Timeline and FX'!R12)+$J$18*Payroll!$C$36*MIN(MAX(($I$18*'Timeline and FX'!R12),'Timeline and FX'!R14),'Timeline and FX'!R13))/'Timeline and FX'!R8</f>
        <v>989.819625261025</v>
      </c>
      <c r="S97" s="60" t="n">
        <f aca="false">S57*(($I$18*'Timeline and FX'!S12)+$J$18*Payroll!$C$36*MIN(MAX(($I$18*'Timeline and FX'!S12),'Timeline and FX'!S14),'Timeline and FX'!S13))/'Timeline and FX'!S8</f>
        <v>985.024966428807</v>
      </c>
      <c r="T97" s="60" t="n">
        <f aca="false">T57*(($I$18*'Timeline and FX'!T12)+$J$18*Payroll!$C$36*MIN(MAX(($I$18*'Timeline and FX'!T12),'Timeline and FX'!T14),'Timeline and FX'!T13))/'Timeline and FX'!T8</f>
        <v>980.253532791091</v>
      </c>
      <c r="U97" s="60" t="n">
        <f aca="false">U57*(($I$18*'Timeline and FX'!U12)+$J$18*Payroll!$C$36*MIN(MAX(($I$18*'Timeline and FX'!U12),'Timeline and FX'!U14),'Timeline and FX'!U13))/'Timeline and FX'!U8</f>
        <v>975.505211845676</v>
      </c>
      <c r="V97" s="60" t="n">
        <f aca="false">V57*(($I$18*'Timeline and FX'!V12)+$J$18*Payroll!$C$36*MIN(MAX(($I$18*'Timeline and FX'!V12),'Timeline and FX'!V14),'Timeline and FX'!V13))/'Timeline and FX'!V8</f>
        <v>970.779891635323</v>
      </c>
      <c r="W97" s="60" t="n">
        <f aca="false">W57*(($I$18*'Timeline and FX'!W12)+$J$18*Payroll!$C$36*MIN(MAX(($I$18*'Timeline and FX'!W12),'Timeline and FX'!W14),'Timeline and FX'!W13))/'Timeline and FX'!W8</f>
        <v>966.077460745108</v>
      </c>
      <c r="X97" s="60" t="n">
        <f aca="false">X57*(($I$18*'Timeline and FX'!X12)+$J$18*Payroll!$C$36*MIN(MAX(($I$18*'Timeline and FX'!X12),'Timeline and FX'!X14),'Timeline and FX'!X13))/'Timeline and FX'!X8</f>
        <v>961.397808299799</v>
      </c>
      <c r="Y97" s="60" t="n">
        <f aca="false">Y57*(($I$18*'Timeline and FX'!Y12)+$J$18*Payroll!$C$36*MIN(MAX(($I$18*'Timeline and FX'!Y12),'Timeline and FX'!Y14),'Timeline and FX'!Y13))/'Timeline and FX'!Y8</f>
        <v>956.740823961239</v>
      </c>
      <c r="Z97" s="60" t="n">
        <f aca="false">Z57*(($I$18*'Timeline and FX'!Z12)+$J$18*Payroll!$C$36*MIN(MAX(($I$18*'Timeline and FX'!Z12),'Timeline and FX'!Z14),'Timeline and FX'!Z13))/'Timeline and FX'!Z8</f>
        <v>952.106397925749</v>
      </c>
      <c r="AA97" s="60" t="n">
        <f aca="false">AA57*(($I$18*'Timeline and FX'!AA12)+$J$18*Payroll!$C$36*MIN(MAX(($I$18*'Timeline and FX'!AA12),'Timeline and FX'!AA14),'Timeline and FX'!AA13))/'Timeline and FX'!AA8</f>
        <v>947.494420921533</v>
      </c>
      <c r="AB97" s="59" t="n">
        <f aca="false">SUM(AC97:AN97)</f>
        <v>12365.6219577289</v>
      </c>
      <c r="AC97" s="60" t="n">
        <f aca="false">AC57*(($I$18*'Timeline and FX'!AC12)+$J$18*Payroll!$C$36*MIN(MAX(($I$18*'Timeline and FX'!AC12),'Timeline and FX'!AC14),'Timeline and FX'!AC13))/'Timeline and FX'!AC8</f>
        <v>1058.21089761757</v>
      </c>
      <c r="AD97" s="60" t="n">
        <f aca="false">AD57*(($I$18*'Timeline and FX'!AD12)+$J$18*Payroll!$C$36*MIN(MAX(($I$18*'Timeline and FX'!AD12),'Timeline and FX'!AD14),'Timeline and FX'!AD13))/'Timeline and FX'!AD8</f>
        <v>1053.08495335751</v>
      </c>
      <c r="AE97" s="60" t="n">
        <f aca="false">AE57*(($I$18*'Timeline and FX'!AE12)+$J$18*Payroll!$C$36*MIN(MAX(($I$18*'Timeline and FX'!AE12),'Timeline and FX'!AE14),'Timeline and FX'!AE13))/'Timeline and FX'!AE8</f>
        <v>1047.98383902937</v>
      </c>
      <c r="AF97" s="60" t="n">
        <f aca="false">AF57*(($I$18*'Timeline and FX'!AF12)+$J$18*Payroll!$C$36*MIN(MAX(($I$18*'Timeline and FX'!AF12),'Timeline and FX'!AF14),'Timeline and FX'!AF13))/'Timeline and FX'!AF8</f>
        <v>1042.90743435766</v>
      </c>
      <c r="AG97" s="60" t="n">
        <f aca="false">AG57*(($I$18*'Timeline and FX'!AG12)+$J$18*Payroll!$C$36*MIN(MAX(($I$18*'Timeline and FX'!AG12),'Timeline and FX'!AG14),'Timeline and FX'!AG13))/'Timeline and FX'!AG8</f>
        <v>1037.85561964949</v>
      </c>
      <c r="AH97" s="60" t="n">
        <f aca="false">AH57*(($I$18*'Timeline and FX'!AH12)+$J$18*Payroll!$C$36*MIN(MAX(($I$18*'Timeline and FX'!AH12),'Timeline and FX'!AH14),'Timeline and FX'!AH13))/'Timeline and FX'!AH8</f>
        <v>1032.82827579176</v>
      </c>
      <c r="AI97" s="60" t="n">
        <f aca="false">AI57*(($I$18*'Timeline and FX'!AI12)+$J$18*Payroll!$C$36*MIN(MAX(($I$18*'Timeline and FX'!AI12),'Timeline and FX'!AI14),'Timeline and FX'!AI13))/'Timeline and FX'!AI8</f>
        <v>1027.82528424834</v>
      </c>
      <c r="AJ97" s="60" t="n">
        <f aca="false">AJ57*(($I$18*'Timeline and FX'!AJ12)+$J$18*Payroll!$C$36*MIN(MAX(($I$18*'Timeline and FX'!AJ12),'Timeline and FX'!AJ14),'Timeline and FX'!AJ13))/'Timeline and FX'!AJ8</f>
        <v>1022.8465270573</v>
      </c>
      <c r="AK97" s="60" t="n">
        <f aca="false">AK57*(($I$18*'Timeline and FX'!AK12)+$J$18*Payroll!$C$36*MIN(MAX(($I$18*'Timeline and FX'!AK12),'Timeline and FX'!AK14),'Timeline and FX'!AK13))/'Timeline and FX'!AK8</f>
        <v>1017.89188682812</v>
      </c>
      <c r="AL97" s="60" t="n">
        <f aca="false">AL57*(($I$18*'Timeline and FX'!AL12)+$J$18*Payroll!$C$36*MIN(MAX(($I$18*'Timeline and FX'!AL12),'Timeline and FX'!AL14),'Timeline and FX'!AL13))/'Timeline and FX'!AL8</f>
        <v>1012.96124673888</v>
      </c>
      <c r="AM97" s="60" t="n">
        <f aca="false">AM57*(($I$18*'Timeline and FX'!AM12)+$J$18*Payroll!$C$36*MIN(MAX(($I$18*'Timeline and FX'!AM12),'Timeline and FX'!AM14),'Timeline and FX'!AM13))/'Timeline and FX'!AM8</f>
        <v>1008.05449053359</v>
      </c>
      <c r="AN97" s="60" t="n">
        <f aca="false">AN57*(($I$18*'Timeline and FX'!AN12)+$J$18*Payroll!$C$36*MIN(MAX(($I$18*'Timeline and FX'!AN12),'Timeline and FX'!AN14),'Timeline and FX'!AN13))/'Timeline and FX'!AN8</f>
        <v>1003.17150251936</v>
      </c>
      <c r="AO97" s="59" t="n">
        <f aca="false">SUM(AP97:BA97)</f>
        <v>26185.83031907</v>
      </c>
      <c r="AP97" s="60" t="n">
        <f aca="false">AP57*(($I$18*'Timeline and FX'!AP12)+$J$18*Payroll!$C$36*MIN(MAX(($I$18*'Timeline and FX'!AP12),'Timeline and FX'!AP14),'Timeline and FX'!AP13))/'Timeline and FX'!AP8</f>
        <v>2240.90070855553</v>
      </c>
      <c r="AQ97" s="60" t="n">
        <f aca="false">AQ57*(($I$18*'Timeline and FX'!AQ12)+$J$18*Payroll!$C$36*MIN(MAX(($I$18*'Timeline and FX'!AQ12),'Timeline and FX'!AQ14),'Timeline and FX'!AQ13))/'Timeline and FX'!AQ8</f>
        <v>2230.04584762916</v>
      </c>
      <c r="AR97" s="60" t="n">
        <f aca="false">AR57*(($I$18*'Timeline and FX'!AR12)+$J$18*Payroll!$C$36*MIN(MAX(($I$18*'Timeline and FX'!AR12),'Timeline and FX'!AR14),'Timeline and FX'!AR13))/'Timeline and FX'!AR8</f>
        <v>2219.24356734828</v>
      </c>
      <c r="AS97" s="60" t="n">
        <f aca="false">AS57*(($I$18*'Timeline and FX'!AS12)+$J$18*Payroll!$C$36*MIN(MAX(($I$18*'Timeline and FX'!AS12),'Timeline and FX'!AS14),'Timeline and FX'!AS13))/'Timeline and FX'!AS8</f>
        <v>2208.4936130137</v>
      </c>
      <c r="AT97" s="60" t="n">
        <f aca="false">AT57*(($I$18*'Timeline and FX'!AT12)+$J$18*Payroll!$C$36*MIN(MAX(($I$18*'Timeline and FX'!AT12),'Timeline and FX'!AT14),'Timeline and FX'!AT13))/'Timeline and FX'!AT8</f>
        <v>2197.79573115998</v>
      </c>
      <c r="AU97" s="60" t="n">
        <f aca="false">AU57*(($I$18*'Timeline and FX'!AU12)+$J$18*Payroll!$C$36*MIN(MAX(($I$18*'Timeline and FX'!AU12),'Timeline and FX'!AU14),'Timeline and FX'!AU13))/'Timeline and FX'!AU8</f>
        <v>2187.14966954948</v>
      </c>
      <c r="AV97" s="60" t="n">
        <f aca="false">AV57*(($I$18*'Timeline and FX'!AV12)+$J$18*Payroll!$C$36*MIN(MAX(($I$18*'Timeline and FX'!AV12),'Timeline and FX'!AV14),'Timeline and FX'!AV13))/'Timeline and FX'!AV8</f>
        <v>2176.55517716636</v>
      </c>
      <c r="AW97" s="60" t="n">
        <f aca="false">AW57*(($I$18*'Timeline and FX'!AW12)+$J$18*Payroll!$C$36*MIN(MAX(($I$18*'Timeline and FX'!AW12),'Timeline and FX'!AW14),'Timeline and FX'!AW13))/'Timeline and FX'!AW8</f>
        <v>2166.01200421072</v>
      </c>
      <c r="AX97" s="60" t="n">
        <f aca="false">AX57*(($I$18*'Timeline and FX'!AX12)+$J$18*Payroll!$C$36*MIN(MAX(($I$18*'Timeline and FX'!AX12),'Timeline and FX'!AX14),'Timeline and FX'!AX13))/'Timeline and FX'!AX8</f>
        <v>2155.51990209269</v>
      </c>
      <c r="AY97" s="60" t="n">
        <f aca="false">AY57*(($I$18*'Timeline and FX'!AY12)+$J$18*Payroll!$C$36*MIN(MAX(($I$18*'Timeline and FX'!AY12),'Timeline and FX'!AY14),'Timeline and FX'!AY13))/'Timeline and FX'!AY8</f>
        <v>2145.07862342652</v>
      </c>
      <c r="AZ97" s="60" t="n">
        <f aca="false">AZ57*(($I$18*'Timeline and FX'!AZ12)+$J$18*Payroll!$C$36*MIN(MAX(($I$18*'Timeline and FX'!AZ12),'Timeline and FX'!AZ14),'Timeline and FX'!AZ13))/'Timeline and FX'!AZ8</f>
        <v>2134.68792202484</v>
      </c>
      <c r="BA97" s="60" t="n">
        <f aca="false">BA57*(($I$18*'Timeline and FX'!BA12)+$J$18*Payroll!$C$36*MIN(MAX(($I$18*'Timeline and FX'!BA12),'Timeline and FX'!BA14),'Timeline and FX'!BA13))/'Timeline and FX'!BA8</f>
        <v>2124.34755289277</v>
      </c>
      <c r="BB97" s="59" t="n">
        <f aca="false">SUM(BC97:BN97)</f>
        <v>27727.3965384804</v>
      </c>
      <c r="BC97" s="60" t="n">
        <f aca="false">BC57*(($I$18*'Timeline and FX'!BC12)+$J$18*Payroll!$C$36*MIN(MAX(($I$18*'Timeline and FX'!BC12),'Timeline and FX'!BC14),'Timeline and FX'!BC13))/'Timeline and FX'!BC8</f>
        <v>2372.82307997814</v>
      </c>
      <c r="BD97" s="60" t="n">
        <f aca="false">BD57*(($I$18*'Timeline and FX'!BD12)+$J$18*Payroll!$C$36*MIN(MAX(($I$18*'Timeline and FX'!BD12),'Timeline and FX'!BD14),'Timeline and FX'!BD13))/'Timeline and FX'!BD8</f>
        <v>2361.32919074079</v>
      </c>
      <c r="BE97" s="60" t="n">
        <f aca="false">BE57*(($I$18*'Timeline and FX'!BE12)+$J$18*Payroll!$C$36*MIN(MAX(($I$18*'Timeline and FX'!BE12),'Timeline and FX'!BE14),'Timeline and FX'!BE13))/'Timeline and FX'!BE8</f>
        <v>2349.89097758435</v>
      </c>
      <c r="BF97" s="60" t="n">
        <f aca="false">BF57*(($I$18*'Timeline and FX'!BF12)+$J$18*Payroll!$C$36*MIN(MAX(($I$18*'Timeline and FX'!BF12),'Timeline and FX'!BF14),'Timeline and FX'!BF13))/'Timeline and FX'!BF8</f>
        <v>2338.50817081544</v>
      </c>
      <c r="BG97" s="60" t="n">
        <f aca="false">BG57*(($I$18*'Timeline and FX'!BG12)+$J$18*Payroll!$C$36*MIN(MAX(($I$18*'Timeline and FX'!BG12),'Timeline and FX'!BG14),'Timeline and FX'!BG13))/'Timeline and FX'!BG8</f>
        <v>2327.18050204705</v>
      </c>
      <c r="BH97" s="60" t="n">
        <f aca="false">BH57*(($I$18*'Timeline and FX'!BH12)+$J$18*Payroll!$C$36*MIN(MAX(($I$18*'Timeline and FX'!BH12),'Timeline and FX'!BH14),'Timeline and FX'!BH13))/'Timeline and FX'!BH8</f>
        <v>2315.90770419223</v>
      </c>
      <c r="BI97" s="60" t="n">
        <f aca="false">BI57*(($I$18*'Timeline and FX'!BI12)+$J$18*Payroll!$C$36*MIN(MAX(($I$18*'Timeline and FX'!BI12),'Timeline and FX'!BI14),'Timeline and FX'!BI13))/'Timeline and FX'!BI8</f>
        <v>2304.68951145779</v>
      </c>
      <c r="BJ97" s="60" t="n">
        <f aca="false">BJ57*(($I$18*'Timeline and FX'!BJ12)+$J$18*Payroll!$C$36*MIN(MAX(($I$18*'Timeline and FX'!BJ12),'Timeline and FX'!BJ14),'Timeline and FX'!BJ13))/'Timeline and FX'!BJ8</f>
        <v>2293.52565933805</v>
      </c>
      <c r="BK97" s="60" t="n">
        <f aca="false">BK57*(($I$18*'Timeline and FX'!BK12)+$J$18*Payroll!$C$36*MIN(MAX(($I$18*'Timeline and FX'!BK12),'Timeline and FX'!BK14),'Timeline and FX'!BK13))/'Timeline and FX'!BK8</f>
        <v>2282.41588460857</v>
      </c>
      <c r="BL97" s="60" t="n">
        <f aca="false">BL57*(($I$18*'Timeline and FX'!BL12)+$J$18*Payroll!$C$36*MIN(MAX(($I$18*'Timeline and FX'!BL12),'Timeline and FX'!BL14),'Timeline and FX'!BL13))/'Timeline and FX'!BL8</f>
        <v>2271.35992531999</v>
      </c>
      <c r="BM97" s="60" t="n">
        <f aca="false">BM57*(($I$18*'Timeline and FX'!BM12)+$J$18*Payroll!$C$36*MIN(MAX(($I$18*'Timeline and FX'!BM12),'Timeline and FX'!BM14),'Timeline and FX'!BM13))/'Timeline and FX'!BM8</f>
        <v>2260.35752079178</v>
      </c>
      <c r="BN97" s="60" t="n">
        <f aca="false">BN57*(($I$18*'Timeline and FX'!BN12)+$J$18*Payroll!$C$36*MIN(MAX(($I$18*'Timeline and FX'!BN12),'Timeline and FX'!BN14),'Timeline and FX'!BN13))/'Timeline and FX'!BN8</f>
        <v>2249.40841160618</v>
      </c>
    </row>
    <row r="98" customFormat="false" ht="15" hidden="false" customHeight="false" outlineLevel="0" collapsed="false">
      <c r="A98" s="4" t="s">
        <v>848</v>
      </c>
      <c r="B98" s="59" t="n">
        <f aca="false">SUM(C98:N98)</f>
        <v>0</v>
      </c>
      <c r="C98" s="60" t="n">
        <f aca="false">C58*(($I$19*'Timeline and FX'!C12)+$J$19*Payroll!$C$36*MIN(MAX(($I$19*'Timeline and FX'!C12),'Timeline and FX'!C14),'Timeline and FX'!C13))/'Timeline and FX'!C8</f>
        <v>0</v>
      </c>
      <c r="D98" s="60" t="n">
        <f aca="false">D58*(($I$19*'Timeline and FX'!D12)+$J$19*Payroll!$C$36*MIN(MAX(($I$19*'Timeline and FX'!D12),'Timeline and FX'!D14),'Timeline and FX'!D13))/'Timeline and FX'!D8</f>
        <v>0</v>
      </c>
      <c r="E98" s="60" t="n">
        <f aca="false">E58*(($I$19*'Timeline and FX'!E12)+$J$19*Payroll!$C$36*MIN(MAX(($I$19*'Timeline and FX'!E12),'Timeline and FX'!E14),'Timeline and FX'!E13))/'Timeline and FX'!E8</f>
        <v>0</v>
      </c>
      <c r="F98" s="60" t="n">
        <f aca="false">F58*(($I$19*'Timeline and FX'!F12)+$J$19*Payroll!$C$36*MIN(MAX(($I$19*'Timeline and FX'!F12),'Timeline and FX'!F14),'Timeline and FX'!F13))/'Timeline and FX'!F8</f>
        <v>0</v>
      </c>
      <c r="G98" s="60" t="n">
        <f aca="false">G58*(($I$19*'Timeline and FX'!G12)+$J$19*Payroll!$C$36*MIN(MAX(($I$19*'Timeline and FX'!G12),'Timeline and FX'!G14),'Timeline and FX'!G13))/'Timeline and FX'!G8</f>
        <v>0</v>
      </c>
      <c r="H98" s="60" t="n">
        <f aca="false">H58*(($I$19*'Timeline and FX'!H12)+$J$19*Payroll!$C$36*MIN(MAX(($I$19*'Timeline and FX'!H12),'Timeline and FX'!H14),'Timeline and FX'!H13))/'Timeline and FX'!H8</f>
        <v>0</v>
      </c>
      <c r="I98" s="60" t="n">
        <f aca="false">I58*(($I$19*'Timeline and FX'!I12)+$J$19*Payroll!$C$36*MIN(MAX(($I$19*'Timeline and FX'!I12),'Timeline and FX'!I14),'Timeline and FX'!I13))/'Timeline and FX'!I8</f>
        <v>0</v>
      </c>
      <c r="J98" s="60" t="n">
        <f aca="false">J58*(($I$19*'Timeline and FX'!J12)+$J$19*Payroll!$C$36*MIN(MAX(($I$19*'Timeline and FX'!J12),'Timeline and FX'!J14),'Timeline and FX'!J13))/'Timeline and FX'!J8</f>
        <v>0</v>
      </c>
      <c r="K98" s="60" t="n">
        <f aca="false">K58*(($I$19*'Timeline and FX'!K12)+$J$19*Payroll!$C$36*MIN(MAX(($I$19*'Timeline and FX'!K12),'Timeline and FX'!K14),'Timeline and FX'!K13))/'Timeline and FX'!K8</f>
        <v>0</v>
      </c>
      <c r="L98" s="60" t="n">
        <f aca="false">L58*(($I$19*'Timeline and FX'!L12)+$J$19*Payroll!$C$36*MIN(MAX(($I$19*'Timeline and FX'!L12),'Timeline and FX'!L14),'Timeline and FX'!L13))/'Timeline and FX'!L8</f>
        <v>0</v>
      </c>
      <c r="M98" s="60" t="n">
        <f aca="false">M58*(($I$19*'Timeline and FX'!M12)+$J$19*Payroll!$C$36*MIN(MAX(($I$19*'Timeline and FX'!M12),'Timeline and FX'!M14),'Timeline and FX'!M13))/'Timeline and FX'!M8</f>
        <v>0</v>
      </c>
      <c r="N98" s="60" t="n">
        <f aca="false">N58*(($I$19*'Timeline and FX'!N12)+$J$19*Payroll!$C$36*MIN(MAX(($I$19*'Timeline and FX'!N12),'Timeline and FX'!N14),'Timeline and FX'!N13))/'Timeline and FX'!N8</f>
        <v>0</v>
      </c>
      <c r="O98" s="59" t="n">
        <f aca="false">SUM(P98:AA98)</f>
        <v>17672.9294858261</v>
      </c>
      <c r="P98" s="60" t="n">
        <f aca="false">P58*(($I$19*'Timeline and FX'!P12)+$J$19*Payroll!$C$36*MIN(MAX(($I$19*'Timeline and FX'!P12),'Timeline and FX'!P14),'Timeline and FX'!P13))/'Timeline and FX'!P8</f>
        <v>1512.39352445503</v>
      </c>
      <c r="Q98" s="60" t="n">
        <f aca="false">Q58*(($I$19*'Timeline and FX'!Q12)+$J$19*Payroll!$C$36*MIN(MAX(($I$19*'Timeline and FX'!Q12),'Timeline and FX'!Q14),'Timeline and FX'!Q13))/'Timeline and FX'!Q8</f>
        <v>1505.06753213809</v>
      </c>
      <c r="R98" s="60" t="n">
        <f aca="false">R58*(($I$19*'Timeline and FX'!R12)+$J$19*Payroll!$C$36*MIN(MAX(($I$19*'Timeline and FX'!R12),'Timeline and FX'!R14),'Timeline and FX'!R13))/'Timeline and FX'!R8</f>
        <v>1497.7770267249</v>
      </c>
      <c r="S98" s="60" t="n">
        <f aca="false">S58*(($I$19*'Timeline and FX'!S12)+$J$19*Payroll!$C$36*MIN(MAX(($I$19*'Timeline and FX'!S12),'Timeline and FX'!S14),'Timeline and FX'!S13))/'Timeline and FX'!S8</f>
        <v>1490.52183631787</v>
      </c>
      <c r="T98" s="60" t="n">
        <f aca="false">T58*(($I$19*'Timeline and FX'!T12)+$J$19*Payroll!$C$36*MIN(MAX(($I$19*'Timeline and FX'!T12),'Timeline and FX'!T14),'Timeline and FX'!T13))/'Timeline and FX'!T8</f>
        <v>1483.3017898521</v>
      </c>
      <c r="U98" s="60" t="n">
        <f aca="false">U58*(($I$19*'Timeline and FX'!U12)+$J$19*Payroll!$C$36*MIN(MAX(($I$19*'Timeline and FX'!U12),'Timeline and FX'!U14),'Timeline and FX'!U13))/'Timeline and FX'!U8</f>
        <v>1476.11671709131</v>
      </c>
      <c r="V98" s="60" t="n">
        <f aca="false">V58*(($I$19*'Timeline and FX'!V12)+$J$19*Payroll!$C$36*MIN(MAX(($I$19*'Timeline and FX'!V12),'Timeline and FX'!V14),'Timeline and FX'!V13))/'Timeline and FX'!V8</f>
        <v>1468.96644862384</v>
      </c>
      <c r="W98" s="60" t="n">
        <f aca="false">W58*(($I$19*'Timeline and FX'!W12)+$J$19*Payroll!$C$36*MIN(MAX(($I$19*'Timeline and FX'!W12),'Timeline and FX'!W14),'Timeline and FX'!W13))/'Timeline and FX'!W8</f>
        <v>1461.85081585866</v>
      </c>
      <c r="X98" s="60" t="n">
        <f aca="false">X58*(($I$19*'Timeline and FX'!X12)+$J$19*Payroll!$C$36*MIN(MAX(($I$19*'Timeline and FX'!X12),'Timeline and FX'!X14),'Timeline and FX'!X13))/'Timeline and FX'!X8</f>
        <v>1454.76965102139</v>
      </c>
      <c r="Y98" s="60" t="n">
        <f aca="false">Y58*(($I$19*'Timeline and FX'!Y12)+$J$19*Payroll!$C$36*MIN(MAX(($I$19*'Timeline and FX'!Y12),'Timeline and FX'!Y14),'Timeline and FX'!Y13))/'Timeline and FX'!Y8</f>
        <v>1447.72278715034</v>
      </c>
      <c r="Z98" s="60" t="n">
        <f aca="false">Z58*(($I$19*'Timeline and FX'!Z12)+$J$19*Payroll!$C$36*MIN(MAX(($I$19*'Timeline and FX'!Z12),'Timeline and FX'!Z14),'Timeline and FX'!Z13))/'Timeline and FX'!Z8</f>
        <v>1440.71005809257</v>
      </c>
      <c r="AA98" s="60" t="n">
        <f aca="false">AA58*(($I$19*'Timeline and FX'!AA12)+$J$19*Payroll!$C$36*MIN(MAX(($I$19*'Timeline and FX'!AA12),'Timeline and FX'!AA14),'Timeline and FX'!AA13))/'Timeline and FX'!AA8</f>
        <v>1433.73129850001</v>
      </c>
      <c r="AB98" s="59" t="n">
        <f aca="false">SUM(AC98:AN98)</f>
        <v>18698.4957036766</v>
      </c>
      <c r="AC98" s="60" t="n">
        <f aca="false">AC58*(($I$19*'Timeline and FX'!AC12)+$J$19*Payroll!$C$36*MIN(MAX(($I$19*'Timeline and FX'!AC12),'Timeline and FX'!AC14),'Timeline and FX'!AC13))/'Timeline and FX'!AC8</f>
        <v>1600.15824439129</v>
      </c>
      <c r="AD98" s="60" t="n">
        <f aca="false">AD58*(($I$19*'Timeline and FX'!AD12)+$J$19*Payroll!$C$36*MIN(MAX(($I$19*'Timeline and FX'!AD12),'Timeline and FX'!AD14),'Timeline and FX'!AD13))/'Timeline and FX'!AD8</f>
        <v>1592.40712220336</v>
      </c>
      <c r="AE98" s="60" t="n">
        <f aca="false">AE58*(($I$19*'Timeline and FX'!AE12)+$J$19*Payroll!$C$36*MIN(MAX(($I$19*'Timeline and FX'!AE12),'Timeline and FX'!AE14),'Timeline and FX'!AE13))/'Timeline and FX'!AE8</f>
        <v>1584.69354623648</v>
      </c>
      <c r="AF98" s="60" t="n">
        <f aca="false">AF58*(($I$19*'Timeline and FX'!AF12)+$J$19*Payroll!$C$36*MIN(MAX(($I$19*'Timeline and FX'!AF12),'Timeline and FX'!AF14),'Timeline and FX'!AF13))/'Timeline and FX'!AF8</f>
        <v>1577.0173346178</v>
      </c>
      <c r="AG98" s="60" t="n">
        <f aca="false">AG58*(($I$19*'Timeline and FX'!AG12)+$J$19*Payroll!$C$36*MIN(MAX(($I$19*'Timeline and FX'!AG12),'Timeline and FX'!AG14),'Timeline and FX'!AG13))/'Timeline and FX'!AG8</f>
        <v>1569.37830635547</v>
      </c>
      <c r="AH98" s="60" t="n">
        <f aca="false">AH58*(($I$19*'Timeline and FX'!AH12)+$J$19*Payroll!$C$36*MIN(MAX(($I$19*'Timeline and FX'!AH12),'Timeline and FX'!AH14),'Timeline and FX'!AH13))/'Timeline and FX'!AH8</f>
        <v>1561.77628133432</v>
      </c>
      <c r="AI98" s="60" t="n">
        <f aca="false">AI58*(($I$19*'Timeline and FX'!AI12)+$J$19*Payroll!$C$36*MIN(MAX(($I$19*'Timeline and FX'!AI12),'Timeline and FX'!AI14),'Timeline and FX'!AI13))/'Timeline and FX'!AI8</f>
        <v>1554.21108031168</v>
      </c>
      <c r="AJ98" s="60" t="n">
        <f aca="false">AJ58*(($I$19*'Timeline and FX'!AJ12)+$J$19*Payroll!$C$36*MIN(MAX(($I$19*'Timeline and FX'!AJ12),'Timeline and FX'!AJ14),'Timeline and FX'!AJ13))/'Timeline and FX'!AJ8</f>
        <v>1546.68252491314</v>
      </c>
      <c r="AK98" s="60" t="n">
        <f aca="false">AK58*(($I$19*'Timeline and FX'!AK12)+$J$19*Payroll!$C$36*MIN(MAX(($I$19*'Timeline and FX'!AK12),'Timeline and FX'!AK14),'Timeline and FX'!AK13))/'Timeline and FX'!AK8</f>
        <v>1539.19043762829</v>
      </c>
      <c r="AL98" s="60" t="n">
        <f aca="false">AL58*(($I$19*'Timeline and FX'!AL12)+$J$19*Payroll!$C$36*MIN(MAX(($I$19*'Timeline and FX'!AL12),'Timeline and FX'!AL14),'Timeline and FX'!AL13))/'Timeline and FX'!AL8</f>
        <v>1531.73464180661</v>
      </c>
      <c r="AM98" s="60" t="n">
        <f aca="false">AM58*(($I$19*'Timeline and FX'!AM12)+$J$19*Payroll!$C$36*MIN(MAX(($I$19*'Timeline and FX'!AM12),'Timeline and FX'!AM14),'Timeline and FX'!AM13))/'Timeline and FX'!AM8</f>
        <v>1524.31496165325</v>
      </c>
      <c r="AN98" s="60" t="n">
        <f aca="false">AN58*(($I$19*'Timeline and FX'!AN12)+$J$19*Payroll!$C$36*MIN(MAX(($I$19*'Timeline and FX'!AN12),'Timeline and FX'!AN14),'Timeline and FX'!AN13))/'Timeline and FX'!AN8</f>
        <v>1516.93122222492</v>
      </c>
      <c r="AO98" s="59" t="n">
        <f aca="false">SUM(AP98:BA98)</f>
        <v>19784.2534571401</v>
      </c>
      <c r="AP98" s="60" t="n">
        <f aca="false">AP58*(($I$19*'Timeline and FX'!AP12)+$J$19*Payroll!$C$36*MIN(MAX(($I$19*'Timeline and FX'!AP12),'Timeline and FX'!AP14),'Timeline and FX'!AP13))/'Timeline and FX'!AP8</f>
        <v>1693.0739659632</v>
      </c>
      <c r="AQ98" s="60" t="n">
        <f aca="false">AQ58*(($I$19*'Timeline and FX'!AQ12)+$J$19*Payroll!$C$36*MIN(MAX(($I$19*'Timeline and FX'!AQ12),'Timeline and FX'!AQ14),'Timeline and FX'!AQ13))/'Timeline and FX'!AQ8</f>
        <v>1684.8727625951</v>
      </c>
      <c r="AR98" s="60" t="n">
        <f aca="false">AR58*(($I$19*'Timeline and FX'!AR12)+$J$19*Payroll!$C$36*MIN(MAX(($I$19*'Timeline and FX'!AR12),'Timeline and FX'!AR14),'Timeline and FX'!AR13))/'Timeline and FX'!AR8</f>
        <v>1676.71128562882</v>
      </c>
      <c r="AS98" s="60" t="n">
        <f aca="false">AS58*(($I$19*'Timeline and FX'!AS12)+$J$19*Payroll!$C$36*MIN(MAX(($I$19*'Timeline and FX'!AS12),'Timeline and FX'!AS14),'Timeline and FX'!AS13))/'Timeline and FX'!AS8</f>
        <v>1668.58934263078</v>
      </c>
      <c r="AT98" s="60" t="n">
        <f aca="false">AT58*(($I$19*'Timeline and FX'!AT12)+$J$19*Payroll!$C$36*MIN(MAX(($I$19*'Timeline and FX'!AT12),'Timeline and FX'!AT14),'Timeline and FX'!AT13))/'Timeline and FX'!AT8</f>
        <v>1660.50674209951</v>
      </c>
      <c r="AU98" s="60" t="n">
        <f aca="false">AU58*(($I$19*'Timeline and FX'!AU12)+$J$19*Payroll!$C$36*MIN(MAX(($I$19*'Timeline and FX'!AU12),'Timeline and FX'!AU14),'Timeline and FX'!AU13))/'Timeline and FX'!AU8</f>
        <v>1652.46329346122</v>
      </c>
      <c r="AV98" s="60" t="n">
        <f aca="false">AV58*(($I$19*'Timeline and FX'!AV12)+$J$19*Payroll!$C$36*MIN(MAX(($I$19*'Timeline and FX'!AV12),'Timeline and FX'!AV14),'Timeline and FX'!AV13))/'Timeline and FX'!AV8</f>
        <v>1644.4588070652</v>
      </c>
      <c r="AW98" s="60" t="n">
        <f aca="false">AW58*(($I$19*'Timeline and FX'!AW12)+$J$19*Payroll!$C$36*MIN(MAX(($I$19*'Timeline and FX'!AW12),'Timeline and FX'!AW14),'Timeline and FX'!AW13))/'Timeline and FX'!AW8</f>
        <v>1636.49309417945</v>
      </c>
      <c r="AX98" s="60" t="n">
        <f aca="false">AX58*(($I$19*'Timeline and FX'!AX12)+$J$19*Payroll!$C$36*MIN(MAX(($I$19*'Timeline and FX'!AX12),'Timeline and FX'!AX14),'Timeline and FX'!AX13))/'Timeline and FX'!AX8</f>
        <v>1628.56596698615</v>
      </c>
      <c r="AY98" s="60" t="n">
        <f aca="false">AY58*(($I$19*'Timeline and FX'!AY12)+$J$19*Payroll!$C$36*MIN(MAX(($I$19*'Timeline and FX'!AY12),'Timeline and FX'!AY14),'Timeline and FX'!AY13))/'Timeline and FX'!AY8</f>
        <v>1620.67723857727</v>
      </c>
      <c r="AZ98" s="60" t="n">
        <f aca="false">AZ58*(($I$19*'Timeline and FX'!AZ12)+$J$19*Payroll!$C$36*MIN(MAX(($I$19*'Timeline and FX'!AZ12),'Timeline and FX'!AZ14),'Timeline and FX'!AZ13))/'Timeline and FX'!AZ8</f>
        <v>1612.82672295018</v>
      </c>
      <c r="BA98" s="60" t="n">
        <f aca="false">BA58*(($I$19*'Timeline and FX'!BA12)+$J$19*Payroll!$C$36*MIN(MAX(($I$19*'Timeline and FX'!BA12),'Timeline and FX'!BA14),'Timeline and FX'!BA13))/'Timeline and FX'!BA8</f>
        <v>1605.0142350032</v>
      </c>
      <c r="BB98" s="59" t="n">
        <f aca="false">SUM(BC98:BN98)</f>
        <v>20933.7915648229</v>
      </c>
      <c r="BC98" s="60" t="n">
        <f aca="false">BC58*(($I$19*'Timeline and FX'!BC12)+$J$19*Payroll!$C$36*MIN(MAX(($I$19*'Timeline and FX'!BC12),'Timeline and FX'!BC14),'Timeline and FX'!BC13))/'Timeline and FX'!BC8</f>
        <v>1791.44780893972</v>
      </c>
      <c r="BD98" s="60" t="n">
        <f aca="false">BD58*(($I$19*'Timeline and FX'!BD12)+$J$19*Payroll!$C$36*MIN(MAX(($I$19*'Timeline and FX'!BD12),'Timeline and FX'!BD14),'Timeline and FX'!BD13))/'Timeline and FX'!BD8</f>
        <v>1782.77008540265</v>
      </c>
      <c r="BE98" s="60" t="n">
        <f aca="false">BE58*(($I$19*'Timeline and FX'!BE12)+$J$19*Payroll!$C$36*MIN(MAX(($I$19*'Timeline and FX'!BE12),'Timeline and FX'!BE14),'Timeline and FX'!BE13))/'Timeline and FX'!BE8</f>
        <v>1774.13439651788</v>
      </c>
      <c r="BF98" s="60" t="n">
        <f aca="false">BF58*(($I$19*'Timeline and FX'!BF12)+$J$19*Payroll!$C$36*MIN(MAX(($I$19*'Timeline and FX'!BF12),'Timeline and FX'!BF14),'Timeline and FX'!BF13))/'Timeline and FX'!BF8</f>
        <v>1765.54053867074</v>
      </c>
      <c r="BG98" s="60" t="n">
        <f aca="false">BG58*(($I$19*'Timeline and FX'!BG12)+$J$19*Payroll!$C$36*MIN(MAX(($I$19*'Timeline and FX'!BG12),'Timeline and FX'!BG14),'Timeline and FX'!BG13))/'Timeline and FX'!BG8</f>
        <v>1756.98830923283</v>
      </c>
      <c r="BH98" s="60" t="n">
        <f aca="false">BH58*(($I$19*'Timeline and FX'!BH12)+$J$19*Payroll!$C$36*MIN(MAX(($I$19*'Timeline and FX'!BH12),'Timeline and FX'!BH14),'Timeline and FX'!BH13))/'Timeline and FX'!BH8</f>
        <v>1748.4775065573</v>
      </c>
      <c r="BI98" s="60" t="n">
        <f aca="false">BI58*(($I$19*'Timeline and FX'!BI12)+$J$19*Payroll!$C$36*MIN(MAX(($I$19*'Timeline and FX'!BI12),'Timeline and FX'!BI14),'Timeline and FX'!BI13))/'Timeline and FX'!BI8</f>
        <v>1740.00792997405</v>
      </c>
      <c r="BJ98" s="60" t="n">
        <f aca="false">BJ58*(($I$19*'Timeline and FX'!BJ12)+$J$19*Payroll!$C$36*MIN(MAX(($I$19*'Timeline and FX'!BJ12),'Timeline and FX'!BJ14),'Timeline and FX'!BJ13))/'Timeline and FX'!BJ8</f>
        <v>1731.57937978504</v>
      </c>
      <c r="BK98" s="60" t="n">
        <f aca="false">BK58*(($I$19*'Timeline and FX'!BK12)+$J$19*Payroll!$C$36*MIN(MAX(($I$19*'Timeline and FX'!BK12),'Timeline and FX'!BK14),'Timeline and FX'!BK13))/'Timeline and FX'!BK8</f>
        <v>1723.19165725955</v>
      </c>
      <c r="BL98" s="60" t="n">
        <f aca="false">BL58*(($I$19*'Timeline and FX'!BL12)+$J$19*Payroll!$C$36*MIN(MAX(($I$19*'Timeline and FX'!BL12),'Timeline and FX'!BL14),'Timeline and FX'!BL13))/'Timeline and FX'!BL8</f>
        <v>1714.84456462952</v>
      </c>
      <c r="BM98" s="60" t="n">
        <f aca="false">BM58*(($I$19*'Timeline and FX'!BM12)+$J$19*Payroll!$C$36*MIN(MAX(($I$19*'Timeline and FX'!BM12),'Timeline and FX'!BM14),'Timeline and FX'!BM13))/'Timeline and FX'!BM8</f>
        <v>1706.53790508484</v>
      </c>
      <c r="BN98" s="60" t="n">
        <f aca="false">BN58*(($I$19*'Timeline and FX'!BN12)+$J$19*Payroll!$C$36*MIN(MAX(($I$19*'Timeline and FX'!BN12),'Timeline and FX'!BN14),'Timeline and FX'!BN13))/'Timeline and FX'!BN8</f>
        <v>1698.27148276878</v>
      </c>
    </row>
    <row r="99" customFormat="false" ht="15" hidden="false" customHeight="false" outlineLevel="0" collapsed="false">
      <c r="A99" s="4" t="s">
        <v>850</v>
      </c>
      <c r="B99" s="59" t="n">
        <f aca="false">SUM(C99:N99)</f>
        <v>6493.62443650259</v>
      </c>
      <c r="C99" s="60" t="n">
        <f aca="false">C59*(($I$20*'Timeline and FX'!C12)+$J$20*Payroll!$C$36*MIN(MAX(($I$20*'Timeline and FX'!C12),'Timeline and FX'!C14),'Timeline and FX'!C13))/'Timeline and FX'!C8</f>
        <v>555.703883495146</v>
      </c>
      <c r="D99" s="60" t="n">
        <f aca="false">D59*(($I$20*'Timeline and FX'!D12)+$J$20*Payroll!$C$36*MIN(MAX(($I$20*'Timeline and FX'!D12),'Timeline and FX'!D14),'Timeline and FX'!D13))/'Timeline and FX'!D8</f>
        <v>553.012069284658</v>
      </c>
      <c r="E99" s="60" t="n">
        <f aca="false">E59*(($I$20*'Timeline and FX'!E12)+$J$20*Payroll!$C$36*MIN(MAX(($I$20*'Timeline and FX'!E12),'Timeline and FX'!E14),'Timeline and FX'!E13))/'Timeline and FX'!E8</f>
        <v>550.333294147602</v>
      </c>
      <c r="F99" s="60" t="n">
        <f aca="false">F59*(($I$20*'Timeline and FX'!F12)+$J$20*Payroll!$C$36*MIN(MAX(($I$20*'Timeline and FX'!F12),'Timeline and FX'!F14),'Timeline and FX'!F13))/'Timeline and FX'!F8</f>
        <v>547.66749492307</v>
      </c>
      <c r="G99" s="60" t="n">
        <f aca="false">G59*(($I$20*'Timeline and FX'!G12)+$J$20*Payroll!$C$36*MIN(MAX(($I$20*'Timeline and FX'!G12),'Timeline and FX'!G14),'Timeline and FX'!G13))/'Timeline and FX'!G8</f>
        <v>545.014608756099</v>
      </c>
      <c r="H99" s="60" t="n">
        <f aca="false">H59*(($I$20*'Timeline and FX'!H12)+$J$20*Payroll!$C$36*MIN(MAX(($I$20*'Timeline and FX'!H12),'Timeline and FX'!H14),'Timeline and FX'!H13))/'Timeline and FX'!H8</f>
        <v>542.374573096196</v>
      </c>
      <c r="I99" s="60" t="n">
        <f aca="false">I59*(($I$20*'Timeline and FX'!I12)+$J$20*Payroll!$C$36*MIN(MAX(($I$20*'Timeline and FX'!I12),'Timeline and FX'!I14),'Timeline and FX'!I13))/'Timeline and FX'!I8</f>
        <v>539.747325695863</v>
      </c>
      <c r="J99" s="60" t="n">
        <f aca="false">J59*(($I$20*'Timeline and FX'!J12)+$J$20*Payroll!$C$36*MIN(MAX(($I$20*'Timeline and FX'!J12),'Timeline and FX'!J14),'Timeline and FX'!J13))/'Timeline and FX'!J8</f>
        <v>537.132804609124</v>
      </c>
      <c r="K99" s="60" t="n">
        <f aca="false">K59*(($I$20*'Timeline and FX'!K12)+$J$20*Payroll!$C$36*MIN(MAX(($I$20*'Timeline and FX'!K12),'Timeline and FX'!K14),'Timeline and FX'!K13))/'Timeline and FX'!K8</f>
        <v>534.530948190068</v>
      </c>
      <c r="L99" s="60" t="n">
        <f aca="false">L59*(($I$20*'Timeline and FX'!L12)+$J$20*Payroll!$C$36*MIN(MAX(($I$20*'Timeline and FX'!L12),'Timeline and FX'!L14),'Timeline and FX'!L13))/'Timeline and FX'!L8</f>
        <v>531.941695091396</v>
      </c>
      <c r="M99" s="60" t="n">
        <f aca="false">M59*(($I$20*'Timeline and FX'!M12)+$J$20*Payroll!$C$36*MIN(MAX(($I$20*'Timeline and FX'!M12),'Timeline and FX'!M14),'Timeline and FX'!M13))/'Timeline and FX'!M8</f>
        <v>529.364984262974</v>
      </c>
      <c r="N99" s="60" t="n">
        <f aca="false">N59*(($I$20*'Timeline and FX'!N12)+$J$20*Payroll!$C$36*MIN(MAX(($I$20*'Timeline and FX'!N12),'Timeline and FX'!N14),'Timeline and FX'!N13))/'Timeline and FX'!N8</f>
        <v>526.800754950392</v>
      </c>
      <c r="O99" s="59" t="n">
        <f aca="false">SUM(P99:AA99)</f>
        <v>6884.42671147957</v>
      </c>
      <c r="P99" s="60" t="n">
        <f aca="false">P59*(($I$20*'Timeline and FX'!P12)+$J$20*Payroll!$C$36*MIN(MAX(($I$20*'Timeline and FX'!P12),'Timeline and FX'!P14),'Timeline and FX'!P13))/'Timeline and FX'!P8</f>
        <v>589.147508701227</v>
      </c>
      <c r="Q99" s="60" t="n">
        <f aca="false">Q59*(($I$20*'Timeline and FX'!Q12)+$J$20*Payroll!$C$36*MIN(MAX(($I$20*'Timeline and FX'!Q12),'Timeline and FX'!Q14),'Timeline and FX'!Q13))/'Timeline and FX'!Q8</f>
        <v>586.293694497121</v>
      </c>
      <c r="R99" s="60" t="n">
        <f aca="false">R59*(($I$20*'Timeline and FX'!R12)+$J$20*Payroll!$C$36*MIN(MAX(($I$20*'Timeline and FX'!R12),'Timeline and FX'!R14),'Timeline and FX'!R13))/'Timeline and FX'!R8</f>
        <v>583.453704089926</v>
      </c>
      <c r="S99" s="60" t="n">
        <f aca="false">S59*(($I$20*'Timeline and FX'!S12)+$J$20*Payroll!$C$36*MIN(MAX(($I$20*'Timeline and FX'!S12),'Timeline and FX'!S14),'Timeline and FX'!S13))/'Timeline and FX'!S8</f>
        <v>580.627470517555</v>
      </c>
      <c r="T99" s="60" t="n">
        <f aca="false">T59*(($I$20*'Timeline and FX'!T12)+$J$20*Payroll!$C$36*MIN(MAX(($I$20*'Timeline and FX'!T12),'Timeline and FX'!T14),'Timeline and FX'!T13))/'Timeline and FX'!T8</f>
        <v>577.81492714228</v>
      </c>
      <c r="U99" s="60" t="n">
        <f aca="false">U59*(($I$20*'Timeline and FX'!U12)+$J$20*Payroll!$C$36*MIN(MAX(($I$20*'Timeline and FX'!U12),'Timeline and FX'!U14),'Timeline and FX'!U13))/'Timeline and FX'!U8</f>
        <v>575.016007649166</v>
      </c>
      <c r="V99" s="60" t="n">
        <f aca="false">V59*(($I$20*'Timeline and FX'!V12)+$J$20*Payroll!$C$36*MIN(MAX(($I$20*'Timeline and FX'!V12),'Timeline and FX'!V14),'Timeline and FX'!V13))/'Timeline and FX'!V8</f>
        <v>572.230646044505</v>
      </c>
      <c r="W99" s="60" t="n">
        <f aca="false">W59*(($I$20*'Timeline and FX'!W12)+$J$20*Payroll!$C$36*MIN(MAX(($I$20*'Timeline and FX'!W12),'Timeline and FX'!W14),'Timeline and FX'!W13))/'Timeline and FX'!W8</f>
        <v>569.458776654262</v>
      </c>
      <c r="X99" s="60" t="n">
        <f aca="false">X59*(($I$20*'Timeline and FX'!X12)+$J$20*Payroll!$C$36*MIN(MAX(($I$20*'Timeline and FX'!X12),'Timeline and FX'!X14),'Timeline and FX'!X13))/'Timeline and FX'!X8</f>
        <v>566.700334122524</v>
      </c>
      <c r="Y99" s="60" t="n">
        <f aca="false">Y59*(($I$20*'Timeline and FX'!Y12)+$J$20*Payroll!$C$36*MIN(MAX(($I$20*'Timeline and FX'!Y12),'Timeline and FX'!Y14),'Timeline and FX'!Y13))/'Timeline and FX'!Y8</f>
        <v>563.95525340996</v>
      </c>
      <c r="Z99" s="60" t="n">
        <f aca="false">Z59*(($I$20*'Timeline and FX'!Z12)+$J$20*Payroll!$C$36*MIN(MAX(($I$20*'Timeline and FX'!Z12),'Timeline and FX'!Z14),'Timeline and FX'!Z13))/'Timeline and FX'!Z8</f>
        <v>561.223469792289</v>
      </c>
      <c r="AA99" s="60" t="n">
        <f aca="false">AA59*(($I$20*'Timeline and FX'!AA12)+$J$20*Payroll!$C$36*MIN(MAX(($I$20*'Timeline and FX'!AA12),'Timeline and FX'!AA14),'Timeline and FX'!AA13))/'Timeline and FX'!AA8</f>
        <v>558.504918858751</v>
      </c>
      <c r="AB99" s="59" t="n">
        <f aca="false">SUM(AC99:AN99)</f>
        <v>14598.6459219416</v>
      </c>
      <c r="AC99" s="60" t="n">
        <f aca="false">AC59*(($I$20*'Timeline and FX'!AC12)+$J$20*Payroll!$C$36*MIN(MAX(($I$20*'Timeline and FX'!AC12),'Timeline and FX'!AC14),'Timeline and FX'!AC13))/'Timeline and FX'!AC8</f>
        <v>1249.3060403972</v>
      </c>
      <c r="AD99" s="60" t="n">
        <f aca="false">AD59*(($I$20*'Timeline and FX'!AD12)+$J$20*Payroll!$C$36*MIN(MAX(($I$20*'Timeline and FX'!AD12),'Timeline and FX'!AD14),'Timeline and FX'!AD13))/'Timeline and FX'!AD8</f>
        <v>1243.25443656165</v>
      </c>
      <c r="AE99" s="60" t="n">
        <f aca="false">AE59*(($I$20*'Timeline and FX'!AE12)+$J$20*Payroll!$C$36*MIN(MAX(($I$20*'Timeline and FX'!AE12),'Timeline and FX'!AE14),'Timeline and FX'!AE13))/'Timeline and FX'!AE8</f>
        <v>1237.23214652736</v>
      </c>
      <c r="AF99" s="60" t="n">
        <f aca="false">AF59*(($I$20*'Timeline and FX'!AF12)+$J$20*Payroll!$C$36*MIN(MAX(($I$20*'Timeline and FX'!AF12),'Timeline and FX'!AF14),'Timeline and FX'!AF13))/'Timeline and FX'!AF8</f>
        <v>1231.23902829909</v>
      </c>
      <c r="AG99" s="60" t="n">
        <f aca="false">AG59*(($I$20*'Timeline and FX'!AG12)+$J$20*Payroll!$C$36*MIN(MAX(($I$20*'Timeline and FX'!AG12),'Timeline and FX'!AG14),'Timeline and FX'!AG13))/'Timeline and FX'!AG8</f>
        <v>1225.27494056942</v>
      </c>
      <c r="AH99" s="60" t="n">
        <f aca="false">AH59*(($I$20*'Timeline and FX'!AH12)+$J$20*Payroll!$C$36*MIN(MAX(($I$20*'Timeline and FX'!AH12),'Timeline and FX'!AH14),'Timeline and FX'!AH13))/'Timeline and FX'!AH8</f>
        <v>1219.33974271542</v>
      </c>
      <c r="AI99" s="60" t="n">
        <f aca="false">AI59*(($I$20*'Timeline and FX'!AI12)+$J$20*Payroll!$C$36*MIN(MAX(($I$20*'Timeline and FX'!AI12),'Timeline and FX'!AI14),'Timeline and FX'!AI13))/'Timeline and FX'!AI8</f>
        <v>1213.43329479533</v>
      </c>
      <c r="AJ99" s="60" t="n">
        <f aca="false">AJ59*(($I$20*'Timeline and FX'!AJ12)+$J$20*Payroll!$C$36*MIN(MAX(($I$20*'Timeline and FX'!AJ12),'Timeline and FX'!AJ14),'Timeline and FX'!AJ13))/'Timeline and FX'!AJ8</f>
        <v>1207.55545754527</v>
      </c>
      <c r="AK99" s="60" t="n">
        <f aca="false">AK59*(($I$20*'Timeline and FX'!AK12)+$J$20*Payroll!$C$36*MIN(MAX(($I$20*'Timeline and FX'!AK12),'Timeline and FX'!AK14),'Timeline and FX'!AK13))/'Timeline and FX'!AK8</f>
        <v>1201.70609237595</v>
      </c>
      <c r="AL99" s="60" t="n">
        <f aca="false">AL59*(($I$20*'Timeline and FX'!AL12)+$J$20*Payroll!$C$36*MIN(MAX(($I$20*'Timeline and FX'!AL12),'Timeline and FX'!AL14),'Timeline and FX'!AL13))/'Timeline and FX'!AL8</f>
        <v>1195.8850613694</v>
      </c>
      <c r="AM99" s="60" t="n">
        <f aca="false">AM59*(($I$20*'Timeline and FX'!AM12)+$J$20*Payroll!$C$36*MIN(MAX(($I$20*'Timeline and FX'!AM12),'Timeline and FX'!AM14),'Timeline and FX'!AM13))/'Timeline and FX'!AM8</f>
        <v>1190.09222727571</v>
      </c>
      <c r="AN99" s="60" t="n">
        <f aca="false">AN59*(($I$20*'Timeline and FX'!AN12)+$J$20*Payroll!$C$36*MIN(MAX(($I$20*'Timeline and FX'!AN12),'Timeline and FX'!AN14),'Timeline and FX'!AN13))/'Timeline and FX'!AN8</f>
        <v>1184.32745350983</v>
      </c>
      <c r="AO99" s="59" t="n">
        <f aca="false">SUM(AP99:BA99)</f>
        <v>15479.6890429019</v>
      </c>
      <c r="AP99" s="60" t="n">
        <f aca="false">AP59*(($I$20*'Timeline and FX'!AP12)+$J$20*Payroll!$C$36*MIN(MAX(($I$20*'Timeline and FX'!AP12),'Timeline and FX'!AP14),'Timeline and FX'!AP13))/'Timeline and FX'!AP8</f>
        <v>1324.70292985883</v>
      </c>
      <c r="AQ99" s="60" t="n">
        <f aca="false">AQ59*(($I$20*'Timeline and FX'!AQ12)+$J$20*Payroll!$C$36*MIN(MAX(($I$20*'Timeline and FX'!AQ12),'Timeline and FX'!AQ14),'Timeline and FX'!AQ13))/'Timeline and FX'!AQ8</f>
        <v>1318.28610558032</v>
      </c>
      <c r="AR99" s="60" t="n">
        <f aca="false">AR59*(($I$20*'Timeline and FX'!AR12)+$J$20*Payroll!$C$36*MIN(MAX(($I$20*'Timeline and FX'!AR12),'Timeline and FX'!AR14),'Timeline and FX'!AR13))/'Timeline and FX'!AR8</f>
        <v>1311.90036422079</v>
      </c>
      <c r="AS99" s="60" t="n">
        <f aca="false">AS59*(($I$20*'Timeline and FX'!AS12)+$J$20*Payroll!$C$36*MIN(MAX(($I$20*'Timeline and FX'!AS12),'Timeline and FX'!AS14),'Timeline and FX'!AS13))/'Timeline and FX'!AS8</f>
        <v>1305.54555521542</v>
      </c>
      <c r="AT99" s="60" t="n">
        <f aca="false">AT59*(($I$20*'Timeline and FX'!AT12)+$J$20*Payroll!$C$36*MIN(MAX(($I$20*'Timeline and FX'!AT12),'Timeline and FX'!AT14),'Timeline and FX'!AT13))/'Timeline and FX'!AT8</f>
        <v>1299.22152872875</v>
      </c>
      <c r="AU99" s="60" t="n">
        <f aca="false">AU59*(($I$20*'Timeline and FX'!AU12)+$J$20*Payroll!$C$36*MIN(MAX(($I$20*'Timeline and FX'!AU12),'Timeline and FX'!AU14),'Timeline and FX'!AU13))/'Timeline and FX'!AU8</f>
        <v>1292.92813565111</v>
      </c>
      <c r="AV99" s="60" t="n">
        <f aca="false">AV59*(($I$20*'Timeline and FX'!AV12)+$J$20*Payroll!$C$36*MIN(MAX(($I$20*'Timeline and FX'!AV12),'Timeline and FX'!AV14),'Timeline and FX'!AV13))/'Timeline and FX'!AV8</f>
        <v>1286.66522759512</v>
      </c>
      <c r="AW99" s="60" t="n">
        <f aca="false">AW59*(($I$20*'Timeline and FX'!AW12)+$J$20*Payroll!$C$36*MIN(MAX(($I$20*'Timeline and FX'!AW12),'Timeline and FX'!AW14),'Timeline and FX'!AW13))/'Timeline and FX'!AW8</f>
        <v>1280.43265689218</v>
      </c>
      <c r="AX99" s="60" t="n">
        <f aca="false">AX59*(($I$20*'Timeline and FX'!AX12)+$J$20*Payroll!$C$36*MIN(MAX(($I$20*'Timeline and FX'!AX12),'Timeline and FX'!AX14),'Timeline and FX'!AX13))/'Timeline and FX'!AX8</f>
        <v>1274.230276589</v>
      </c>
      <c r="AY99" s="60" t="n">
        <f aca="false">AY59*(($I$20*'Timeline and FX'!AY12)+$J$20*Payroll!$C$36*MIN(MAX(($I$20*'Timeline and FX'!AY12),'Timeline and FX'!AY14),'Timeline and FX'!AY13))/'Timeline and FX'!AY8</f>
        <v>1268.0579404441</v>
      </c>
      <c r="AZ99" s="60" t="n">
        <f aca="false">AZ59*(($I$20*'Timeline and FX'!AZ12)+$J$20*Payroll!$C$36*MIN(MAX(($I$20*'Timeline and FX'!AZ12),'Timeline and FX'!AZ14),'Timeline and FX'!AZ13))/'Timeline and FX'!AZ8</f>
        <v>1261.91550292442</v>
      </c>
      <c r="BA99" s="60" t="n">
        <f aca="false">BA59*(($I$20*'Timeline and FX'!BA12)+$J$20*Payroll!$C$36*MIN(MAX(($I$20*'Timeline and FX'!BA12),'Timeline and FX'!BA14),'Timeline and FX'!BA13))/'Timeline and FX'!BA8</f>
        <v>1255.80281920186</v>
      </c>
      <c r="BB99" s="59" t="n">
        <f aca="false">SUM(BC99:BN99)</f>
        <v>24622.870898322</v>
      </c>
      <c r="BC99" s="60" t="n">
        <f aca="false">BC59*(($I$20*'Timeline and FX'!BC12)+$J$20*Payroll!$C$36*MIN(MAX(($I$20*'Timeline and FX'!BC12),'Timeline and FX'!BC14),'Timeline and FX'!BC13))/'Timeline and FX'!BC8</f>
        <v>2107.14757448564</v>
      </c>
      <c r="BD99" s="60" t="n">
        <f aca="false">BD59*(($I$20*'Timeline and FX'!BD12)+$J$20*Payroll!$C$36*MIN(MAX(($I$20*'Timeline and FX'!BD12),'Timeline and FX'!BD14),'Timeline and FX'!BD13))/'Timeline and FX'!BD8</f>
        <v>2096.94061003378</v>
      </c>
      <c r="BE99" s="60" t="n">
        <f aca="false">BE59*(($I$20*'Timeline and FX'!BE12)+$J$20*Payroll!$C$36*MIN(MAX(($I$20*'Timeline and FX'!BE12),'Timeline and FX'!BE14),'Timeline and FX'!BE13))/'Timeline and FX'!BE8</f>
        <v>2086.78308783484</v>
      </c>
      <c r="BF99" s="60" t="n">
        <f aca="false">BF59*(($I$20*'Timeline and FX'!BF12)+$J$20*Payroll!$C$36*MIN(MAX(($I$20*'Timeline and FX'!BF12),'Timeline and FX'!BF14),'Timeline and FX'!BF13))/'Timeline and FX'!BF8</f>
        <v>2076.67476839192</v>
      </c>
      <c r="BG99" s="60" t="n">
        <f aca="false">BG59*(($I$20*'Timeline and FX'!BG12)+$J$20*Payroll!$C$36*MIN(MAX(($I$20*'Timeline and FX'!BG12),'Timeline and FX'!BG14),'Timeline and FX'!BG13))/'Timeline and FX'!BG8</f>
        <v>2066.61541336824</v>
      </c>
      <c r="BH99" s="60" t="n">
        <f aca="false">BH59*(($I$20*'Timeline and FX'!BH12)+$J$20*Payroll!$C$36*MIN(MAX(($I$20*'Timeline and FX'!BH12),'Timeline and FX'!BH14),'Timeline and FX'!BH13))/'Timeline and FX'!BH8</f>
        <v>2056.60478558149</v>
      </c>
      <c r="BI99" s="60" t="n">
        <f aca="false">BI59*(($I$20*'Timeline and FX'!BI12)+$J$20*Payroll!$C$36*MIN(MAX(($I$20*'Timeline and FX'!BI12),'Timeline and FX'!BI14),'Timeline and FX'!BI13))/'Timeline and FX'!BI8</f>
        <v>2046.64264899831</v>
      </c>
      <c r="BJ99" s="60" t="n">
        <f aca="false">BJ59*(($I$20*'Timeline and FX'!BJ12)+$J$20*Payroll!$C$36*MIN(MAX(($I$20*'Timeline and FX'!BJ12),'Timeline and FX'!BJ14),'Timeline and FX'!BJ13))/'Timeline and FX'!BJ8</f>
        <v>2036.72876872863</v>
      </c>
      <c r="BK99" s="60" t="n">
        <f aca="false">BK59*(($I$20*'Timeline and FX'!BK12)+$J$20*Payroll!$C$36*MIN(MAX(($I$20*'Timeline and FX'!BK12),'Timeline and FX'!BK14),'Timeline and FX'!BK13))/'Timeline and FX'!BK8</f>
        <v>2026.86291102022</v>
      </c>
      <c r="BL99" s="60" t="n">
        <f aca="false">BL59*(($I$20*'Timeline and FX'!BL12)+$J$20*Payroll!$C$36*MIN(MAX(($I$20*'Timeline and FX'!BL12),'Timeline and FX'!BL14),'Timeline and FX'!BL13))/'Timeline and FX'!BL8</f>
        <v>2017.04484325312</v>
      </c>
      <c r="BM99" s="60" t="n">
        <f aca="false">BM59*(($I$20*'Timeline and FX'!BM12)+$J$20*Payroll!$C$36*MIN(MAX(($I$20*'Timeline and FX'!BM12),'Timeline and FX'!BM14),'Timeline and FX'!BM13))/'Timeline and FX'!BM8</f>
        <v>2007.27433393418</v>
      </c>
      <c r="BN99" s="60" t="n">
        <f aca="false">BN59*(($I$20*'Timeline and FX'!BN12)+$J$20*Payroll!$C$36*MIN(MAX(($I$20*'Timeline and FX'!BN12),'Timeline and FX'!BN14),'Timeline and FX'!BN13))/'Timeline and FX'!BN8</f>
        <v>1997.5511526916</v>
      </c>
    </row>
    <row r="100" customFormat="false" ht="15" hidden="false" customHeight="false" outlineLevel="0" collapsed="false">
      <c r="A100" s="4" t="s">
        <v>852</v>
      </c>
      <c r="B100" s="59" t="n">
        <f aca="false">SUM(C100:N100)</f>
        <v>0</v>
      </c>
      <c r="C100" s="60" t="n">
        <f aca="false">C60*(($I$21*'Timeline and FX'!C12)+$J$21*Payroll!$C$36*MIN(MAX(($I$21*'Timeline and FX'!C12),'Timeline and FX'!C14),'Timeline and FX'!C13))/'Timeline and FX'!C8</f>
        <v>0</v>
      </c>
      <c r="D100" s="60" t="n">
        <f aca="false">D60*(($I$21*'Timeline and FX'!D12)+$J$21*Payroll!$C$36*MIN(MAX(($I$21*'Timeline and FX'!D12),'Timeline and FX'!D14),'Timeline and FX'!D13))/'Timeline and FX'!D8</f>
        <v>0</v>
      </c>
      <c r="E100" s="60" t="n">
        <f aca="false">E60*(($I$21*'Timeline and FX'!E12)+$J$21*Payroll!$C$36*MIN(MAX(($I$21*'Timeline and FX'!E12),'Timeline and FX'!E14),'Timeline and FX'!E13))/'Timeline and FX'!E8</f>
        <v>0</v>
      </c>
      <c r="F100" s="60" t="n">
        <f aca="false">F60*(($I$21*'Timeline and FX'!F12)+$J$21*Payroll!$C$36*MIN(MAX(($I$21*'Timeline and FX'!F12),'Timeline and FX'!F14),'Timeline and FX'!F13))/'Timeline and FX'!F8</f>
        <v>0</v>
      </c>
      <c r="G100" s="60" t="n">
        <f aca="false">G60*(($I$21*'Timeline and FX'!G12)+$J$21*Payroll!$C$36*MIN(MAX(($I$21*'Timeline and FX'!G12),'Timeline and FX'!G14),'Timeline and FX'!G13))/'Timeline and FX'!G8</f>
        <v>0</v>
      </c>
      <c r="H100" s="60" t="n">
        <f aca="false">H60*(($I$21*'Timeline and FX'!H12)+$J$21*Payroll!$C$36*MIN(MAX(($I$21*'Timeline and FX'!H12),'Timeline and FX'!H14),'Timeline and FX'!H13))/'Timeline and FX'!H8</f>
        <v>0</v>
      </c>
      <c r="I100" s="60" t="n">
        <f aca="false">I60*(($I$21*'Timeline and FX'!I12)+$J$21*Payroll!$C$36*MIN(MAX(($I$21*'Timeline and FX'!I12),'Timeline and FX'!I14),'Timeline and FX'!I13))/'Timeline and FX'!I8</f>
        <v>0</v>
      </c>
      <c r="J100" s="60" t="n">
        <f aca="false">J60*(($I$21*'Timeline and FX'!J12)+$J$21*Payroll!$C$36*MIN(MAX(($I$21*'Timeline and FX'!J12),'Timeline and FX'!J14),'Timeline and FX'!J13))/'Timeline and FX'!J8</f>
        <v>0</v>
      </c>
      <c r="K100" s="60" t="n">
        <f aca="false">K60*(($I$21*'Timeline and FX'!K12)+$J$21*Payroll!$C$36*MIN(MAX(($I$21*'Timeline and FX'!K12),'Timeline and FX'!K14),'Timeline and FX'!K13))/'Timeline and FX'!K8</f>
        <v>0</v>
      </c>
      <c r="L100" s="60" t="n">
        <f aca="false">L60*(($I$21*'Timeline and FX'!L12)+$J$21*Payroll!$C$36*MIN(MAX(($I$21*'Timeline and FX'!L12),'Timeline and FX'!L14),'Timeline and FX'!L13))/'Timeline and FX'!L8</f>
        <v>0</v>
      </c>
      <c r="M100" s="60" t="n">
        <f aca="false">M60*(($I$21*'Timeline and FX'!M12)+$J$21*Payroll!$C$36*MIN(MAX(($I$21*'Timeline and FX'!M12),'Timeline and FX'!M14),'Timeline and FX'!M13))/'Timeline and FX'!M8</f>
        <v>0</v>
      </c>
      <c r="N100" s="60" t="n">
        <f aca="false">N60*(($I$21*'Timeline and FX'!N12)+$J$21*Payroll!$C$36*MIN(MAX(($I$21*'Timeline and FX'!N12),'Timeline and FX'!N14),'Timeline and FX'!N13))/'Timeline and FX'!N8</f>
        <v>0</v>
      </c>
      <c r="O100" s="59" t="n">
        <f aca="false">SUM(P100:AA100)</f>
        <v>12878.0393638943</v>
      </c>
      <c r="P100" s="60" t="n">
        <f aca="false">P60*(($I$21*'Timeline and FX'!P12)+$J$21*Payroll!$C$36*MIN(MAX(($I$21*'Timeline and FX'!P12),'Timeline and FX'!P14),'Timeline and FX'!P13))/'Timeline and FX'!P8</f>
        <v>1102.06196189778</v>
      </c>
      <c r="Q100" s="60" t="n">
        <f aca="false">Q60*(($I$21*'Timeline and FX'!Q12)+$J$21*Payroll!$C$36*MIN(MAX(($I$21*'Timeline and FX'!Q12),'Timeline and FX'!Q14),'Timeline and FX'!Q13))/'Timeline and FX'!Q8</f>
        <v>1096.72360429766</v>
      </c>
      <c r="R100" s="60" t="n">
        <f aca="false">R60*(($I$21*'Timeline and FX'!R12)+$J$21*Payroll!$C$36*MIN(MAX(($I$21*'Timeline and FX'!R12),'Timeline and FX'!R14),'Timeline and FX'!R13))/'Timeline and FX'!R8</f>
        <v>1091.4111055538</v>
      </c>
      <c r="S100" s="60" t="n">
        <f aca="false">S60*(($I$21*'Timeline and FX'!S12)+$J$21*Payroll!$C$36*MIN(MAX(($I$21*'Timeline and FX'!S12),'Timeline and FX'!S14),'Timeline and FX'!S13))/'Timeline and FX'!S8</f>
        <v>1086.12434040662</v>
      </c>
      <c r="T100" s="60" t="n">
        <f aca="false">T60*(($I$21*'Timeline and FX'!T12)+$J$21*Payroll!$C$36*MIN(MAX(($I$21*'Timeline and FX'!T12),'Timeline and FX'!T14),'Timeline and FX'!T13))/'Timeline and FX'!T8</f>
        <v>1080.86318420329</v>
      </c>
      <c r="U100" s="60" t="n">
        <f aca="false">U60*(($I$21*'Timeline and FX'!U12)+$J$21*Payroll!$C$36*MIN(MAX(($I$21*'Timeline and FX'!U12),'Timeline and FX'!U14),'Timeline and FX'!U13))/'Timeline and FX'!U8</f>
        <v>1075.6275128948</v>
      </c>
      <c r="V100" s="60" t="n">
        <f aca="false">V60*(($I$21*'Timeline and FX'!V12)+$J$21*Payroll!$C$36*MIN(MAX(($I$21*'Timeline and FX'!V12),'Timeline and FX'!V14),'Timeline and FX'!V13))/'Timeline and FX'!V8</f>
        <v>1070.41720303303</v>
      </c>
      <c r="W100" s="60" t="n">
        <f aca="false">W60*(($I$21*'Timeline and FX'!W12)+$J$21*Payroll!$C$36*MIN(MAX(($I$21*'Timeline and FX'!W12),'Timeline and FX'!W14),'Timeline and FX'!W13))/'Timeline and FX'!W8</f>
        <v>1065.23213176782</v>
      </c>
      <c r="X100" s="60" t="n">
        <f aca="false">X60*(($I$21*'Timeline and FX'!X12)+$J$21*Payroll!$C$36*MIN(MAX(($I$21*'Timeline and FX'!X12),'Timeline and FX'!X14),'Timeline and FX'!X13))/'Timeline and FX'!X8</f>
        <v>1060.07217684412</v>
      </c>
      <c r="Y100" s="60" t="n">
        <f aca="false">Y60*(($I$21*'Timeline and FX'!Y12)+$J$21*Payroll!$C$36*MIN(MAX(($I$21*'Timeline and FX'!Y12),'Timeline and FX'!Y14),'Timeline and FX'!Y13))/'Timeline and FX'!Y8</f>
        <v>1054.93721659906</v>
      </c>
      <c r="Z100" s="60" t="n">
        <f aca="false">Z60*(($I$21*'Timeline and FX'!Z12)+$J$21*Payroll!$C$36*MIN(MAX(($I$21*'Timeline and FX'!Z12),'Timeline and FX'!Z14),'Timeline and FX'!Z13))/'Timeline and FX'!Z8</f>
        <v>1049.82712995911</v>
      </c>
      <c r="AA100" s="60" t="n">
        <f aca="false">AA60*(($I$21*'Timeline and FX'!AA12)+$J$21*Payroll!$C$36*MIN(MAX(($I$21*'Timeline and FX'!AA12),'Timeline and FX'!AA14),'Timeline and FX'!AA13))/'Timeline and FX'!AA8</f>
        <v>1044.74179643723</v>
      </c>
      <c r="AB100" s="59" t="n">
        <f aca="false">SUM(AC100:AN100)</f>
        <v>13632.1967069185</v>
      </c>
      <c r="AC100" s="60" t="n">
        <f aca="false">AC60*(($I$21*'Timeline and FX'!AC12)+$J$21*Payroll!$C$36*MIN(MAX(($I$21*'Timeline and FX'!AC12),'Timeline and FX'!AC14),'Timeline and FX'!AC13))/'Timeline and FX'!AC8</f>
        <v>1166.60036697232</v>
      </c>
      <c r="AD100" s="60" t="n">
        <f aca="false">AD60*(($I$21*'Timeline and FX'!AD12)+$J$21*Payroll!$C$36*MIN(MAX(($I$21*'Timeline and FX'!AD12),'Timeline and FX'!AD14),'Timeline and FX'!AD13))/'Timeline and FX'!AD8</f>
        <v>1160.94938712668</v>
      </c>
      <c r="AE100" s="60" t="n">
        <f aca="false">AE60*(($I$21*'Timeline and FX'!AE12)+$J$21*Payroll!$C$36*MIN(MAX(($I$21*'Timeline and FX'!AE12),'Timeline and FX'!AE14),'Timeline and FX'!AE13))/'Timeline and FX'!AE8</f>
        <v>1155.32578047079</v>
      </c>
      <c r="AF100" s="60" t="n">
        <f aca="false">AF60*(($I$21*'Timeline and FX'!AF12)+$J$21*Payroll!$C$36*MIN(MAX(($I$21*'Timeline and FX'!AF12),'Timeline and FX'!AF14),'Timeline and FX'!AF13))/'Timeline and FX'!AF8</f>
        <v>1149.72941440969</v>
      </c>
      <c r="AG100" s="60" t="n">
        <f aca="false">AG60*(($I$21*'Timeline and FX'!AG12)+$J$21*Payroll!$C$36*MIN(MAX(($I$21*'Timeline and FX'!AG12),'Timeline and FX'!AG14),'Timeline and FX'!AG13))/'Timeline and FX'!AG8</f>
        <v>1144.16015699069</v>
      </c>
      <c r="AH100" s="60" t="n">
        <f aca="false">AH60*(($I$21*'Timeline and FX'!AH12)+$J$21*Payroll!$C$36*MIN(MAX(($I$21*'Timeline and FX'!AH12),'Timeline and FX'!AH14),'Timeline and FX'!AH13))/'Timeline and FX'!AH8</f>
        <v>1138.61787690027</v>
      </c>
      <c r="AI100" s="60" t="n">
        <f aca="false">AI60*(($I$21*'Timeline and FX'!AI12)+$J$21*Payroll!$C$36*MIN(MAX(($I$21*'Timeline and FX'!AI12),'Timeline and FX'!AI14),'Timeline and FX'!AI13))/'Timeline and FX'!AI8</f>
        <v>1133.10244346101</v>
      </c>
      <c r="AJ100" s="60" t="n">
        <f aca="false">AJ60*(($I$21*'Timeline and FX'!AJ12)+$J$21*Payroll!$C$36*MIN(MAX(($I$21*'Timeline and FX'!AJ12),'Timeline and FX'!AJ14),'Timeline and FX'!AJ13))/'Timeline and FX'!AJ8</f>
        <v>1127.61372662847</v>
      </c>
      <c r="AK100" s="60" t="n">
        <f aca="false">AK60*(($I$21*'Timeline and FX'!AK12)+$J$21*Payroll!$C$36*MIN(MAX(($I$21*'Timeline and FX'!AK12),'Timeline and FX'!AK14),'Timeline and FX'!AK13))/'Timeline and FX'!AK8</f>
        <v>1122.15159698815</v>
      </c>
      <c r="AL100" s="60" t="n">
        <f aca="false">AL60*(($I$21*'Timeline and FX'!AL12)+$J$21*Payroll!$C$36*MIN(MAX(($I$21*'Timeline and FX'!AL12),'Timeline and FX'!AL14),'Timeline and FX'!AL13))/'Timeline and FX'!AL8</f>
        <v>1116.71592575243</v>
      </c>
      <c r="AM100" s="60" t="n">
        <f aca="false">AM60*(($I$21*'Timeline and FX'!AM12)+$J$21*Payroll!$C$36*MIN(MAX(($I$21*'Timeline and FX'!AM12),'Timeline and FX'!AM14),'Timeline and FX'!AM13))/'Timeline and FX'!AM8</f>
        <v>1111.30658475752</v>
      </c>
      <c r="AN100" s="60" t="n">
        <f aca="false">AN60*(($I$21*'Timeline and FX'!AN12)+$J$21*Payroll!$C$36*MIN(MAX(($I$21*'Timeline and FX'!AN12),'Timeline and FX'!AN14),'Timeline and FX'!AN13))/'Timeline and FX'!AN8</f>
        <v>1105.92344646048</v>
      </c>
      <c r="AO100" s="59" t="n">
        <f aca="false">SUM(AP100:BA100)</f>
        <v>28862.3656381121</v>
      </c>
      <c r="AP100" s="60" t="n">
        <f aca="false">AP60*(($I$21*'Timeline and FX'!AP12)+$J$21*Payroll!$C$36*MIN(MAX(($I$21*'Timeline and FX'!AP12),'Timeline and FX'!AP14),'Timeline and FX'!AP13))/'Timeline and FX'!AP8</f>
        <v>2469.95015322971</v>
      </c>
      <c r="AQ100" s="60" t="n">
        <f aca="false">AQ60*(($I$21*'Timeline and FX'!AQ12)+$J$21*Payroll!$C$36*MIN(MAX(($I$21*'Timeline and FX'!AQ12),'Timeline and FX'!AQ14),'Timeline and FX'!AQ13))/'Timeline and FX'!AQ8</f>
        <v>2457.98578314137</v>
      </c>
      <c r="AR100" s="60" t="n">
        <f aca="false">AR60*(($I$21*'Timeline and FX'!AR12)+$J$21*Payroll!$C$36*MIN(MAX(($I$21*'Timeline and FX'!AR12),'Timeline and FX'!AR14),'Timeline and FX'!AR13))/'Timeline and FX'!AR8</f>
        <v>2446.07936813015</v>
      </c>
      <c r="AS100" s="60" t="n">
        <f aca="false">AS60*(($I$21*'Timeline and FX'!AS12)+$J$21*Payroll!$C$36*MIN(MAX(($I$21*'Timeline and FX'!AS12),'Timeline and FX'!AS14),'Timeline and FX'!AS13))/'Timeline and FX'!AS8</f>
        <v>2434.23062746327</v>
      </c>
      <c r="AT100" s="60" t="n">
        <f aca="false">AT60*(($I$21*'Timeline and FX'!AT12)+$J$21*Payroll!$C$36*MIN(MAX(($I$21*'Timeline and FX'!AT12),'Timeline and FX'!AT14),'Timeline and FX'!AT13))/'Timeline and FX'!AT8</f>
        <v>2422.43928176779</v>
      </c>
      <c r="AU100" s="60" t="n">
        <f aca="false">AU60*(($I$21*'Timeline and FX'!AU12)+$J$21*Payroll!$C$36*MIN(MAX(($I$21*'Timeline and FX'!AU12),'Timeline and FX'!AU14),'Timeline and FX'!AU13))/'Timeline and FX'!AU8</f>
        <v>2410.70505302407</v>
      </c>
      <c r="AV100" s="60" t="n">
        <f aca="false">AV60*(($I$21*'Timeline and FX'!AV12)+$J$21*Payroll!$C$36*MIN(MAX(($I$21*'Timeline and FX'!AV12),'Timeline and FX'!AV14),'Timeline and FX'!AV13))/'Timeline and FX'!AV8</f>
        <v>2399.02766455917</v>
      </c>
      <c r="AW100" s="60" t="n">
        <f aca="false">AW60*(($I$21*'Timeline and FX'!AW12)+$J$21*Payroll!$C$36*MIN(MAX(($I$21*'Timeline and FX'!AW12),'Timeline and FX'!AW14),'Timeline and FX'!AW13))/'Timeline and FX'!AW8</f>
        <v>2387.40684104036</v>
      </c>
      <c r="AX100" s="60" t="n">
        <f aca="false">AX60*(($I$21*'Timeline and FX'!AX12)+$J$21*Payroll!$C$36*MIN(MAX(($I$21*'Timeline and FX'!AX12),'Timeline and FX'!AX14),'Timeline and FX'!AX13))/'Timeline and FX'!AX8</f>
        <v>2375.84230846861</v>
      </c>
      <c r="AY100" s="60" t="n">
        <f aca="false">AY60*(($I$21*'Timeline and FX'!AY12)+$J$21*Payroll!$C$36*MIN(MAX(($I$21*'Timeline and FX'!AY12),'Timeline and FX'!AY14),'Timeline and FX'!AY13))/'Timeline and FX'!AY8</f>
        <v>2364.33379417213</v>
      </c>
      <c r="AZ100" s="60" t="n">
        <f aca="false">AZ60*(($I$21*'Timeline and FX'!AZ12)+$J$21*Payroll!$C$36*MIN(MAX(($I$21*'Timeline and FX'!AZ12),'Timeline and FX'!AZ14),'Timeline and FX'!AZ13))/'Timeline and FX'!AZ8</f>
        <v>2352.88102679994</v>
      </c>
      <c r="BA100" s="60" t="n">
        <f aca="false">BA60*(($I$21*'Timeline and FX'!BA12)+$J$21*Payroll!$C$36*MIN(MAX(($I$21*'Timeline and FX'!BA12),'Timeline and FX'!BA14),'Timeline and FX'!BA13))/'Timeline and FX'!BA8</f>
        <v>2341.4837363155</v>
      </c>
      <c r="BB100" s="59" t="n">
        <f aca="false">SUM(BC100:BN100)</f>
        <v>30555.4338567135</v>
      </c>
      <c r="BC100" s="60" t="n">
        <f aca="false">BC60*(($I$21*'Timeline and FX'!BC12)+$J$21*Payroll!$C$36*MIN(MAX(($I$21*'Timeline and FX'!BC12),'Timeline and FX'!BC14),'Timeline and FX'!BC13))/'Timeline and FX'!BC8</f>
        <v>2614.8375875584</v>
      </c>
      <c r="BD100" s="60" t="n">
        <f aca="false">BD60*(($I$21*'Timeline and FX'!BD12)+$J$21*Payroll!$C$36*MIN(MAX(($I$21*'Timeline and FX'!BD12),'Timeline and FX'!BD14),'Timeline and FX'!BD13))/'Timeline and FX'!BD8</f>
        <v>2602.17138675369</v>
      </c>
      <c r="BE100" s="60" t="n">
        <f aca="false">BE60*(($I$21*'Timeline and FX'!BE12)+$J$21*Payroll!$C$36*MIN(MAX(($I$21*'Timeline and FX'!BE12),'Timeline and FX'!BE14),'Timeline and FX'!BE13))/'Timeline and FX'!BE8</f>
        <v>2589.56654067464</v>
      </c>
      <c r="BF100" s="60" t="n">
        <f aca="false">BF60*(($I$21*'Timeline and FX'!BF12)+$J$21*Payroll!$C$36*MIN(MAX(($I$21*'Timeline and FX'!BF12),'Timeline and FX'!BF14),'Timeline and FX'!BF13))/'Timeline and FX'!BF8</f>
        <v>2577.02275212065</v>
      </c>
      <c r="BG100" s="60" t="n">
        <f aca="false">BG60*(($I$21*'Timeline and FX'!BG12)+$J$21*Payroll!$C$36*MIN(MAX(($I$21*'Timeline and FX'!BG12),'Timeline and FX'!BG14),'Timeline and FX'!BG13))/'Timeline and FX'!BG8</f>
        <v>2564.53972533077</v>
      </c>
      <c r="BH100" s="60" t="n">
        <f aca="false">BH60*(($I$21*'Timeline and FX'!BH12)+$J$21*Payroll!$C$36*MIN(MAX(($I$21*'Timeline and FX'!BH12),'Timeline and FX'!BH14),'Timeline and FX'!BH13))/'Timeline and FX'!BH8</f>
        <v>2552.1171659767</v>
      </c>
      <c r="BI100" s="60" t="n">
        <f aca="false">BI60*(($I$21*'Timeline and FX'!BI12)+$J$21*Payroll!$C$36*MIN(MAX(($I$21*'Timeline and FX'!BI12),'Timeline and FX'!BI14),'Timeline and FX'!BI13))/'Timeline and FX'!BI8</f>
        <v>2539.75478115585</v>
      </c>
      <c r="BJ100" s="60" t="n">
        <f aca="false">BJ60*(($I$21*'Timeline and FX'!BJ12)+$J$21*Payroll!$C$36*MIN(MAX(($I$21*'Timeline and FX'!BJ12),'Timeline and FX'!BJ14),'Timeline and FX'!BJ13))/'Timeline and FX'!BJ8</f>
        <v>2527.45227938446</v>
      </c>
      <c r="BK100" s="60" t="n">
        <f aca="false">BK60*(($I$21*'Timeline and FX'!BK12)+$J$21*Payroll!$C$36*MIN(MAX(($I$21*'Timeline and FX'!BK12),'Timeline and FX'!BK14),'Timeline and FX'!BK13))/'Timeline and FX'!BK8</f>
        <v>2515.20937059068</v>
      </c>
      <c r="BL100" s="60" t="n">
        <f aca="false">BL60*(($I$21*'Timeline and FX'!BL12)+$J$21*Payroll!$C$36*MIN(MAX(($I$21*'Timeline and FX'!BL12),'Timeline and FX'!BL14),'Timeline and FX'!BL13))/'Timeline and FX'!BL8</f>
        <v>2503.0257661078</v>
      </c>
      <c r="BM100" s="60" t="n">
        <f aca="false">BM60*(($I$21*'Timeline and FX'!BM12)+$J$21*Payroll!$C$36*MIN(MAX(($I$21*'Timeline and FX'!BM12),'Timeline and FX'!BM14),'Timeline and FX'!BM13))/'Timeline and FX'!BM8</f>
        <v>2490.90117866736</v>
      </c>
      <c r="BN100" s="60" t="n">
        <f aca="false">BN60*(($I$21*'Timeline and FX'!BN12)+$J$21*Payroll!$C$36*MIN(MAX(($I$21*'Timeline and FX'!BN12),'Timeline and FX'!BN14),'Timeline and FX'!BN13))/'Timeline and FX'!BN8</f>
        <v>2478.83532239246</v>
      </c>
    </row>
    <row r="101" customFormat="false" ht="15" hidden="false" customHeight="false" outlineLevel="0" collapsed="false">
      <c r="A101" s="4" t="s">
        <v>853</v>
      </c>
      <c r="B101" s="59" t="n">
        <f aca="false">SUM(C101:N101)</f>
        <v>0</v>
      </c>
      <c r="C101" s="60" t="n">
        <f aca="false">C61*(($I$22*'Timeline and FX'!C12)+$J$22*Payroll!$C$36*MIN(MAX(($I$22*'Timeline and FX'!C12),'Timeline and FX'!C14),'Timeline and FX'!C13))/'Timeline and FX'!C8</f>
        <v>0</v>
      </c>
      <c r="D101" s="60" t="n">
        <f aca="false">D61*(($I$22*'Timeline and FX'!D12)+$J$22*Payroll!$C$36*MIN(MAX(($I$22*'Timeline and FX'!D12),'Timeline and FX'!D14),'Timeline and FX'!D13))/'Timeline and FX'!D8</f>
        <v>0</v>
      </c>
      <c r="E101" s="60" t="n">
        <f aca="false">E61*(($I$22*'Timeline and FX'!E12)+$J$22*Payroll!$C$36*MIN(MAX(($I$22*'Timeline and FX'!E12),'Timeline and FX'!E14),'Timeline and FX'!E13))/'Timeline and FX'!E8</f>
        <v>0</v>
      </c>
      <c r="F101" s="60" t="n">
        <f aca="false">F61*(($I$22*'Timeline and FX'!F12)+$J$22*Payroll!$C$36*MIN(MAX(($I$22*'Timeline and FX'!F12),'Timeline and FX'!F14),'Timeline and FX'!F13))/'Timeline and FX'!F8</f>
        <v>0</v>
      </c>
      <c r="G101" s="60" t="n">
        <f aca="false">G61*(($I$22*'Timeline and FX'!G12)+$J$22*Payroll!$C$36*MIN(MAX(($I$22*'Timeline and FX'!G12),'Timeline and FX'!G14),'Timeline and FX'!G13))/'Timeline and FX'!G8</f>
        <v>0</v>
      </c>
      <c r="H101" s="60" t="n">
        <f aca="false">H61*(($I$22*'Timeline and FX'!H12)+$J$22*Payroll!$C$36*MIN(MAX(($I$22*'Timeline and FX'!H12),'Timeline and FX'!H14),'Timeline and FX'!H13))/'Timeline and FX'!H8</f>
        <v>0</v>
      </c>
      <c r="I101" s="60" t="n">
        <f aca="false">I61*(($I$22*'Timeline and FX'!I12)+$J$22*Payroll!$C$36*MIN(MAX(($I$22*'Timeline and FX'!I12),'Timeline and FX'!I14),'Timeline and FX'!I13))/'Timeline and FX'!I8</f>
        <v>0</v>
      </c>
      <c r="J101" s="60" t="n">
        <f aca="false">J61*(($I$22*'Timeline and FX'!J12)+$J$22*Payroll!$C$36*MIN(MAX(($I$22*'Timeline and FX'!J12),'Timeline and FX'!J14),'Timeline and FX'!J13))/'Timeline and FX'!J8</f>
        <v>0</v>
      </c>
      <c r="K101" s="60" t="n">
        <f aca="false">K61*(($I$22*'Timeline and FX'!K12)+$J$22*Payroll!$C$36*MIN(MAX(($I$22*'Timeline and FX'!K12),'Timeline and FX'!K14),'Timeline and FX'!K13))/'Timeline and FX'!K8</f>
        <v>0</v>
      </c>
      <c r="L101" s="60" t="n">
        <f aca="false">L61*(($I$22*'Timeline and FX'!L12)+$J$22*Payroll!$C$36*MIN(MAX(($I$22*'Timeline and FX'!L12),'Timeline and FX'!L14),'Timeline and FX'!L13))/'Timeline and FX'!L8</f>
        <v>0</v>
      </c>
      <c r="M101" s="60" t="n">
        <f aca="false">M61*(($I$22*'Timeline and FX'!M12)+$J$22*Payroll!$C$36*MIN(MAX(($I$22*'Timeline and FX'!M12),'Timeline and FX'!M14),'Timeline and FX'!M13))/'Timeline and FX'!M8</f>
        <v>0</v>
      </c>
      <c r="N101" s="60" t="n">
        <f aca="false">N61*(($I$22*'Timeline and FX'!N12)+$J$22*Payroll!$C$36*MIN(MAX(($I$22*'Timeline and FX'!N12),'Timeline and FX'!N14),'Timeline and FX'!N13))/'Timeline and FX'!N8</f>
        <v>0</v>
      </c>
      <c r="O101" s="59" t="n">
        <f aca="false">SUM(P101:AA101)</f>
        <v>7649.48570648777</v>
      </c>
      <c r="P101" s="60" t="n">
        <f aca="false">P61*(($I$22*'Timeline and FX'!P12)+$J$22*Payroll!$C$36*MIN(MAX(($I$22*'Timeline and FX'!P12),'Timeline and FX'!P14),'Timeline and FX'!P13))/'Timeline and FX'!P8</f>
        <v>438.541857483056</v>
      </c>
      <c r="Q101" s="60" t="n">
        <f aca="false">Q61*(($I$22*'Timeline and FX'!Q12)+$J$22*Payroll!$C$36*MIN(MAX(($I$22*'Timeline and FX'!Q12),'Timeline and FX'!Q14),'Timeline and FX'!Q13))/'Timeline and FX'!Q8</f>
        <v>436.41757287946</v>
      </c>
      <c r="R101" s="60" t="n">
        <f aca="false">R61*(($I$22*'Timeline and FX'!R12)+$J$22*Payroll!$C$36*MIN(MAX(($I$22*'Timeline and FX'!R12),'Timeline and FX'!R14),'Timeline and FX'!R13))/'Timeline and FX'!R8</f>
        <v>434.303578251611</v>
      </c>
      <c r="S101" s="60" t="n">
        <f aca="false">S61*(($I$22*'Timeline and FX'!S12)+$J$22*Payroll!$C$36*MIN(MAX(($I$22*'Timeline and FX'!S12),'Timeline and FX'!S14),'Timeline and FX'!S13))/'Timeline and FX'!S8</f>
        <v>432.199823755151</v>
      </c>
      <c r="T101" s="60" t="n">
        <f aca="false">T61*(($I$22*'Timeline and FX'!T12)+$J$22*Payroll!$C$36*MIN(MAX(($I$22*'Timeline and FX'!T12),'Timeline and FX'!T14),'Timeline and FX'!T13))/'Timeline and FX'!T8</f>
        <v>430.106259787166</v>
      </c>
      <c r="U101" s="60" t="n">
        <f aca="false">U61*(($I$22*'Timeline and FX'!U12)+$J$22*Payroll!$C$36*MIN(MAX(($I$22*'Timeline and FX'!U12),'Timeline and FX'!U14),'Timeline and FX'!U13))/'Timeline and FX'!U8</f>
        <v>428.02283698502</v>
      </c>
      <c r="V101" s="60" t="n">
        <f aca="false">V61*(($I$22*'Timeline and FX'!V12)+$J$22*Payroll!$C$36*MIN(MAX(($I$22*'Timeline and FX'!V12),'Timeline and FX'!V14),'Timeline and FX'!V13))/'Timeline and FX'!V8</f>
        <v>851.899012450372</v>
      </c>
      <c r="W101" s="60" t="n">
        <f aca="false">W61*(($I$22*'Timeline and FX'!W12)+$J$22*Payroll!$C$36*MIN(MAX(($I$22*'Timeline and FX'!W12),'Timeline and FX'!W14),'Timeline and FX'!W13))/'Timeline and FX'!W8</f>
        <v>847.772437244182</v>
      </c>
      <c r="X101" s="60" t="n">
        <f aca="false">X61*(($I$22*'Timeline and FX'!X12)+$J$22*Payroll!$C$36*MIN(MAX(($I$22*'Timeline and FX'!X12),'Timeline and FX'!X14),'Timeline and FX'!X13))/'Timeline and FX'!X8</f>
        <v>843.665851053924</v>
      </c>
      <c r="Y101" s="60" t="n">
        <f aca="false">Y61*(($I$22*'Timeline and FX'!Y12)+$J$22*Payroll!$C$36*MIN(MAX(($I$22*'Timeline and FX'!Y12),'Timeline and FX'!Y14),'Timeline and FX'!Y13))/'Timeline and FX'!Y8</f>
        <v>839.579157053359</v>
      </c>
      <c r="Z101" s="60" t="n">
        <f aca="false">Z61*(($I$22*'Timeline and FX'!Z12)+$J$22*Payroll!$C$36*MIN(MAX(($I$22*'Timeline and FX'!Z12),'Timeline and FX'!Z14),'Timeline and FX'!Z13))/'Timeline and FX'!Z8</f>
        <v>835.51225888527</v>
      </c>
      <c r="AA101" s="60" t="n">
        <f aca="false">AA61*(($I$22*'Timeline and FX'!AA12)+$J$22*Payroll!$C$36*MIN(MAX(($I$22*'Timeline and FX'!AA12),'Timeline and FX'!AA14),'Timeline and FX'!AA13))/'Timeline and FX'!AA8</f>
        <v>831.465060659196</v>
      </c>
      <c r="AB101" s="59" t="n">
        <f aca="false">SUM(AC101:AN101)</f>
        <v>16243.8211583558</v>
      </c>
      <c r="AC101" s="60" t="n">
        <f aca="false">AC61*(($I$22*'Timeline and FX'!AC12)+$J$22*Payroll!$C$36*MIN(MAX(($I$22*'Timeline and FX'!AC12),'Timeline and FX'!AC14),'Timeline and FX'!AC13))/'Timeline and FX'!AC8</f>
        <v>1390.09494447459</v>
      </c>
      <c r="AD101" s="60" t="n">
        <f aca="false">AD61*(($I$22*'Timeline and FX'!AD12)+$J$22*Payroll!$C$36*MIN(MAX(($I$22*'Timeline and FX'!AD12),'Timeline and FX'!AD14),'Timeline and FX'!AD13))/'Timeline and FX'!AD8</f>
        <v>1383.36136308961</v>
      </c>
      <c r="AE101" s="60" t="n">
        <f aca="false">AE61*(($I$22*'Timeline and FX'!AE12)+$J$22*Payroll!$C$36*MIN(MAX(($I$22*'Timeline and FX'!AE12),'Timeline and FX'!AE14),'Timeline and FX'!AE13))/'Timeline and FX'!AE8</f>
        <v>1376.66039898624</v>
      </c>
      <c r="AF101" s="60" t="n">
        <f aca="false">AF61*(($I$22*'Timeline and FX'!AF12)+$J$22*Payroll!$C$36*MIN(MAX(($I$22*'Timeline and FX'!AF12),'Timeline and FX'!AF14),'Timeline and FX'!AF13))/'Timeline and FX'!AF8</f>
        <v>1369.99189416727</v>
      </c>
      <c r="AG101" s="60" t="n">
        <f aca="false">AG61*(($I$22*'Timeline and FX'!AG12)+$J$22*Payroll!$C$36*MIN(MAX(($I$22*'Timeline and FX'!AG12),'Timeline and FX'!AG14),'Timeline and FX'!AG13))/'Timeline and FX'!AG8</f>
        <v>1363.35569140083</v>
      </c>
      <c r="AH101" s="60" t="n">
        <f aca="false">AH61*(($I$22*'Timeline and FX'!AH12)+$J$22*Payroll!$C$36*MIN(MAX(($I$22*'Timeline and FX'!AH12),'Timeline and FX'!AH14),'Timeline and FX'!AH13))/'Timeline and FX'!AH8</f>
        <v>1356.75163421667</v>
      </c>
      <c r="AI101" s="60" t="n">
        <f aca="false">AI61*(($I$22*'Timeline and FX'!AI12)+$J$22*Payroll!$C$36*MIN(MAX(($I$22*'Timeline and FX'!AI12),'Timeline and FX'!AI14),'Timeline and FX'!AI13))/'Timeline and FX'!AI8</f>
        <v>1350.17956690248</v>
      </c>
      <c r="AJ101" s="60" t="n">
        <f aca="false">AJ61*(($I$22*'Timeline and FX'!AJ12)+$J$22*Payroll!$C$36*MIN(MAX(($I$22*'Timeline and FX'!AJ12),'Timeline and FX'!AJ14),'Timeline and FX'!AJ13))/'Timeline and FX'!AJ8</f>
        <v>1343.63933450021</v>
      </c>
      <c r="AK101" s="60" t="n">
        <f aca="false">AK61*(($I$22*'Timeline and FX'!AK12)+$J$22*Payroll!$C$36*MIN(MAX(($I$22*'Timeline and FX'!AK12),'Timeline and FX'!AK14),'Timeline and FX'!AK13))/'Timeline and FX'!AK8</f>
        <v>1337.13078280245</v>
      </c>
      <c r="AL101" s="60" t="n">
        <f aca="false">AL61*(($I$22*'Timeline and FX'!AL12)+$J$22*Payroll!$C$36*MIN(MAX(($I$22*'Timeline and FX'!AL12),'Timeline and FX'!AL14),'Timeline and FX'!AL13))/'Timeline and FX'!AL8</f>
        <v>1330.65375834872</v>
      </c>
      <c r="AM101" s="60" t="n">
        <f aca="false">AM61*(($I$22*'Timeline and FX'!AM12)+$J$22*Payroll!$C$36*MIN(MAX(($I$22*'Timeline and FX'!AM12),'Timeline and FX'!AM14),'Timeline and FX'!AM13))/'Timeline and FX'!AM8</f>
        <v>1324.20810842194</v>
      </c>
      <c r="AN101" s="60" t="n">
        <f aca="false">AN61*(($I$22*'Timeline and FX'!AN12)+$J$22*Payroll!$C$36*MIN(MAX(($I$22*'Timeline and FX'!AN12),'Timeline and FX'!AN14),'Timeline and FX'!AN13))/'Timeline and FX'!AN8</f>
        <v>1317.79368104476</v>
      </c>
      <c r="AO101" s="59" t="n">
        <f aca="false">SUM(AP101:BA101)</f>
        <v>22884.3769778094</v>
      </c>
      <c r="AP101" s="60" t="n">
        <f aca="false">AP61*(($I$22*'Timeline and FX'!AP12)+$J$22*Payroll!$C$36*MIN(MAX(($I$22*'Timeline and FX'!AP12),'Timeline and FX'!AP14),'Timeline and FX'!AP13))/'Timeline and FX'!AP8</f>
        <v>1958.3727519642</v>
      </c>
      <c r="AQ101" s="60" t="n">
        <f aca="false">AQ61*(($I$22*'Timeline and FX'!AQ12)+$J$22*Payroll!$C$36*MIN(MAX(($I$22*'Timeline and FX'!AQ12),'Timeline and FX'!AQ14),'Timeline and FX'!AQ13))/'Timeline and FX'!AQ8</f>
        <v>1948.88644862939</v>
      </c>
      <c r="AR101" s="60" t="n">
        <f aca="false">AR61*(($I$22*'Timeline and FX'!AR12)+$J$22*Payroll!$C$36*MIN(MAX(($I$22*'Timeline and FX'!AR12),'Timeline and FX'!AR14),'Timeline and FX'!AR13))/'Timeline and FX'!AR8</f>
        <v>1939.44609668502</v>
      </c>
      <c r="AS101" s="60" t="n">
        <f aca="false">AS61*(($I$22*'Timeline and FX'!AS12)+$J$22*Payroll!$C$36*MIN(MAX(($I$22*'Timeline and FX'!AS12),'Timeline and FX'!AS14),'Timeline and FX'!AS13))/'Timeline and FX'!AS8</f>
        <v>1930.05147354383</v>
      </c>
      <c r="AT101" s="60" t="n">
        <f aca="false">AT61*(($I$22*'Timeline and FX'!AT12)+$J$22*Payroll!$C$36*MIN(MAX(($I$22*'Timeline and FX'!AT12),'Timeline and FX'!AT14),'Timeline and FX'!AT13))/'Timeline and FX'!AT8</f>
        <v>1920.70235769677</v>
      </c>
      <c r="AU101" s="60" t="n">
        <f aca="false">AU61*(($I$22*'Timeline and FX'!AU12)+$J$22*Payroll!$C$36*MIN(MAX(($I$22*'Timeline and FX'!AU12),'Timeline and FX'!AU14),'Timeline and FX'!AU13))/'Timeline and FX'!AU8</f>
        <v>1911.39852870776</v>
      </c>
      <c r="AV101" s="60" t="n">
        <f aca="false">AV61*(($I$22*'Timeline and FX'!AV12)+$J$22*Payroll!$C$36*MIN(MAX(($I$22*'Timeline and FX'!AV12),'Timeline and FX'!AV14),'Timeline and FX'!AV13))/'Timeline and FX'!AV8</f>
        <v>1902.13976720852</v>
      </c>
      <c r="AW101" s="60" t="n">
        <f aca="false">AW61*(($I$22*'Timeline and FX'!AW12)+$J$22*Payroll!$C$36*MIN(MAX(($I$22*'Timeline and FX'!AW12),'Timeline and FX'!AW14),'Timeline and FX'!AW13))/'Timeline and FX'!AW8</f>
        <v>1892.92585489338</v>
      </c>
      <c r="AX101" s="60" t="n">
        <f aca="false">AX61*(($I$22*'Timeline and FX'!AX12)+$J$22*Payroll!$C$36*MIN(MAX(($I$22*'Timeline and FX'!AX12),'Timeline and FX'!AX14),'Timeline and FX'!AX13))/'Timeline and FX'!AX8</f>
        <v>1883.75657451414</v>
      </c>
      <c r="AY101" s="60" t="n">
        <f aca="false">AY61*(($I$22*'Timeline and FX'!AY12)+$J$22*Payroll!$C$36*MIN(MAX(($I$22*'Timeline and FX'!AY12),'Timeline and FX'!AY14),'Timeline and FX'!AY13))/'Timeline and FX'!AY8</f>
        <v>1874.63170987493</v>
      </c>
      <c r="AZ101" s="60" t="n">
        <f aca="false">AZ61*(($I$22*'Timeline and FX'!AZ12)+$J$22*Payroll!$C$36*MIN(MAX(($I$22*'Timeline and FX'!AZ12),'Timeline and FX'!AZ14),'Timeline and FX'!AZ13))/'Timeline and FX'!AZ8</f>
        <v>1865.55104582713</v>
      </c>
      <c r="BA101" s="60" t="n">
        <f aca="false">BA61*(($I$22*'Timeline and FX'!BA12)+$J$22*Payroll!$C$36*MIN(MAX(($I$22*'Timeline and FX'!BA12),'Timeline and FX'!BA14),'Timeline and FX'!BA13))/'Timeline and FX'!BA8</f>
        <v>1856.51436826432</v>
      </c>
      <c r="BB101" s="59" t="n">
        <f aca="false">SUM(BC101:BN101)</f>
        <v>30224.6488386162</v>
      </c>
      <c r="BC101" s="60" t="n">
        <f aca="false">BC61*(($I$22*'Timeline and FX'!BC12)+$J$22*Payroll!$C$36*MIN(MAX(($I$22*'Timeline and FX'!BC12),'Timeline and FX'!BC14),'Timeline and FX'!BC13))/'Timeline and FX'!BC8</f>
        <v>2586.53004976404</v>
      </c>
      <c r="BD101" s="60" t="n">
        <f aca="false">BD61*(($I$22*'Timeline and FX'!BD12)+$J$22*Payroll!$C$36*MIN(MAX(($I$22*'Timeline and FX'!BD12),'Timeline and FX'!BD14),'Timeline and FX'!BD13))/'Timeline and FX'!BD8</f>
        <v>2574.00096988787</v>
      </c>
      <c r="BE101" s="60" t="n">
        <f aca="false">BE61*(($I$22*'Timeline and FX'!BE12)+$J$22*Payroll!$C$36*MIN(MAX(($I$22*'Timeline and FX'!BE12),'Timeline and FX'!BE14),'Timeline and FX'!BE13))/'Timeline and FX'!BE8</f>
        <v>2561.53258052738</v>
      </c>
      <c r="BF101" s="60" t="n">
        <f aca="false">BF61*(($I$22*'Timeline and FX'!BF12)+$J$22*Payroll!$C$36*MIN(MAX(($I$22*'Timeline and FX'!BF12),'Timeline and FX'!BF14),'Timeline and FX'!BF13))/'Timeline and FX'!BF8</f>
        <v>2549.1245876994</v>
      </c>
      <c r="BG101" s="60" t="n">
        <f aca="false">BG61*(($I$22*'Timeline and FX'!BG12)+$J$22*Payroll!$C$36*MIN(MAX(($I$22*'Timeline and FX'!BG12),'Timeline and FX'!BG14),'Timeline and FX'!BG13))/'Timeline and FX'!BG8</f>
        <v>2536.77669884478</v>
      </c>
      <c r="BH101" s="60" t="n">
        <f aca="false">BH61*(($I$22*'Timeline and FX'!BH12)+$J$22*Payroll!$C$36*MIN(MAX(($I$22*'Timeline and FX'!BH12),'Timeline and FX'!BH14),'Timeline and FX'!BH13))/'Timeline and FX'!BH8</f>
        <v>2524.48862282157</v>
      </c>
      <c r="BI101" s="60" t="n">
        <f aca="false">BI61*(($I$22*'Timeline and FX'!BI12)+$J$22*Payroll!$C$36*MIN(MAX(($I$22*'Timeline and FX'!BI12),'Timeline and FX'!BI14),'Timeline and FX'!BI13))/'Timeline and FX'!BI8</f>
        <v>2512.26006989805</v>
      </c>
      <c r="BJ101" s="60" t="n">
        <f aca="false">BJ61*(($I$22*'Timeline and FX'!BJ12)+$J$22*Payroll!$C$36*MIN(MAX(($I$22*'Timeline and FX'!BJ12),'Timeline and FX'!BJ14),'Timeline and FX'!BJ13))/'Timeline and FX'!BJ8</f>
        <v>2500.09075174598</v>
      </c>
      <c r="BK101" s="60" t="n">
        <f aca="false">BK61*(($I$22*'Timeline and FX'!BK12)+$J$22*Payroll!$C$36*MIN(MAX(($I$22*'Timeline and FX'!BK12),'Timeline and FX'!BK14),'Timeline and FX'!BK13))/'Timeline and FX'!BK8</f>
        <v>2487.98038143377</v>
      </c>
      <c r="BL101" s="60" t="n">
        <f aca="false">BL61*(($I$22*'Timeline and FX'!BL12)+$J$22*Payroll!$C$36*MIN(MAX(($I$22*'Timeline and FX'!BL12),'Timeline and FX'!BL14),'Timeline and FX'!BL13))/'Timeline and FX'!BL8</f>
        <v>2475.92867341971</v>
      </c>
      <c r="BM101" s="60" t="n">
        <f aca="false">BM61*(($I$22*'Timeline and FX'!BM12)+$J$22*Payroll!$C$36*MIN(MAX(($I$22*'Timeline and FX'!BM12),'Timeline and FX'!BM14),'Timeline and FX'!BM13))/'Timeline and FX'!BM8</f>
        <v>2463.93534354527</v>
      </c>
      <c r="BN101" s="60" t="n">
        <f aca="false">BN61*(($I$22*'Timeline and FX'!BN12)+$J$22*Payroll!$C$36*MIN(MAX(($I$22*'Timeline and FX'!BN12),'Timeline and FX'!BN14),'Timeline and FX'!BN13))/'Timeline and FX'!BN8</f>
        <v>2452.00010902835</v>
      </c>
    </row>
    <row r="102" customFormat="false" ht="15" hidden="false" customHeight="false" outlineLevel="0" collapsed="false">
      <c r="A102" s="4" t="s">
        <v>854</v>
      </c>
      <c r="B102" s="59" t="n">
        <f aca="false">SUM(C102:N102)</f>
        <v>8762.63494063103</v>
      </c>
      <c r="C102" s="60" t="n">
        <f aca="false">C62*(($I$23*'Timeline and FX'!C12)+$J$23*Payroll!$C$36*MIN(MAX(($I$23*'Timeline and FX'!C12),'Timeline and FX'!C14),'Timeline and FX'!C13))/'Timeline and FX'!C8</f>
        <v>749.878640776699</v>
      </c>
      <c r="D102" s="60" t="n">
        <f aca="false">D62*(($I$23*'Timeline and FX'!D12)+$J$23*Payroll!$C$36*MIN(MAX(($I$23*'Timeline and FX'!D12),'Timeline and FX'!D14),'Timeline and FX'!D13))/'Timeline and FX'!D8</f>
        <v>746.246249423433</v>
      </c>
      <c r="E102" s="60" t="n">
        <f aca="false">E62*(($I$23*'Timeline and FX'!E12)+$J$23*Payroll!$C$36*MIN(MAX(($I$23*'Timeline and FX'!E12),'Timeline and FX'!E14),'Timeline and FX'!E13))/'Timeline and FX'!E8</f>
        <v>742.631453273211</v>
      </c>
      <c r="F102" s="60" t="n">
        <f aca="false">F62*(($I$23*'Timeline and FX'!F12)+$J$23*Payroll!$C$36*MIN(MAX(($I$23*'Timeline and FX'!F12),'Timeline and FX'!F14),'Timeline and FX'!F13))/'Timeline and FX'!F8</f>
        <v>739.034167095359</v>
      </c>
      <c r="G102" s="60" t="n">
        <f aca="false">G62*(($I$23*'Timeline and FX'!G12)+$J$23*Payroll!$C$36*MIN(MAX(($I$23*'Timeline and FX'!G12),'Timeline and FX'!G14),'Timeline and FX'!G13))/'Timeline and FX'!G8</f>
        <v>735.454306072054</v>
      </c>
      <c r="H102" s="60" t="n">
        <f aca="false">H62*(($I$23*'Timeline and FX'!H12)+$J$23*Payroll!$C$36*MIN(MAX(($I$23*'Timeline and FX'!H12),'Timeline and FX'!H14),'Timeline and FX'!H13))/'Timeline and FX'!H8</f>
        <v>731.891785796331</v>
      </c>
      <c r="I102" s="60" t="n">
        <f aca="false">I62*(($I$23*'Timeline and FX'!I12)+$J$23*Payroll!$C$36*MIN(MAX(($I$23*'Timeline and FX'!I12),'Timeline and FX'!I14),'Timeline and FX'!I13))/'Timeline and FX'!I8</f>
        <v>728.346522270089</v>
      </c>
      <c r="J102" s="60" t="n">
        <f aca="false">J62*(($I$23*'Timeline and FX'!J12)+$J$23*Payroll!$C$36*MIN(MAX(($I$23*'Timeline and FX'!J12),'Timeline and FX'!J14),'Timeline and FX'!J13))/'Timeline and FX'!J8</f>
        <v>724.818431902113</v>
      </c>
      <c r="K102" s="60" t="n">
        <f aca="false">K62*(($I$23*'Timeline and FX'!K12)+$J$23*Payroll!$C$36*MIN(MAX(($I$23*'Timeline and FX'!K12),'Timeline and FX'!K14),'Timeline and FX'!K13))/'Timeline and FX'!K8</f>
        <v>721.307431506099</v>
      </c>
      <c r="L102" s="60" t="n">
        <f aca="false">L62*(($I$23*'Timeline and FX'!L12)+$J$23*Payroll!$C$36*MIN(MAX(($I$23*'Timeline and FX'!L12),'Timeline and FX'!L14),'Timeline and FX'!L13))/'Timeline and FX'!L8</f>
        <v>717.813438298698</v>
      </c>
      <c r="M102" s="60" t="n">
        <f aca="false">M62*(($I$23*'Timeline and FX'!M12)+$J$23*Payroll!$C$36*MIN(MAX(($I$23*'Timeline and FX'!M12),'Timeline and FX'!M14),'Timeline and FX'!M13))/'Timeline and FX'!M8</f>
        <v>714.336369897558</v>
      </c>
      <c r="N102" s="60" t="n">
        <f aca="false">N62*(($I$23*'Timeline and FX'!N12)+$J$23*Payroll!$C$36*MIN(MAX(($I$23*'Timeline and FX'!N12),'Timeline and FX'!N14),'Timeline and FX'!N13))/'Timeline and FX'!N8</f>
        <v>710.876144319387</v>
      </c>
      <c r="O102" s="59" t="n">
        <f aca="false">SUM(P102:AA102)</f>
        <v>9281.87177244547</v>
      </c>
      <c r="P102" s="60" t="n">
        <f aca="false">P62*(($I$23*'Timeline and FX'!P12)+$J$23*Payroll!$C$36*MIN(MAX(($I$23*'Timeline and FX'!P12),'Timeline and FX'!P14),'Timeline and FX'!P13))/'Timeline and FX'!P8</f>
        <v>794.31328997985</v>
      </c>
      <c r="Q102" s="60" t="n">
        <f aca="false">Q62*(($I$23*'Timeline and FX'!Q12)+$J$23*Payroll!$C$36*MIN(MAX(($I$23*'Timeline and FX'!Q12),'Timeline and FX'!Q14),'Timeline and FX'!Q13))/'Timeline and FX'!Q8</f>
        <v>790.465658417336</v>
      </c>
      <c r="R102" s="60" t="n">
        <f aca="false">R62*(($I$23*'Timeline and FX'!R12)+$J$23*Payroll!$C$36*MIN(MAX(($I$23*'Timeline and FX'!R12),'Timeline and FX'!R14),'Timeline and FX'!R13))/'Timeline and FX'!R8</f>
        <v>786.636664675476</v>
      </c>
      <c r="S102" s="60" t="n">
        <f aca="false">S62*(($I$23*'Timeline and FX'!S12)+$J$23*Payroll!$C$36*MIN(MAX(($I$23*'Timeline and FX'!S12),'Timeline and FX'!S14),'Timeline and FX'!S13))/'Timeline and FX'!S8</f>
        <v>782.826218473181</v>
      </c>
      <c r="T102" s="60" t="n">
        <f aca="false">T62*(($I$23*'Timeline and FX'!T12)+$J$23*Payroll!$C$36*MIN(MAX(($I$23*'Timeline and FX'!T12),'Timeline and FX'!T14),'Timeline and FX'!T13))/'Timeline and FX'!T8</f>
        <v>779.034229966685</v>
      </c>
      <c r="U102" s="60" t="n">
        <f aca="false">U62*(($I$23*'Timeline and FX'!U12)+$J$23*Payroll!$C$36*MIN(MAX(($I$23*'Timeline and FX'!U12),'Timeline and FX'!U14),'Timeline and FX'!U13))/'Timeline and FX'!U8</f>
        <v>775.260609747421</v>
      </c>
      <c r="V102" s="60" t="n">
        <f aca="false">V62*(($I$23*'Timeline and FX'!V12)+$J$23*Payroll!$C$36*MIN(MAX(($I$23*'Timeline and FX'!V12),'Timeline and FX'!V14),'Timeline and FX'!V13))/'Timeline and FX'!V8</f>
        <v>771.505268839914</v>
      </c>
      <c r="W102" s="60" t="n">
        <f aca="false">W62*(($I$23*'Timeline and FX'!W12)+$J$23*Payroll!$C$36*MIN(MAX(($I$23*'Timeline and FX'!W12),'Timeline and FX'!W14),'Timeline and FX'!W13))/'Timeline and FX'!W8</f>
        <v>767.768118699685</v>
      </c>
      <c r="X102" s="60" t="n">
        <f aca="false">X62*(($I$23*'Timeline and FX'!X12)+$J$23*Payroll!$C$36*MIN(MAX(($I$23*'Timeline and FX'!X12),'Timeline and FX'!X14),'Timeline and FX'!X13))/'Timeline and FX'!X8</f>
        <v>764.049071211161</v>
      </c>
      <c r="Y102" s="60" t="n">
        <f aca="false">Y62*(($I$23*'Timeline and FX'!Y12)+$J$23*Payroll!$C$36*MIN(MAX(($I$23*'Timeline and FX'!Y12),'Timeline and FX'!Y14),'Timeline and FX'!Y13))/'Timeline and FX'!Y8</f>
        <v>760.3480386856</v>
      </c>
      <c r="Z102" s="60" t="n">
        <f aca="false">Z62*(($I$23*'Timeline and FX'!Z12)+$J$23*Payroll!$C$36*MIN(MAX(($I$23*'Timeline and FX'!Z12),'Timeline and FX'!Z14),'Timeline and FX'!Z13))/'Timeline and FX'!Z8</f>
        <v>756.664933859019</v>
      </c>
      <c r="AA102" s="60" t="n">
        <f aca="false">AA62*(($I$23*'Timeline and FX'!AA12)+$J$23*Payroll!$C$36*MIN(MAX(($I$23*'Timeline and FX'!AA12),'Timeline and FX'!AA14),'Timeline and FX'!AA13))/'Timeline and FX'!AA8</f>
        <v>752.999669890142</v>
      </c>
      <c r="AB102" s="59" t="n">
        <f aca="false">SUM(AC102:AN102)</f>
        <v>19664.9449186998</v>
      </c>
      <c r="AC102" s="60" t="n">
        <f aca="false">AC62*(($I$23*'Timeline and FX'!AC12)+$J$23*Payroll!$C$36*MIN(MAX(($I$23*'Timeline and FX'!AC12),'Timeline and FX'!AC14),'Timeline and FX'!AC13))/'Timeline and FX'!AC8</f>
        <v>1682.86391781617</v>
      </c>
      <c r="AD102" s="60" t="n">
        <f aca="false">AD62*(($I$23*'Timeline and FX'!AD12)+$J$23*Payroll!$C$36*MIN(MAX(($I$23*'Timeline and FX'!AD12),'Timeline and FX'!AD14),'Timeline and FX'!AD13))/'Timeline and FX'!AD8</f>
        <v>1674.71217163833</v>
      </c>
      <c r="AE102" s="60" t="n">
        <f aca="false">AE62*(($I$23*'Timeline and FX'!AE12)+$J$23*Payroll!$C$36*MIN(MAX(($I$23*'Timeline and FX'!AE12),'Timeline and FX'!AE14),'Timeline and FX'!AE13))/'Timeline and FX'!AE8</f>
        <v>1666.59991229305</v>
      </c>
      <c r="AF102" s="60" t="n">
        <f aca="false">AF62*(($I$23*'Timeline and FX'!AF12)+$J$23*Payroll!$C$36*MIN(MAX(($I$23*'Timeline and FX'!AF12),'Timeline and FX'!AF14),'Timeline and FX'!AF13))/'Timeline and FX'!AF8</f>
        <v>1658.5269485072</v>
      </c>
      <c r="AG102" s="60" t="n">
        <f aca="false">AG62*(($I$23*'Timeline and FX'!AG12)+$J$23*Payroll!$C$36*MIN(MAX(($I$23*'Timeline and FX'!AG12),'Timeline and FX'!AG14),'Timeline and FX'!AG13))/'Timeline and FX'!AG8</f>
        <v>1650.4930899342</v>
      </c>
      <c r="AH102" s="60" t="n">
        <f aca="false">AH62*(($I$23*'Timeline and FX'!AH12)+$J$23*Payroll!$C$36*MIN(MAX(($I$23*'Timeline and FX'!AH12),'Timeline and FX'!AH14),'Timeline and FX'!AH13))/'Timeline and FX'!AH8</f>
        <v>1642.49814714947</v>
      </c>
      <c r="AI102" s="60" t="n">
        <f aca="false">AI62*(($I$23*'Timeline and FX'!AI12)+$J$23*Payroll!$C$36*MIN(MAX(($I$23*'Timeline and FX'!AI12),'Timeline and FX'!AI14),'Timeline and FX'!AI13))/'Timeline and FX'!AI8</f>
        <v>1634.54193164601</v>
      </c>
      <c r="AJ102" s="60" t="n">
        <f aca="false">AJ62*(($I$23*'Timeline and FX'!AJ12)+$J$23*Payroll!$C$36*MIN(MAX(($I$23*'Timeline and FX'!AJ12),'Timeline and FX'!AJ14),'Timeline and FX'!AJ13))/'Timeline and FX'!AJ8</f>
        <v>1626.62425582994</v>
      </c>
      <c r="AK102" s="60" t="n">
        <f aca="false">AK62*(($I$23*'Timeline and FX'!AK12)+$J$23*Payroll!$C$36*MIN(MAX(($I$23*'Timeline and FX'!AK12),'Timeline and FX'!AK14),'Timeline and FX'!AK13))/'Timeline and FX'!AK8</f>
        <v>1618.74493301609</v>
      </c>
      <c r="AL102" s="60" t="n">
        <f aca="false">AL62*(($I$23*'Timeline and FX'!AL12)+$J$23*Payroll!$C$36*MIN(MAX(($I$23*'Timeline and FX'!AL12),'Timeline and FX'!AL14),'Timeline and FX'!AL13))/'Timeline and FX'!AL8</f>
        <v>1610.90377742358</v>
      </c>
      <c r="AM102" s="60" t="n">
        <f aca="false">AM62*(($I$23*'Timeline and FX'!AM12)+$J$23*Payroll!$C$36*MIN(MAX(($I$23*'Timeline and FX'!AM12),'Timeline and FX'!AM14),'Timeline and FX'!AM13))/'Timeline and FX'!AM8</f>
        <v>1603.10060417144</v>
      </c>
      <c r="AN102" s="60" t="n">
        <f aca="false">AN62*(($I$23*'Timeline and FX'!AN12)+$J$23*Payroll!$C$36*MIN(MAX(($I$23*'Timeline and FX'!AN12),'Timeline and FX'!AN14),'Timeline and FX'!AN13))/'Timeline and FX'!AN8</f>
        <v>1595.33522927428</v>
      </c>
      <c r="AO102" s="59" t="n">
        <f aca="false">SUM(AP102:BA102)</f>
        <v>20832.759680986</v>
      </c>
      <c r="AP102" s="60" t="n">
        <f aca="false">AP62*(($I$23*'Timeline and FX'!AP12)+$J$23*Payroll!$C$36*MIN(MAX(($I$23*'Timeline and FX'!AP12),'Timeline and FX'!AP14),'Timeline and FX'!AP13))/'Timeline and FX'!AP8</f>
        <v>1782.80181920718</v>
      </c>
      <c r="AQ102" s="60" t="n">
        <f aca="false">AQ62*(($I$23*'Timeline and FX'!AQ12)+$J$23*Payroll!$C$36*MIN(MAX(($I$23*'Timeline and FX'!AQ12),'Timeline and FX'!AQ14),'Timeline and FX'!AQ13))/'Timeline and FX'!AQ8</f>
        <v>1774.16597660474</v>
      </c>
      <c r="AR102" s="60" t="n">
        <f aca="false">AR62*(($I$23*'Timeline and FX'!AR12)+$J$23*Payroll!$C$36*MIN(MAX(($I$23*'Timeline and FX'!AR12),'Timeline and FX'!AR14),'Timeline and FX'!AR13))/'Timeline and FX'!AR8</f>
        <v>1765.57196578453</v>
      </c>
      <c r="AS102" s="60" t="n">
        <f aca="false">AS62*(($I$23*'Timeline and FX'!AS12)+$J$23*Payroll!$C$36*MIN(MAX(($I$23*'Timeline and FX'!AS12),'Timeline and FX'!AS14),'Timeline and FX'!AS13))/'Timeline and FX'!AS8</f>
        <v>1757.01958411456</v>
      </c>
      <c r="AT102" s="60" t="n">
        <f aca="false">AT62*(($I$23*'Timeline and FX'!AT12)+$J$23*Payroll!$C$36*MIN(MAX(($I$23*'Timeline and FX'!AT12),'Timeline and FX'!AT14),'Timeline and FX'!AT13))/'Timeline and FX'!AT8</f>
        <v>1748.50862994436</v>
      </c>
      <c r="AU102" s="60" t="n">
        <f aca="false">AU62*(($I$23*'Timeline and FX'!AU12)+$J$23*Payroll!$C$36*MIN(MAX(($I$23*'Timeline and FX'!AU12),'Timeline and FX'!AU14),'Timeline and FX'!AU13))/'Timeline and FX'!AU8</f>
        <v>1740.03890260029</v>
      </c>
      <c r="AV102" s="60" t="n">
        <f aca="false">AV62*(($I$23*'Timeline and FX'!AV12)+$J$23*Payroll!$C$36*MIN(MAX(($I$23*'Timeline and FX'!AV12),'Timeline and FX'!AV14),'Timeline and FX'!AV13))/'Timeline and FX'!AV8</f>
        <v>1731.61020238074</v>
      </c>
      <c r="AW102" s="60" t="n">
        <f aca="false">AW62*(($I$23*'Timeline and FX'!AW12)+$J$23*Payroll!$C$36*MIN(MAX(($I$23*'Timeline and FX'!AW12),'Timeline and FX'!AW14),'Timeline and FX'!AW13))/'Timeline and FX'!AW8</f>
        <v>1723.22233055145</v>
      </c>
      <c r="AX102" s="60" t="n">
        <f aca="false">AX62*(($I$23*'Timeline and FX'!AX12)+$J$23*Payroll!$C$36*MIN(MAX(($I$23*'Timeline and FX'!AX12),'Timeline and FX'!AX14),'Timeline and FX'!AX13))/'Timeline and FX'!AX8</f>
        <v>1714.87508934084</v>
      </c>
      <c r="AY102" s="60" t="n">
        <f aca="false">AY62*(($I$23*'Timeline and FX'!AY12)+$J$23*Payroll!$C$36*MIN(MAX(($I$23*'Timeline and FX'!AY12),'Timeline and FX'!AY14),'Timeline and FX'!AY13))/'Timeline and FX'!AY8</f>
        <v>1706.56828193531</v>
      </c>
      <c r="AZ102" s="60" t="n">
        <f aca="false">AZ62*(($I$23*'Timeline and FX'!AZ12)+$J$23*Payroll!$C$36*MIN(MAX(($I$23*'Timeline and FX'!AZ12),'Timeline and FX'!AZ14),'Timeline and FX'!AZ13))/'Timeline and FX'!AZ8</f>
        <v>1698.30171247463</v>
      </c>
      <c r="BA102" s="60" t="n">
        <f aca="false">BA62*(($I$23*'Timeline and FX'!BA12)+$J$23*Payroll!$C$36*MIN(MAX(($I$23*'Timeline and FX'!BA12),'Timeline and FX'!BA14),'Timeline and FX'!BA13))/'Timeline and FX'!BA8</f>
        <v>1690.07518604731</v>
      </c>
      <c r="BB102" s="59" t="n">
        <f aca="false">SUM(BC102:BN102)</f>
        <v>33106.9828530213</v>
      </c>
      <c r="BC102" s="60" t="n">
        <f aca="false">BC62*(($I$23*'Timeline and FX'!BC12)+$J$23*Payroll!$C$36*MIN(MAX(($I$23*'Timeline and FX'!BC12),'Timeline and FX'!BC14),'Timeline and FX'!BC13))/'Timeline and FX'!BC8</f>
        <v>2833.19109722643</v>
      </c>
      <c r="BD102" s="60" t="n">
        <f aca="false">BD62*(($I$23*'Timeline and FX'!BD12)+$J$23*Payroll!$C$36*MIN(MAX(($I$23*'Timeline and FX'!BD12),'Timeline and FX'!BD14),'Timeline and FX'!BD13))/'Timeline and FX'!BD8</f>
        <v>2819.46719807248</v>
      </c>
      <c r="BE102" s="60" t="n">
        <f aca="false">BE62*(($I$23*'Timeline and FX'!BE12)+$J$23*Payroll!$C$36*MIN(MAX(($I$23*'Timeline and FX'!BE12),'Timeline and FX'!BE14),'Timeline and FX'!BE13))/'Timeline and FX'!BE8</f>
        <v>2805.80977710569</v>
      </c>
      <c r="BF102" s="60" t="n">
        <f aca="false">BF62*(($I$23*'Timeline and FX'!BF12)+$J$23*Payroll!$C$36*MIN(MAX(($I$23*'Timeline and FX'!BF12),'Timeline and FX'!BF14),'Timeline and FX'!BF13))/'Timeline and FX'!BF8</f>
        <v>2792.21851230754</v>
      </c>
      <c r="BG102" s="60" t="n">
        <f aca="false">BG62*(($I$23*'Timeline and FX'!BG12)+$J$23*Payroll!$C$36*MIN(MAX(($I$23*'Timeline and FX'!BG12),'Timeline and FX'!BG14),'Timeline and FX'!BG13))/'Timeline and FX'!BG8</f>
        <v>2778.69308321941</v>
      </c>
      <c r="BH102" s="60" t="n">
        <f aca="false">BH62*(($I$23*'Timeline and FX'!BH12)+$J$23*Payroll!$C$36*MIN(MAX(($I$23*'Timeline and FX'!BH12),'Timeline and FX'!BH14),'Timeline and FX'!BH13))/'Timeline and FX'!BH8</f>
        <v>2765.23317093492</v>
      </c>
      <c r="BI102" s="60" t="n">
        <f aca="false">BI62*(($I$23*'Timeline and FX'!BI12)+$J$23*Payroll!$C$36*MIN(MAX(($I$23*'Timeline and FX'!BI12),'Timeline and FX'!BI14),'Timeline and FX'!BI13))/'Timeline and FX'!BI8</f>
        <v>2751.8384580925</v>
      </c>
      <c r="BJ102" s="60" t="n">
        <f aca="false">BJ62*(($I$23*'Timeline and FX'!BJ12)+$J$23*Payroll!$C$36*MIN(MAX(($I$23*'Timeline and FX'!BJ12),'Timeline and FX'!BJ14),'Timeline and FX'!BJ13))/'Timeline and FX'!BJ8</f>
        <v>2738.50862886785</v>
      </c>
      <c r="BK102" s="60" t="n">
        <f aca="false">BK62*(($I$23*'Timeline and FX'!BK12)+$J$23*Payroll!$C$36*MIN(MAX(($I$23*'Timeline and FX'!BK12),'Timeline and FX'!BK14),'Timeline and FX'!BK13))/'Timeline and FX'!BK8</f>
        <v>2725.24336896654</v>
      </c>
      <c r="BL102" s="60" t="n">
        <f aca="false">BL62*(($I$23*'Timeline and FX'!BL12)+$J$23*Payroll!$C$36*MIN(MAX(($I$23*'Timeline and FX'!BL12),'Timeline and FX'!BL14),'Timeline and FX'!BL13))/'Timeline and FX'!BL8</f>
        <v>2712.04236561655</v>
      </c>
      <c r="BM102" s="60" t="n">
        <f aca="false">BM62*(($I$23*'Timeline and FX'!BM12)+$J$23*Payroll!$C$36*MIN(MAX(($I$23*'Timeline and FX'!BM12),'Timeline and FX'!BM14),'Timeline and FX'!BM13))/'Timeline and FX'!BM8</f>
        <v>2698.90530756093</v>
      </c>
      <c r="BN102" s="60" t="n">
        <f aca="false">BN62*(($I$23*'Timeline and FX'!BN12)+$J$23*Payroll!$C$36*MIN(MAX(($I$23*'Timeline and FX'!BN12),'Timeline and FX'!BN14),'Timeline and FX'!BN13))/'Timeline and FX'!BN8</f>
        <v>2685.83188505043</v>
      </c>
    </row>
    <row r="103" customFormat="false" ht="15" hidden="false" customHeight="false" outlineLevel="0" collapsed="false">
      <c r="A103" s="4" t="s">
        <v>856</v>
      </c>
      <c r="B103" s="59" t="n">
        <f aca="false">SUM(C103:N103)</f>
        <v>9897.14019269525</v>
      </c>
      <c r="C103" s="60" t="n">
        <f aca="false">C63*(($I$24*'Timeline and FX'!C12)+$J$24*Payroll!$C$36*MIN(MAX(($I$24*'Timeline and FX'!C12),'Timeline and FX'!C14),'Timeline and FX'!C13))/'Timeline and FX'!C8</f>
        <v>846.966019417476</v>
      </c>
      <c r="D103" s="60" t="n">
        <f aca="false">D63*(($I$24*'Timeline and FX'!D12)+$J$24*Payroll!$C$36*MIN(MAX(($I$24*'Timeline and FX'!D12),'Timeline and FX'!D14),'Timeline and FX'!D13))/'Timeline and FX'!D8</f>
        <v>842.863339492821</v>
      </c>
      <c r="E103" s="60" t="n">
        <f aca="false">E63*(($I$24*'Timeline and FX'!E12)+$J$24*Payroll!$C$36*MIN(MAX(($I$24*'Timeline and FX'!E12),'Timeline and FX'!E14),'Timeline and FX'!E13))/'Timeline and FX'!E8</f>
        <v>838.780532836016</v>
      </c>
      <c r="F103" s="60" t="n">
        <f aca="false">F63*(($I$24*'Timeline and FX'!F12)+$J$24*Payroll!$C$36*MIN(MAX(($I$24*'Timeline and FX'!F12),'Timeline and FX'!F14),'Timeline and FX'!F13))/'Timeline and FX'!F8</f>
        <v>834.717503181503</v>
      </c>
      <c r="G103" s="60" t="n">
        <f aca="false">G63*(($I$24*'Timeline and FX'!G12)+$J$24*Payroll!$C$36*MIN(MAX(($I$24*'Timeline and FX'!G12),'Timeline and FX'!G14),'Timeline and FX'!G13))/'Timeline and FX'!G8</f>
        <v>830.674154730031</v>
      </c>
      <c r="H103" s="60" t="n">
        <f aca="false">H63*(($I$24*'Timeline and FX'!H12)+$J$24*Payroll!$C$36*MIN(MAX(($I$24*'Timeline and FX'!H12),'Timeline and FX'!H14),'Timeline and FX'!H13))/'Timeline and FX'!H8</f>
        <v>826.650392146398</v>
      </c>
      <c r="I103" s="60" t="n">
        <f aca="false">I63*(($I$24*'Timeline and FX'!I12)+$J$24*Payroll!$C$36*MIN(MAX(($I$24*'Timeline and FX'!I12),'Timeline and FX'!I14),'Timeline and FX'!I13))/'Timeline and FX'!I8</f>
        <v>822.646120557202</v>
      </c>
      <c r="J103" s="60" t="n">
        <f aca="false">J63*(($I$24*'Timeline and FX'!J12)+$J$24*Payroll!$C$36*MIN(MAX(($I$24*'Timeline and FX'!J12),'Timeline and FX'!J14),'Timeline and FX'!J13))/'Timeline and FX'!J8</f>
        <v>818.661245548608</v>
      </c>
      <c r="K103" s="60" t="n">
        <f aca="false">K63*(($I$24*'Timeline and FX'!K12)+$J$24*Payroll!$C$36*MIN(MAX(($I$24*'Timeline and FX'!K12),'Timeline and FX'!K14),'Timeline and FX'!K13))/'Timeline and FX'!K8</f>
        <v>814.695673164115</v>
      </c>
      <c r="L103" s="60" t="n">
        <f aca="false">L63*(($I$24*'Timeline and FX'!L12)+$J$24*Payroll!$C$36*MIN(MAX(($I$24*'Timeline and FX'!L12),'Timeline and FX'!L14),'Timeline and FX'!L13))/'Timeline and FX'!L8</f>
        <v>810.749309902349</v>
      </c>
      <c r="M103" s="60" t="n">
        <f aca="false">M63*(($I$24*'Timeline and FX'!M12)+$J$24*Payroll!$C$36*MIN(MAX(($I$24*'Timeline and FX'!M12),'Timeline and FX'!M14),'Timeline and FX'!M13))/'Timeline and FX'!M8</f>
        <v>806.82206271485</v>
      </c>
      <c r="N103" s="60" t="n">
        <f aca="false">N63*(($I$24*'Timeline and FX'!N12)+$J$24*Payroll!$C$36*MIN(MAX(($I$24*'Timeline and FX'!N12),'Timeline and FX'!N14),'Timeline and FX'!N13))/'Timeline and FX'!N8</f>
        <v>802.913839003885</v>
      </c>
      <c r="O103" s="59" t="n">
        <f aca="false">SUM(P103:AA103)</f>
        <v>10480.5943029284</v>
      </c>
      <c r="P103" s="60" t="n">
        <f aca="false">P63*(($I$24*'Timeline and FX'!P12)+$J$24*Payroll!$C$36*MIN(MAX(($I$24*'Timeline and FX'!P12),'Timeline and FX'!P14),'Timeline and FX'!P13))/'Timeline and FX'!P8</f>
        <v>896.896180619161</v>
      </c>
      <c r="Q103" s="60" t="n">
        <f aca="false">Q63*(($I$24*'Timeline and FX'!Q12)+$J$24*Payroll!$C$36*MIN(MAX(($I$24*'Timeline and FX'!Q12),'Timeline and FX'!Q14),'Timeline and FX'!Q13))/'Timeline and FX'!Q8</f>
        <v>892.551640377444</v>
      </c>
      <c r="R103" s="60" t="n">
        <f aca="false">R63*(($I$24*'Timeline and FX'!R12)+$J$24*Payroll!$C$36*MIN(MAX(($I$24*'Timeline and FX'!R12),'Timeline and FX'!R14),'Timeline and FX'!R13))/'Timeline and FX'!R8</f>
        <v>888.22814496825</v>
      </c>
      <c r="S103" s="60" t="n">
        <f aca="false">S63*(($I$24*'Timeline and FX'!S12)+$J$24*Payroll!$C$36*MIN(MAX(($I$24*'Timeline and FX'!S12),'Timeline and FX'!S14),'Timeline and FX'!S13))/'Timeline and FX'!S8</f>
        <v>883.925592450994</v>
      </c>
      <c r="T103" s="60" t="n">
        <f aca="false">T63*(($I$24*'Timeline and FX'!T12)+$J$24*Payroll!$C$36*MIN(MAX(($I$24*'Timeline and FX'!T12),'Timeline and FX'!T14),'Timeline and FX'!T13))/'Timeline and FX'!T8</f>
        <v>879.643881378888</v>
      </c>
      <c r="U103" s="60" t="n">
        <f aca="false">U63*(($I$24*'Timeline and FX'!U12)+$J$24*Payroll!$C$36*MIN(MAX(($I$24*'Timeline and FX'!U12),'Timeline and FX'!U14),'Timeline and FX'!U13))/'Timeline and FX'!U8</f>
        <v>875.382910796549</v>
      </c>
      <c r="V103" s="60" t="n">
        <f aca="false">V63*(($I$24*'Timeline and FX'!V12)+$J$24*Payroll!$C$36*MIN(MAX(($I$24*'Timeline and FX'!V12),'Timeline and FX'!V14),'Timeline and FX'!V13))/'Timeline and FX'!V8</f>
        <v>871.142580237618</v>
      </c>
      <c r="W103" s="60" t="n">
        <f aca="false">W63*(($I$24*'Timeline and FX'!W12)+$J$24*Payroll!$C$36*MIN(MAX(($I$24*'Timeline and FX'!W12),'Timeline and FX'!W14),'Timeline and FX'!W13))/'Timeline and FX'!W8</f>
        <v>866.922789722396</v>
      </c>
      <c r="X103" s="60" t="n">
        <f aca="false">X63*(($I$24*'Timeline and FX'!X12)+$J$24*Payroll!$C$36*MIN(MAX(($I$24*'Timeline and FX'!X12),'Timeline and FX'!X14),'Timeline and FX'!X13))/'Timeline and FX'!X8</f>
        <v>862.72343975548</v>
      </c>
      <c r="Y103" s="60" t="n">
        <f aca="false">Y63*(($I$24*'Timeline and FX'!Y12)+$J$24*Payroll!$C$36*MIN(MAX(($I$24*'Timeline and FX'!Y12),'Timeline and FX'!Y14),'Timeline and FX'!Y13))/'Timeline and FX'!Y8</f>
        <v>858.54443132342</v>
      </c>
      <c r="Z103" s="60" t="n">
        <f aca="false">Z63*(($I$24*'Timeline and FX'!Z12)+$J$24*Payroll!$C$36*MIN(MAX(($I$24*'Timeline and FX'!Z12),'Timeline and FX'!Z14),'Timeline and FX'!Z13))/'Timeline and FX'!Z8</f>
        <v>854.385665892384</v>
      </c>
      <c r="AA103" s="60" t="n">
        <f aca="false">AA63*(($I$24*'Timeline and FX'!AA12)+$J$24*Payroll!$C$36*MIN(MAX(($I$24*'Timeline and FX'!AA12),'Timeline and FX'!AA14),'Timeline and FX'!AA13))/'Timeline and FX'!AA8</f>
        <v>850.247045405838</v>
      </c>
      <c r="AB103" s="59" t="n">
        <f aca="false">SUM(AC103:AN103)</f>
        <v>11099.0472085394</v>
      </c>
      <c r="AC103" s="60" t="n">
        <f aca="false">AC63*(($I$24*'Timeline and FX'!AC12)+$J$24*Payroll!$C$36*MIN(MAX(($I$24*'Timeline and FX'!AC12),'Timeline and FX'!AC14),'Timeline and FX'!AC13))/'Timeline and FX'!AC8</f>
        <v>949.821428262831</v>
      </c>
      <c r="AD103" s="60" t="n">
        <f aca="false">AD63*(($I$24*'Timeline and FX'!AD12)+$J$24*Payroll!$C$36*MIN(MAX(($I$24*'Timeline and FX'!AD12),'Timeline and FX'!AD14),'Timeline and FX'!AD13))/'Timeline and FX'!AD8</f>
        <v>945.220519588335</v>
      </c>
      <c r="AE103" s="60" t="n">
        <f aca="false">AE63*(($I$24*'Timeline and FX'!AE12)+$J$24*Payroll!$C$36*MIN(MAX(($I$24*'Timeline and FX'!AE12),'Timeline and FX'!AE14),'Timeline and FX'!AE13))/'Timeline and FX'!AE8</f>
        <v>940.641897587945</v>
      </c>
      <c r="AF103" s="60" t="n">
        <f aca="false">AF63*(($I$24*'Timeline and FX'!AF12)+$J$24*Payroll!$C$36*MIN(MAX(($I$24*'Timeline and FX'!AF12),'Timeline and FX'!AF14),'Timeline and FX'!AF13))/'Timeline and FX'!AF8</f>
        <v>936.08545430563</v>
      </c>
      <c r="AG103" s="60" t="n">
        <f aca="false">AG63*(($I$24*'Timeline and FX'!AG12)+$J$24*Payroll!$C$36*MIN(MAX(($I$24*'Timeline and FX'!AG12),'Timeline and FX'!AG14),'Timeline and FX'!AG13))/'Timeline and FX'!AG8</f>
        <v>931.551082308295</v>
      </c>
      <c r="AH103" s="60" t="n">
        <f aca="false">AH63*(($I$24*'Timeline and FX'!AH12)+$J$24*Payroll!$C$36*MIN(MAX(($I$24*'Timeline and FX'!AH12),'Timeline and FX'!AH14),'Timeline and FX'!AH13))/'Timeline and FX'!AH8</f>
        <v>927.038674683245</v>
      </c>
      <c r="AI103" s="60" t="n">
        <f aca="false">AI63*(($I$24*'Timeline and FX'!AI12)+$J$24*Payroll!$C$36*MIN(MAX(($I$24*'Timeline and FX'!AI12),'Timeline and FX'!AI14),'Timeline and FX'!AI13))/'Timeline and FX'!AI8</f>
        <v>922.548125035672</v>
      </c>
      <c r="AJ103" s="60" t="n">
        <f aca="false">AJ63*(($I$24*'Timeline and FX'!AJ12)+$J$24*Payroll!$C$36*MIN(MAX(($I$24*'Timeline and FX'!AJ12),'Timeline and FX'!AJ14),'Timeline and FX'!AJ13))/'Timeline and FX'!AJ8</f>
        <v>918.079327486137</v>
      </c>
      <c r="AK103" s="60" t="n">
        <f aca="false">AK63*(($I$24*'Timeline and FX'!AK12)+$J$24*Payroll!$C$36*MIN(MAX(($I$24*'Timeline and FX'!AK12),'Timeline and FX'!AK14),'Timeline and FX'!AK13))/'Timeline and FX'!AK8</f>
        <v>913.632176668081</v>
      </c>
      <c r="AL103" s="60" t="n">
        <f aca="false">AL63*(($I$24*'Timeline and FX'!AL12)+$J$24*Payroll!$C$36*MIN(MAX(($I$24*'Timeline and FX'!AL12),'Timeline and FX'!AL14),'Timeline and FX'!AL13))/'Timeline and FX'!AL8</f>
        <v>909.206567725336</v>
      </c>
      <c r="AM103" s="60" t="n">
        <f aca="false">AM63*(($I$24*'Timeline and FX'!AM12)+$J$24*Payroll!$C$36*MIN(MAX(($I$24*'Timeline and FX'!AM12),'Timeline and FX'!AM14),'Timeline and FX'!AM13))/'Timeline and FX'!AM8</f>
        <v>904.802396309655</v>
      </c>
      <c r="AN103" s="60" t="n">
        <f aca="false">AN63*(($I$24*'Timeline and FX'!AN12)+$J$24*Payroll!$C$36*MIN(MAX(($I$24*'Timeline and FX'!AN12),'Timeline and FX'!AN14),'Timeline and FX'!AN13))/'Timeline and FX'!AN8</f>
        <v>900.419558578251</v>
      </c>
      <c r="AO103" s="59" t="n">
        <f aca="false">SUM(AP103:BA103)</f>
        <v>11754.647500014</v>
      </c>
      <c r="AP103" s="60" t="n">
        <f aca="false">AP63*(($I$24*'Timeline and FX'!AP12)+$J$24*Payroll!$C$36*MIN(MAX(($I$24*'Timeline and FX'!AP12),'Timeline and FX'!AP14),'Timeline and FX'!AP13))/'Timeline and FX'!AP8</f>
        <v>1005.92563194068</v>
      </c>
      <c r="AQ103" s="60" t="n">
        <f aca="false">AQ63*(($I$24*'Timeline and FX'!AQ12)+$J$24*Payroll!$C$36*MIN(MAX(($I$24*'Timeline and FX'!AQ12),'Timeline and FX'!AQ14),'Timeline and FX'!AQ13))/'Timeline and FX'!AQ8</f>
        <v>1001.05295605848</v>
      </c>
      <c r="AR103" s="60" t="n">
        <f aca="false">AR63*(($I$24*'Timeline and FX'!AR12)+$J$24*Payroll!$C$36*MIN(MAX(($I$24*'Timeline and FX'!AR12),'Timeline and FX'!AR14),'Timeline and FX'!AR13))/'Timeline and FX'!AR8</f>
        <v>996.203883283204</v>
      </c>
      <c r="AS103" s="60" t="n">
        <f aca="false">AS63*(($I$24*'Timeline and FX'!AS12)+$J$24*Payroll!$C$36*MIN(MAX(($I$24*'Timeline and FX'!AS12),'Timeline and FX'!AS14),'Timeline and FX'!AS13))/'Timeline and FX'!AS8</f>
        <v>991.378299282064</v>
      </c>
      <c r="AT103" s="60" t="n">
        <f aca="false">AT63*(($I$24*'Timeline and FX'!AT12)+$J$24*Payroll!$C$36*MIN(MAX(($I$24*'Timeline and FX'!AT12),'Timeline and FX'!AT14),'Timeline and FX'!AT13))/'Timeline and FX'!AT8</f>
        <v>986.576090276087</v>
      </c>
      <c r="AU103" s="60" t="n">
        <f aca="false">AU63*(($I$24*'Timeline and FX'!AU12)+$J$24*Payroll!$C$36*MIN(MAX(($I$24*'Timeline and FX'!AU12),'Timeline and FX'!AU14),'Timeline and FX'!AU13))/'Timeline and FX'!AU8</f>
        <v>981.797143037443</v>
      </c>
      <c r="AV103" s="60" t="n">
        <f aca="false">AV63*(($I$24*'Timeline and FX'!AV12)+$J$24*Payroll!$C$36*MIN(MAX(($I$24*'Timeline and FX'!AV12),'Timeline and FX'!AV14),'Timeline and FX'!AV13))/'Timeline and FX'!AV8</f>
        <v>977.041344886776</v>
      </c>
      <c r="AW103" s="60" t="n">
        <f aca="false">AW63*(($I$24*'Timeline and FX'!AW12)+$J$24*Payroll!$C$36*MIN(MAX(($I$24*'Timeline and FX'!AW12),'Timeline and FX'!AW14),'Timeline and FX'!AW13))/'Timeline and FX'!AW8</f>
        <v>972.308583690545</v>
      </c>
      <c r="AX103" s="60" t="n">
        <f aca="false">AX63*(($I$24*'Timeline and FX'!AX12)+$J$24*Payroll!$C$36*MIN(MAX(($I$24*'Timeline and FX'!AX12),'Timeline and FX'!AX14),'Timeline and FX'!AX13))/'Timeline and FX'!AX8</f>
        <v>967.598747858382</v>
      </c>
      <c r="AY103" s="60" t="n">
        <f aca="false">AY63*(($I$24*'Timeline and FX'!AY12)+$J$24*Payroll!$C$36*MIN(MAX(($I$24*'Timeline and FX'!AY12),'Timeline and FX'!AY14),'Timeline and FX'!AY13))/'Timeline and FX'!AY8</f>
        <v>962.911726340458</v>
      </c>
      <c r="AZ103" s="60" t="n">
        <f aca="false">AZ63*(($I$24*'Timeline and FX'!AZ12)+$J$24*Payroll!$C$36*MIN(MAX(($I$24*'Timeline and FX'!AZ12),'Timeline and FX'!AZ14),'Timeline and FX'!AZ13))/'Timeline and FX'!AZ8</f>
        <v>958.247408624867</v>
      </c>
      <c r="BA103" s="60" t="n">
        <f aca="false">BA63*(($I$24*'Timeline and FX'!BA12)+$J$24*Payroll!$C$36*MIN(MAX(($I$24*'Timeline and FX'!BA12),'Timeline and FX'!BA14),'Timeline and FX'!BA13))/'Timeline and FX'!BA8</f>
        <v>953.605684735021</v>
      </c>
      <c r="BB103" s="59" t="n">
        <f aca="false">SUM(BC103:BN103)</f>
        <v>12449.6796101236</v>
      </c>
      <c r="BC103" s="60" t="n">
        <f aca="false">BC63*(($I$24*'Timeline and FX'!BC12)+$J$24*Payroll!$C$36*MIN(MAX(($I$24*'Timeline and FX'!BC12),'Timeline and FX'!BC14),'Timeline and FX'!BC13))/'Timeline and FX'!BC8</f>
        <v>1065.40428619894</v>
      </c>
      <c r="BD103" s="60" t="n">
        <f aca="false">BD63*(($I$24*'Timeline and FX'!BD12)+$J$24*Payroll!$C$36*MIN(MAX(($I$24*'Timeline and FX'!BD12),'Timeline and FX'!BD14),'Timeline and FX'!BD13))/'Timeline and FX'!BD8</f>
        <v>1060.24349736395</v>
      </c>
      <c r="BE103" s="60" t="n">
        <f aca="false">BE63*(($I$24*'Timeline and FX'!BE12)+$J$24*Payroll!$C$36*MIN(MAX(($I$24*'Timeline and FX'!BE12),'Timeline and FX'!BE14),'Timeline and FX'!BE13))/'Timeline and FX'!BE8</f>
        <v>1055.10770724704</v>
      </c>
      <c r="BF103" s="60" t="n">
        <f aca="false">BF63*(($I$24*'Timeline and FX'!BF12)+$J$24*Payroll!$C$36*MIN(MAX(($I$24*'Timeline and FX'!BF12),'Timeline and FX'!BF14),'Timeline and FX'!BF13))/'Timeline and FX'!BF8</f>
        <v>1049.99679475512</v>
      </c>
      <c r="BG103" s="60" t="n">
        <f aca="false">BG63*(($I$24*'Timeline and FX'!BG12)+$J$24*Payroll!$C$36*MIN(MAX(($I$24*'Timeline and FX'!BG12),'Timeline and FX'!BG14),'Timeline and FX'!BG13))/'Timeline and FX'!BG8</f>
        <v>1044.91063938166</v>
      </c>
      <c r="BH103" s="60" t="n">
        <f aca="false">BH63*(($I$24*'Timeline and FX'!BH12)+$J$24*Payroll!$C$36*MIN(MAX(($I$24*'Timeline and FX'!BH12),'Timeline and FX'!BH14),'Timeline and FX'!BH13))/'Timeline and FX'!BH8</f>
        <v>1039.84912120388</v>
      </c>
      <c r="BI103" s="60" t="n">
        <f aca="false">BI63*(($I$24*'Timeline and FX'!BI12)+$J$24*Payroll!$C$36*MIN(MAX(($I$24*'Timeline and FX'!BI12),'Timeline and FX'!BI14),'Timeline and FX'!BI13))/'Timeline and FX'!BI8</f>
        <v>1034.81212087986</v>
      </c>
      <c r="BJ103" s="60" t="n">
        <f aca="false">BJ63*(($I$24*'Timeline and FX'!BJ12)+$J$24*Payroll!$C$36*MIN(MAX(($I$24*'Timeline and FX'!BJ12),'Timeline and FX'!BJ14),'Timeline and FX'!BJ13))/'Timeline and FX'!BJ8</f>
        <v>1029.79951964582</v>
      </c>
      <c r="BK103" s="60" t="n">
        <f aca="false">BK63*(($I$24*'Timeline and FX'!BK12)+$J$24*Payroll!$C$36*MIN(MAX(($I$24*'Timeline and FX'!BK12),'Timeline and FX'!BK14),'Timeline and FX'!BK13))/'Timeline and FX'!BK8</f>
        <v>1024.81119931323</v>
      </c>
      <c r="BL103" s="60" t="n">
        <f aca="false">BL63*(($I$24*'Timeline and FX'!BL12)+$J$24*Payroll!$C$36*MIN(MAX(($I$24*'Timeline and FX'!BL12),'Timeline and FX'!BL14),'Timeline and FX'!BL13))/'Timeline and FX'!BL8</f>
        <v>1019.84704226609</v>
      </c>
      <c r="BM103" s="60" t="n">
        <f aca="false">BM63*(($I$24*'Timeline and FX'!BM12)+$J$24*Payroll!$C$36*MIN(MAX(($I$24*'Timeline and FX'!BM12),'Timeline and FX'!BM14),'Timeline and FX'!BM13))/'Timeline and FX'!BM8</f>
        <v>1014.9069314581</v>
      </c>
      <c r="BN103" s="60" t="n">
        <f aca="false">BN63*(($I$24*'Timeline and FX'!BN12)+$J$24*Payroll!$C$36*MIN(MAX(($I$24*'Timeline and FX'!BN12),'Timeline and FX'!BN14),'Timeline and FX'!BN13))/'Timeline and FX'!BN8</f>
        <v>1009.99075040995</v>
      </c>
    </row>
    <row r="104" customFormat="false" ht="15" hidden="false" customHeight="false" outlineLevel="0" collapsed="false">
      <c r="A104" s="4" t="s">
        <v>858</v>
      </c>
      <c r="B104" s="59" t="n">
        <f aca="false">SUM(C104:N104)</f>
        <v>19480.8733095078</v>
      </c>
      <c r="C104" s="60" t="n">
        <f aca="false">C64*(($I$25*'Timeline and FX'!C12)+$J$25*Payroll!$C$36*MIN(MAX(($I$25*'Timeline and FX'!C12),'Timeline and FX'!C14),'Timeline and FX'!C13))/'Timeline and FX'!C8</f>
        <v>1667.11165048544</v>
      </c>
      <c r="D104" s="60" t="n">
        <f aca="false">D64*(($I$25*'Timeline and FX'!D12)+$J$25*Payroll!$C$36*MIN(MAX(($I$25*'Timeline and FX'!D12),'Timeline and FX'!D14),'Timeline and FX'!D13))/'Timeline and FX'!D8</f>
        <v>1659.03620785397</v>
      </c>
      <c r="E104" s="60" t="n">
        <f aca="false">E64*(($I$25*'Timeline and FX'!E12)+$J$25*Payroll!$C$36*MIN(MAX(($I$25*'Timeline and FX'!E12),'Timeline and FX'!E14),'Timeline and FX'!E13))/'Timeline and FX'!E8</f>
        <v>1650.99988244281</v>
      </c>
      <c r="F104" s="60" t="n">
        <f aca="false">F64*(($I$25*'Timeline and FX'!F12)+$J$25*Payroll!$C$36*MIN(MAX(($I$25*'Timeline and FX'!F12),'Timeline and FX'!F14),'Timeline and FX'!F13))/'Timeline and FX'!F8</f>
        <v>1643.00248476921</v>
      </c>
      <c r="G104" s="60" t="n">
        <f aca="false">G64*(($I$25*'Timeline and FX'!G12)+$J$25*Payroll!$C$36*MIN(MAX(($I$25*'Timeline and FX'!G12),'Timeline and FX'!G14),'Timeline and FX'!G13))/'Timeline and FX'!G8</f>
        <v>1635.0438262683</v>
      </c>
      <c r="H104" s="60" t="n">
        <f aca="false">H64*(($I$25*'Timeline and FX'!H12)+$J$25*Payroll!$C$36*MIN(MAX(($I$25*'Timeline and FX'!H12),'Timeline and FX'!H14),'Timeline and FX'!H13))/'Timeline and FX'!H8</f>
        <v>1627.12371928859</v>
      </c>
      <c r="I104" s="60" t="n">
        <f aca="false">I64*(($I$25*'Timeline and FX'!I12)+$J$25*Payroll!$C$36*MIN(MAX(($I$25*'Timeline and FX'!I12),'Timeline and FX'!I14),'Timeline and FX'!I13))/'Timeline and FX'!I8</f>
        <v>1619.24197708759</v>
      </c>
      <c r="J104" s="60" t="n">
        <f aca="false">J64*(($I$25*'Timeline and FX'!J12)+$J$25*Payroll!$C$36*MIN(MAX(($I$25*'Timeline and FX'!J12),'Timeline and FX'!J14),'Timeline and FX'!J13))/'Timeline and FX'!J8</f>
        <v>1611.39841382737</v>
      </c>
      <c r="K104" s="60" t="n">
        <f aca="false">K64*(($I$25*'Timeline and FX'!K12)+$J$25*Payroll!$C$36*MIN(MAX(($I$25*'Timeline and FX'!K12),'Timeline and FX'!K14),'Timeline and FX'!K13))/'Timeline and FX'!K8</f>
        <v>1603.5928445702</v>
      </c>
      <c r="L104" s="60" t="n">
        <f aca="false">L64*(($I$25*'Timeline and FX'!L12)+$J$25*Payroll!$C$36*MIN(MAX(($I$25*'Timeline and FX'!L12),'Timeline and FX'!L14),'Timeline and FX'!L13))/'Timeline and FX'!L8</f>
        <v>1595.82508527419</v>
      </c>
      <c r="M104" s="60" t="n">
        <f aca="false">M64*(($I$25*'Timeline and FX'!M12)+$J$25*Payroll!$C$36*MIN(MAX(($I$25*'Timeline and FX'!M12),'Timeline and FX'!M14),'Timeline and FX'!M13))/'Timeline and FX'!M8</f>
        <v>1588.09495278892</v>
      </c>
      <c r="N104" s="60" t="n">
        <f aca="false">N64*(($I$25*'Timeline and FX'!N12)+$J$25*Payroll!$C$36*MIN(MAX(($I$25*'Timeline and FX'!N12),'Timeline and FX'!N14),'Timeline and FX'!N13))/'Timeline and FX'!N8</f>
        <v>1580.40226485118</v>
      </c>
      <c r="O104" s="59" t="n">
        <f aca="false">SUM(P104:AA104)</f>
        <v>20653.2801344387</v>
      </c>
      <c r="P104" s="60" t="n">
        <f aca="false">P64*(($I$25*'Timeline and FX'!P12)+$J$25*Payroll!$C$36*MIN(MAX(($I$25*'Timeline and FX'!P12),'Timeline and FX'!P14),'Timeline and FX'!P13))/'Timeline and FX'!P8</f>
        <v>1767.44252610368</v>
      </c>
      <c r="Q104" s="60" t="n">
        <f aca="false">Q64*(($I$25*'Timeline and FX'!Q12)+$J$25*Payroll!$C$36*MIN(MAX(($I$25*'Timeline and FX'!Q12),'Timeline and FX'!Q14),'Timeline and FX'!Q13))/'Timeline and FX'!Q8</f>
        <v>1758.88108349136</v>
      </c>
      <c r="R104" s="60" t="n">
        <f aca="false">R64*(($I$25*'Timeline and FX'!R12)+$J$25*Payroll!$C$36*MIN(MAX(($I$25*'Timeline and FX'!R12),'Timeline and FX'!R14),'Timeline and FX'!R13))/'Timeline and FX'!R8</f>
        <v>1750.36111226978</v>
      </c>
      <c r="S104" s="60" t="n">
        <f aca="false">S64*(($I$25*'Timeline and FX'!S12)+$J$25*Payroll!$C$36*MIN(MAX(($I$25*'Timeline and FX'!S12),'Timeline and FX'!S14),'Timeline and FX'!S13))/'Timeline and FX'!S8</f>
        <v>1741.88241155267</v>
      </c>
      <c r="T104" s="60" t="n">
        <f aca="false">T64*(($I$25*'Timeline and FX'!T12)+$J$25*Payroll!$C$36*MIN(MAX(($I$25*'Timeline and FX'!T12),'Timeline and FX'!T14),'Timeline and FX'!T13))/'Timeline and FX'!T8</f>
        <v>1733.44478142684</v>
      </c>
      <c r="U104" s="60" t="n">
        <f aca="false">U64*(($I$25*'Timeline and FX'!U12)+$J$25*Payroll!$C$36*MIN(MAX(($I$25*'Timeline and FX'!U12),'Timeline and FX'!U14),'Timeline and FX'!U13))/'Timeline and FX'!U8</f>
        <v>1725.0480229475</v>
      </c>
      <c r="V104" s="60" t="n">
        <f aca="false">V64*(($I$25*'Timeline and FX'!V12)+$J$25*Payroll!$C$36*MIN(MAX(($I$25*'Timeline and FX'!V12),'Timeline and FX'!V14),'Timeline and FX'!V13))/'Timeline and FX'!V8</f>
        <v>1716.69193813352</v>
      </c>
      <c r="W104" s="60" t="n">
        <f aca="false">W64*(($I$25*'Timeline and FX'!W12)+$J$25*Payroll!$C$36*MIN(MAX(($I$25*'Timeline and FX'!W12),'Timeline and FX'!W14),'Timeline and FX'!W13))/'Timeline and FX'!W8</f>
        <v>1708.37632996279</v>
      </c>
      <c r="X104" s="60" t="n">
        <f aca="false">X64*(($I$25*'Timeline and FX'!X12)+$J$25*Payroll!$C$36*MIN(MAX(($I$25*'Timeline and FX'!X12),'Timeline and FX'!X14),'Timeline and FX'!X13))/'Timeline and FX'!X8</f>
        <v>1700.10100236757</v>
      </c>
      <c r="Y104" s="60" t="n">
        <f aca="false">Y64*(($I$25*'Timeline and FX'!Y12)+$J$25*Payroll!$C$36*MIN(MAX(($I$25*'Timeline and FX'!Y12),'Timeline and FX'!Y14),'Timeline and FX'!Y13))/'Timeline and FX'!Y8</f>
        <v>1691.86576022988</v>
      </c>
      <c r="Z104" s="60" t="n">
        <f aca="false">Z64*(($I$25*'Timeline and FX'!Z12)+$J$25*Payroll!$C$36*MIN(MAX(($I$25*'Timeline and FX'!Z12),'Timeline and FX'!Z14),'Timeline and FX'!Z13))/'Timeline and FX'!Z8</f>
        <v>1683.67040937687</v>
      </c>
      <c r="AA104" s="60" t="n">
        <f aca="false">AA64*(($I$25*'Timeline and FX'!AA12)+$J$25*Payroll!$C$36*MIN(MAX(($I$25*'Timeline and FX'!AA12),'Timeline and FX'!AA14),'Timeline and FX'!AA13))/'Timeline and FX'!AA8</f>
        <v>1675.51475657625</v>
      </c>
      <c r="AB104" s="59" t="n">
        <f aca="false">SUM(AC104:AN104)</f>
        <v>29197.2918438832</v>
      </c>
      <c r="AC104" s="60" t="n">
        <f aca="false">AC64*(($I$25*'Timeline and FX'!AC12)+$J$25*Payroll!$C$36*MIN(MAX(($I$25*'Timeline and FX'!AC12),'Timeline and FX'!AC14),'Timeline and FX'!AC13))/'Timeline and FX'!AC8</f>
        <v>2498.6120807944</v>
      </c>
      <c r="AD104" s="60" t="n">
        <f aca="false">AD64*(($I$25*'Timeline and FX'!AD12)+$J$25*Payroll!$C$36*MIN(MAX(($I$25*'Timeline and FX'!AD12),'Timeline and FX'!AD14),'Timeline and FX'!AD13))/'Timeline and FX'!AD8</f>
        <v>2486.50887312329</v>
      </c>
      <c r="AE104" s="60" t="n">
        <f aca="false">AE64*(($I$25*'Timeline and FX'!AE12)+$J$25*Payroll!$C$36*MIN(MAX(($I$25*'Timeline and FX'!AE12),'Timeline and FX'!AE14),'Timeline and FX'!AE13))/'Timeline and FX'!AE8</f>
        <v>2474.46429305471</v>
      </c>
      <c r="AF104" s="60" t="n">
        <f aca="false">AF64*(($I$25*'Timeline and FX'!AF12)+$J$25*Payroll!$C$36*MIN(MAX(($I$25*'Timeline and FX'!AF12),'Timeline and FX'!AF14),'Timeline and FX'!AF13))/'Timeline and FX'!AF8</f>
        <v>2462.47805659817</v>
      </c>
      <c r="AG104" s="60" t="n">
        <f aca="false">AG64*(($I$25*'Timeline and FX'!AG12)+$J$25*Payroll!$C$36*MIN(MAX(($I$25*'Timeline and FX'!AG12),'Timeline and FX'!AG14),'Timeline and FX'!AG13))/'Timeline and FX'!AG8</f>
        <v>2450.54988113884</v>
      </c>
      <c r="AH104" s="60" t="n">
        <f aca="false">AH64*(($I$25*'Timeline and FX'!AH12)+$J$25*Payroll!$C$36*MIN(MAX(($I$25*'Timeline and FX'!AH12),'Timeline and FX'!AH14),'Timeline and FX'!AH13))/'Timeline and FX'!AH8</f>
        <v>2438.67948543084</v>
      </c>
      <c r="AI104" s="60" t="n">
        <f aca="false">AI64*(($I$25*'Timeline and FX'!AI12)+$J$25*Payroll!$C$36*MIN(MAX(($I$25*'Timeline and FX'!AI12),'Timeline and FX'!AI14),'Timeline and FX'!AI13))/'Timeline and FX'!AI8</f>
        <v>2426.86658959066</v>
      </c>
      <c r="AJ104" s="60" t="n">
        <f aca="false">AJ64*(($I$25*'Timeline and FX'!AJ12)+$J$25*Payroll!$C$36*MIN(MAX(($I$25*'Timeline and FX'!AJ12),'Timeline and FX'!AJ14),'Timeline and FX'!AJ13))/'Timeline and FX'!AJ8</f>
        <v>2415.11091509055</v>
      </c>
      <c r="AK104" s="60" t="n">
        <f aca="false">AK64*(($I$25*'Timeline and FX'!AK12)+$J$25*Payroll!$C$36*MIN(MAX(($I$25*'Timeline and FX'!AK12),'Timeline and FX'!AK14),'Timeline and FX'!AK13))/'Timeline and FX'!AK8</f>
        <v>2403.41218475191</v>
      </c>
      <c r="AL104" s="60" t="n">
        <f aca="false">AL64*(($I$25*'Timeline and FX'!AL12)+$J$25*Payroll!$C$36*MIN(MAX(($I$25*'Timeline and FX'!AL12),'Timeline and FX'!AL14),'Timeline and FX'!AL13))/'Timeline and FX'!AL8</f>
        <v>2391.7701227388</v>
      </c>
      <c r="AM104" s="60" t="n">
        <f aca="false">AM64*(($I$25*'Timeline and FX'!AM12)+$J$25*Payroll!$C$36*MIN(MAX(($I$25*'Timeline and FX'!AM12),'Timeline and FX'!AM14),'Timeline and FX'!AM13))/'Timeline and FX'!AM8</f>
        <v>2380.18445455143</v>
      </c>
      <c r="AN104" s="60" t="n">
        <f aca="false">AN64*(($I$25*'Timeline and FX'!AN12)+$J$25*Payroll!$C$36*MIN(MAX(($I$25*'Timeline and FX'!AN12),'Timeline and FX'!AN14),'Timeline and FX'!AN13))/'Timeline and FX'!AN8</f>
        <v>2368.65490701966</v>
      </c>
      <c r="AO104" s="59" t="n">
        <f aca="false">SUM(AP104:BA104)</f>
        <v>38699.2226072547</v>
      </c>
      <c r="AP104" s="60" t="n">
        <f aca="false">AP64*(($I$25*'Timeline and FX'!AP12)+$J$25*Payroll!$C$36*MIN(MAX(($I$25*'Timeline and FX'!AP12),'Timeline and FX'!AP14),'Timeline and FX'!AP13))/'Timeline and FX'!AP8</f>
        <v>3311.75732464706</v>
      </c>
      <c r="AQ104" s="60" t="n">
        <f aca="false">AQ64*(($I$25*'Timeline and FX'!AQ12)+$J$25*Payroll!$C$36*MIN(MAX(($I$25*'Timeline and FX'!AQ12),'Timeline and FX'!AQ14),'Timeline and FX'!AQ13))/'Timeline and FX'!AQ8</f>
        <v>3295.71526395081</v>
      </c>
      <c r="AR104" s="60" t="n">
        <f aca="false">AR64*(($I$25*'Timeline and FX'!AR12)+$J$25*Payroll!$C$36*MIN(MAX(($I$25*'Timeline and FX'!AR12),'Timeline and FX'!AR14),'Timeline and FX'!AR13))/'Timeline and FX'!AR8</f>
        <v>3279.75091055197</v>
      </c>
      <c r="AS104" s="60" t="n">
        <f aca="false">AS64*(($I$25*'Timeline and FX'!AS12)+$J$25*Payroll!$C$36*MIN(MAX(($I$25*'Timeline and FX'!AS12),'Timeline and FX'!AS14),'Timeline and FX'!AS13))/'Timeline and FX'!AS8</f>
        <v>3263.86388803854</v>
      </c>
      <c r="AT104" s="60" t="n">
        <f aca="false">AT64*(($I$25*'Timeline and FX'!AT12)+$J$25*Payroll!$C$36*MIN(MAX(($I$25*'Timeline and FX'!AT12),'Timeline and FX'!AT14),'Timeline and FX'!AT13))/'Timeline and FX'!AT8</f>
        <v>3248.05382182187</v>
      </c>
      <c r="AU104" s="60" t="n">
        <f aca="false">AU64*(($I$25*'Timeline and FX'!AU12)+$J$25*Payroll!$C$36*MIN(MAX(($I$25*'Timeline and FX'!AU12),'Timeline and FX'!AU14),'Timeline and FX'!AU13))/'Timeline and FX'!AU8</f>
        <v>3232.32033912778</v>
      </c>
      <c r="AV104" s="60" t="n">
        <f aca="false">AV64*(($I$25*'Timeline and FX'!AV12)+$J$25*Payroll!$C$36*MIN(MAX(($I$25*'Timeline and FX'!AV12),'Timeline and FX'!AV14),'Timeline and FX'!AV13))/'Timeline and FX'!AV8</f>
        <v>3216.66306898781</v>
      </c>
      <c r="AW104" s="60" t="n">
        <f aca="false">AW64*(($I$25*'Timeline and FX'!AW12)+$J$25*Payroll!$C$36*MIN(MAX(($I$25*'Timeline and FX'!AW12),'Timeline and FX'!AW14),'Timeline and FX'!AW13))/'Timeline and FX'!AW8</f>
        <v>3201.08164223046</v>
      </c>
      <c r="AX104" s="60" t="n">
        <f aca="false">AX64*(($I$25*'Timeline and FX'!AX12)+$J$25*Payroll!$C$36*MIN(MAX(($I$25*'Timeline and FX'!AX12),'Timeline and FX'!AX14),'Timeline and FX'!AX13))/'Timeline and FX'!AX8</f>
        <v>3185.57569147249</v>
      </c>
      <c r="AY104" s="60" t="n">
        <f aca="false">AY64*(($I$25*'Timeline and FX'!AY12)+$J$25*Payroll!$C$36*MIN(MAX(($I$25*'Timeline and FX'!AY12),'Timeline and FX'!AY14),'Timeline and FX'!AY13))/'Timeline and FX'!AY8</f>
        <v>3170.14485111025</v>
      </c>
      <c r="AZ104" s="60" t="n">
        <f aca="false">AZ64*(($I$25*'Timeline and FX'!AZ12)+$J$25*Payroll!$C$36*MIN(MAX(($I$25*'Timeline and FX'!AZ12),'Timeline and FX'!AZ14),'Timeline and FX'!AZ13))/'Timeline and FX'!AZ8</f>
        <v>3154.78875731106</v>
      </c>
      <c r="BA104" s="60" t="n">
        <f aca="false">BA64*(($I$25*'Timeline and FX'!BA12)+$J$25*Payroll!$C$36*MIN(MAX(($I$25*'Timeline and FX'!BA12),'Timeline and FX'!BA14),'Timeline and FX'!BA13))/'Timeline and FX'!BA8</f>
        <v>3139.50704800465</v>
      </c>
      <c r="BB104" s="59" t="n">
        <f aca="false">SUM(BC104:BN104)</f>
        <v>49245.741796644</v>
      </c>
      <c r="BC104" s="60" t="n">
        <f aca="false">BC64*(($I$25*'Timeline and FX'!BC12)+$J$25*Payroll!$C$36*MIN(MAX(($I$25*'Timeline and FX'!BC12),'Timeline and FX'!BC14),'Timeline and FX'!BC13))/'Timeline and FX'!BC8</f>
        <v>4214.29514897129</v>
      </c>
      <c r="BD104" s="60" t="n">
        <f aca="false">BD64*(($I$25*'Timeline and FX'!BD12)+$J$25*Payroll!$C$36*MIN(MAX(($I$25*'Timeline and FX'!BD12),'Timeline and FX'!BD14),'Timeline and FX'!BD13))/'Timeline and FX'!BD8</f>
        <v>4193.88122006757</v>
      </c>
      <c r="BE104" s="60" t="n">
        <f aca="false">BE64*(($I$25*'Timeline and FX'!BE12)+$J$25*Payroll!$C$36*MIN(MAX(($I$25*'Timeline and FX'!BE12),'Timeline and FX'!BE14),'Timeline and FX'!BE13))/'Timeline and FX'!BE8</f>
        <v>4173.56617566969</v>
      </c>
      <c r="BF104" s="60" t="n">
        <f aca="false">BF64*(($I$25*'Timeline and FX'!BF12)+$J$25*Payroll!$C$36*MIN(MAX(($I$25*'Timeline and FX'!BF12),'Timeline and FX'!BF14),'Timeline and FX'!BF13))/'Timeline and FX'!BF8</f>
        <v>4153.34953678385</v>
      </c>
      <c r="BG104" s="60" t="n">
        <f aca="false">BG64*(($I$25*'Timeline and FX'!BG12)+$J$25*Payroll!$C$36*MIN(MAX(($I$25*'Timeline and FX'!BG12),'Timeline and FX'!BG14),'Timeline and FX'!BG13))/'Timeline and FX'!BG8</f>
        <v>4133.23082673648</v>
      </c>
      <c r="BH104" s="60" t="n">
        <f aca="false">BH64*(($I$25*'Timeline and FX'!BH12)+$J$25*Payroll!$C$36*MIN(MAX(($I$25*'Timeline and FX'!BH12),'Timeline and FX'!BH14),'Timeline and FX'!BH13))/'Timeline and FX'!BH8</f>
        <v>4113.20957116299</v>
      </c>
      <c r="BI104" s="60" t="n">
        <f aca="false">BI64*(($I$25*'Timeline and FX'!BI12)+$J$25*Payroll!$C$36*MIN(MAX(($I$25*'Timeline and FX'!BI12),'Timeline and FX'!BI14),'Timeline and FX'!BI13))/'Timeline and FX'!BI8</f>
        <v>4093.28529799661</v>
      </c>
      <c r="BJ104" s="60" t="n">
        <f aca="false">BJ64*(($I$25*'Timeline and FX'!BJ12)+$J$25*Payroll!$C$36*MIN(MAX(($I$25*'Timeline and FX'!BJ12),'Timeline and FX'!BJ14),'Timeline and FX'!BJ13))/'Timeline and FX'!BJ8</f>
        <v>4073.45753745726</v>
      </c>
      <c r="BK104" s="60" t="n">
        <f aca="false">BK64*(($I$25*'Timeline and FX'!BK12)+$J$25*Payroll!$C$36*MIN(MAX(($I$25*'Timeline and FX'!BK12),'Timeline and FX'!BK14),'Timeline and FX'!BK13))/'Timeline and FX'!BK8</f>
        <v>4053.72582204044</v>
      </c>
      <c r="BL104" s="60" t="n">
        <f aca="false">BL64*(($I$25*'Timeline and FX'!BL12)+$J$25*Payroll!$C$36*MIN(MAX(($I$25*'Timeline and FX'!BL12),'Timeline and FX'!BL14),'Timeline and FX'!BL13))/'Timeline and FX'!BL8</f>
        <v>4034.08968650625</v>
      </c>
      <c r="BM104" s="60" t="n">
        <f aca="false">BM64*(($I$25*'Timeline and FX'!BM12)+$J$25*Payroll!$C$36*MIN(MAX(($I$25*'Timeline and FX'!BM12),'Timeline and FX'!BM14),'Timeline and FX'!BM13))/'Timeline and FX'!BM8</f>
        <v>4014.54866786837</v>
      </c>
      <c r="BN104" s="60" t="n">
        <f aca="false">BN64*(($I$25*'Timeline and FX'!BN12)+$J$25*Payroll!$C$36*MIN(MAX(($I$25*'Timeline and FX'!BN12),'Timeline and FX'!BN14),'Timeline and FX'!BN13))/'Timeline and FX'!BN8</f>
        <v>3995.10230538319</v>
      </c>
    </row>
    <row r="105" customFormat="false" ht="15" hidden="false" customHeight="false" outlineLevel="0" collapsed="false">
      <c r="A105" s="4" t="s">
        <v>859</v>
      </c>
      <c r="B105" s="59" t="n">
        <f aca="false">SUM(C105:N105)</f>
        <v>0</v>
      </c>
      <c r="C105" s="60" t="n">
        <f aca="false">C65*(($I$26*'Timeline and FX'!C12)+$J$26*Payroll!$C$36*MIN(MAX(($I$26*'Timeline and FX'!C12),'Timeline and FX'!C14),'Timeline and FX'!C13))/'Timeline and FX'!C8</f>
        <v>0</v>
      </c>
      <c r="D105" s="60" t="n">
        <f aca="false">D65*(($I$26*'Timeline and FX'!D12)+$J$26*Payroll!$C$36*MIN(MAX(($I$26*'Timeline and FX'!D12),'Timeline and FX'!D14),'Timeline and FX'!D13))/'Timeline and FX'!D8</f>
        <v>0</v>
      </c>
      <c r="E105" s="60" t="n">
        <f aca="false">E65*(($I$26*'Timeline and FX'!E12)+$J$26*Payroll!$C$36*MIN(MAX(($I$26*'Timeline and FX'!E12),'Timeline and FX'!E14),'Timeline and FX'!E13))/'Timeline and FX'!E8</f>
        <v>0</v>
      </c>
      <c r="F105" s="60" t="n">
        <f aca="false">F65*(($I$26*'Timeline and FX'!F12)+$J$26*Payroll!$C$36*MIN(MAX(($I$26*'Timeline and FX'!F12),'Timeline and FX'!F14),'Timeline and FX'!F13))/'Timeline and FX'!F8</f>
        <v>0</v>
      </c>
      <c r="G105" s="60" t="n">
        <f aca="false">G65*(($I$26*'Timeline and FX'!G12)+$J$26*Payroll!$C$36*MIN(MAX(($I$26*'Timeline and FX'!G12),'Timeline and FX'!G14),'Timeline and FX'!G13))/'Timeline and FX'!G8</f>
        <v>0</v>
      </c>
      <c r="H105" s="60" t="n">
        <f aca="false">H65*(($I$26*'Timeline and FX'!H12)+$J$26*Payroll!$C$36*MIN(MAX(($I$26*'Timeline and FX'!H12),'Timeline and FX'!H14),'Timeline and FX'!H13))/'Timeline and FX'!H8</f>
        <v>0</v>
      </c>
      <c r="I105" s="60" t="n">
        <f aca="false">I65*(($I$26*'Timeline and FX'!I12)+$J$26*Payroll!$C$36*MIN(MAX(($I$26*'Timeline and FX'!I12),'Timeline and FX'!I14),'Timeline and FX'!I13))/'Timeline and FX'!I8</f>
        <v>0</v>
      </c>
      <c r="J105" s="60" t="n">
        <f aca="false">J65*(($I$26*'Timeline and FX'!J12)+$J$26*Payroll!$C$36*MIN(MAX(($I$26*'Timeline and FX'!J12),'Timeline and FX'!J14),'Timeline and FX'!J13))/'Timeline and FX'!J8</f>
        <v>0</v>
      </c>
      <c r="K105" s="60" t="n">
        <f aca="false">K65*(($I$26*'Timeline and FX'!K12)+$J$26*Payroll!$C$36*MIN(MAX(($I$26*'Timeline and FX'!K12),'Timeline and FX'!K14),'Timeline and FX'!K13))/'Timeline and FX'!K8</f>
        <v>0</v>
      </c>
      <c r="L105" s="60" t="n">
        <f aca="false">L65*(($I$26*'Timeline and FX'!L12)+$J$26*Payroll!$C$36*MIN(MAX(($I$26*'Timeline and FX'!L12),'Timeline and FX'!L14),'Timeline and FX'!L13))/'Timeline and FX'!L8</f>
        <v>0</v>
      </c>
      <c r="M105" s="60" t="n">
        <f aca="false">M65*(($I$26*'Timeline and FX'!M12)+$J$26*Payroll!$C$36*MIN(MAX(($I$26*'Timeline and FX'!M12),'Timeline and FX'!M14),'Timeline and FX'!M13))/'Timeline and FX'!M8</f>
        <v>0</v>
      </c>
      <c r="N105" s="60" t="n">
        <f aca="false">N65*(($I$26*'Timeline and FX'!N12)+$J$26*Payroll!$C$36*MIN(MAX(($I$26*'Timeline and FX'!N12),'Timeline and FX'!N14),'Timeline and FX'!N13))/'Timeline and FX'!N8</f>
        <v>0</v>
      </c>
      <c r="O105" s="59" t="n">
        <f aca="false">SUM(P105:AA105)</f>
        <v>8083.14924196252</v>
      </c>
      <c r="P105" s="60" t="n">
        <f aca="false">P65*(($I$26*'Timeline and FX'!P12)+$J$26*Payroll!$C$36*MIN(MAX(($I$26*'Timeline and FX'!P12),'Timeline and FX'!P14),'Timeline and FX'!P13))/'Timeline and FX'!P8</f>
        <v>691.730399340539</v>
      </c>
      <c r="Q105" s="60" t="n">
        <f aca="false">Q65*(($I$26*'Timeline and FX'!Q12)+$J$26*Payroll!$C$36*MIN(MAX(($I$26*'Timeline and FX'!Q12),'Timeline and FX'!Q14),'Timeline and FX'!Q13))/'Timeline and FX'!Q8</f>
        <v>688.379676457229</v>
      </c>
      <c r="R105" s="60" t="n">
        <f aca="false">R65*(($I$26*'Timeline and FX'!R12)+$J$26*Payroll!$C$36*MIN(MAX(($I$26*'Timeline and FX'!R12),'Timeline and FX'!R14),'Timeline and FX'!R13))/'Timeline and FX'!R8</f>
        <v>685.045184382701</v>
      </c>
      <c r="S105" s="60" t="n">
        <f aca="false">S65*(($I$26*'Timeline and FX'!S12)+$J$26*Payroll!$C$36*MIN(MAX(($I$26*'Timeline and FX'!S12),'Timeline and FX'!S14),'Timeline and FX'!S13))/'Timeline and FX'!S8</f>
        <v>681.726844495368</v>
      </c>
      <c r="T105" s="60" t="n">
        <f aca="false">T65*(($I$26*'Timeline and FX'!T12)+$J$26*Payroll!$C$36*MIN(MAX(($I$26*'Timeline and FX'!T12),'Timeline and FX'!T14),'Timeline and FX'!T13))/'Timeline and FX'!T8</f>
        <v>678.424578554483</v>
      </c>
      <c r="U105" s="60" t="n">
        <f aca="false">U65*(($I$26*'Timeline and FX'!U12)+$J$26*Payroll!$C$36*MIN(MAX(($I$26*'Timeline and FX'!U12),'Timeline and FX'!U14),'Timeline and FX'!U13))/'Timeline and FX'!U8</f>
        <v>675.138308698293</v>
      </c>
      <c r="V105" s="60" t="n">
        <f aca="false">V65*(($I$26*'Timeline and FX'!V12)+$J$26*Payroll!$C$36*MIN(MAX(($I$26*'Timeline and FX'!V12),'Timeline and FX'!V14),'Timeline and FX'!V13))/'Timeline and FX'!V8</f>
        <v>671.86795744221</v>
      </c>
      <c r="W105" s="60" t="n">
        <f aca="false">W65*(($I$26*'Timeline and FX'!W12)+$J$26*Payroll!$C$36*MIN(MAX(($I$26*'Timeline and FX'!W12),'Timeline and FX'!W14),'Timeline and FX'!W13))/'Timeline and FX'!W8</f>
        <v>668.613447676974</v>
      </c>
      <c r="X105" s="60" t="n">
        <f aca="false">X65*(($I$26*'Timeline and FX'!X12)+$J$26*Payroll!$C$36*MIN(MAX(($I$26*'Timeline and FX'!X12),'Timeline and FX'!X14),'Timeline and FX'!X13))/'Timeline and FX'!X8</f>
        <v>665.374702666843</v>
      </c>
      <c r="Y105" s="60" t="n">
        <f aca="false">Y65*(($I$26*'Timeline and FX'!Y12)+$J$26*Payroll!$C$36*MIN(MAX(($I$26*'Timeline and FX'!Y12),'Timeline and FX'!Y14),'Timeline and FX'!Y13))/'Timeline and FX'!Y8</f>
        <v>662.15164604778</v>
      </c>
      <c r="Z105" s="60" t="n">
        <f aca="false">Z65*(($I$26*'Timeline and FX'!Z12)+$J$26*Payroll!$C$36*MIN(MAX(($I$26*'Timeline and FX'!Z12),'Timeline and FX'!Z14),'Timeline and FX'!Z13))/'Timeline and FX'!Z8</f>
        <v>658.944201825654</v>
      </c>
      <c r="AA105" s="60" t="n">
        <f aca="false">AA65*(($I$26*'Timeline and FX'!AA12)+$J$26*Payroll!$C$36*MIN(MAX(($I$26*'Timeline and FX'!AA12),'Timeline and FX'!AA14),'Timeline and FX'!AA13))/'Timeline and FX'!AA8</f>
        <v>655.752294374447</v>
      </c>
      <c r="AB105" s="59" t="n">
        <f aca="false">SUM(AC105:AN105)</f>
        <v>8565.89771016035</v>
      </c>
      <c r="AC105" s="60" t="n">
        <f aca="false">AC65*(($I$26*'Timeline and FX'!AC12)+$J$26*Payroll!$C$36*MIN(MAX(($I$26*'Timeline and FX'!AC12),'Timeline and FX'!AC14),'Timeline and FX'!AC13))/'Timeline and FX'!AC8</f>
        <v>733.042489553343</v>
      </c>
      <c r="AD105" s="60" t="n">
        <f aca="false">AD65*(($I$26*'Timeline and FX'!AD12)+$J$26*Payroll!$C$36*MIN(MAX(($I$26*'Timeline and FX'!AD12),'Timeline and FX'!AD14),'Timeline and FX'!AD13))/'Timeline and FX'!AD8</f>
        <v>729.491652049994</v>
      </c>
      <c r="AE105" s="60" t="n">
        <f aca="false">AE65*(($I$26*'Timeline and FX'!AE12)+$J$26*Payroll!$C$36*MIN(MAX(($I$26*'Timeline and FX'!AE12),'Timeline and FX'!AE14),'Timeline and FX'!AE13))/'Timeline and FX'!AE8</f>
        <v>725.958014705101</v>
      </c>
      <c r="AF105" s="60" t="n">
        <f aca="false">AF65*(($I$26*'Timeline and FX'!AF12)+$J$26*Payroll!$C$36*MIN(MAX(($I$26*'Timeline and FX'!AF12),'Timeline and FX'!AF14),'Timeline and FX'!AF13))/'Timeline and FX'!AF8</f>
        <v>722.441494201573</v>
      </c>
      <c r="AG105" s="60" t="n">
        <f aca="false">AG65*(($I$26*'Timeline and FX'!AG12)+$J$26*Payroll!$C$36*MIN(MAX(($I$26*'Timeline and FX'!AG12),'Timeline and FX'!AG14),'Timeline and FX'!AG13))/'Timeline and FX'!AG8</f>
        <v>718.942007625904</v>
      </c>
      <c r="AH105" s="60" t="n">
        <f aca="false">AH65*(($I$26*'Timeline and FX'!AH12)+$J$26*Payroll!$C$36*MIN(MAX(($I$26*'Timeline and FX'!AH12),'Timeline and FX'!AH14),'Timeline and FX'!AH13))/'Timeline and FX'!AH8</f>
        <v>715.459472466221</v>
      </c>
      <c r="AI105" s="60" t="n">
        <f aca="false">AI65*(($I$26*'Timeline and FX'!AI12)+$J$26*Payroll!$C$36*MIN(MAX(($I$26*'Timeline and FX'!AI12),'Timeline and FX'!AI14),'Timeline and FX'!AI13))/'Timeline and FX'!AI8</f>
        <v>711.993806610334</v>
      </c>
      <c r="AJ105" s="60" t="n">
        <f aca="false">AJ65*(($I$26*'Timeline and FX'!AJ12)+$J$26*Payroll!$C$36*MIN(MAX(($I$26*'Timeline and FX'!AJ12),'Timeline and FX'!AJ14),'Timeline and FX'!AJ13))/'Timeline and FX'!AJ8</f>
        <v>708.544928343804</v>
      </c>
      <c r="AK105" s="60" t="n">
        <f aca="false">AK65*(($I$26*'Timeline and FX'!AK12)+$J$26*Payroll!$C$36*MIN(MAX(($I$26*'Timeline and FX'!AK12),'Timeline and FX'!AK14),'Timeline and FX'!AK13))/'Timeline and FX'!AK8</f>
        <v>705.112756348011</v>
      </c>
      <c r="AL105" s="60" t="n">
        <f aca="false">AL65*(($I$26*'Timeline and FX'!AL12)+$J$26*Payroll!$C$36*MIN(MAX(($I$26*'Timeline and FX'!AL12),'Timeline and FX'!AL14),'Timeline and FX'!AL13))/'Timeline and FX'!AL8</f>
        <v>701.697209698245</v>
      </c>
      <c r="AM105" s="60" t="n">
        <f aca="false">AM65*(($I$26*'Timeline and FX'!AM12)+$J$26*Payroll!$C$36*MIN(MAX(($I$26*'Timeline and FX'!AM12),'Timeline and FX'!AM14),'Timeline and FX'!AM13))/'Timeline and FX'!AM8</f>
        <v>698.298207861789</v>
      </c>
      <c r="AN105" s="60" t="n">
        <f aca="false">AN65*(($I$26*'Timeline and FX'!AN12)+$J$26*Payroll!$C$36*MIN(MAX(($I$26*'Timeline and FX'!AN12),'Timeline and FX'!AN14),'Timeline and FX'!AN13))/'Timeline and FX'!AN8</f>
        <v>694.915670696027</v>
      </c>
      <c r="AO105" s="59" t="n">
        <f aca="false">SUM(AP105:BA105)</f>
        <v>18156.2243619439</v>
      </c>
      <c r="AP105" s="60" t="n">
        <f aca="false">AP65*(($I$26*'Timeline and FX'!AP12)+$J$26*Payroll!$C$36*MIN(MAX(($I$26*'Timeline and FX'!AP12),'Timeline and FX'!AP14),'Timeline and FX'!AP13))/'Timeline and FX'!AP8</f>
        <v>1553.752374533</v>
      </c>
      <c r="AQ105" s="60" t="n">
        <f aca="false">AQ65*(($I$26*'Timeline and FX'!AQ12)+$J$26*Payroll!$C$36*MIN(MAX(($I$26*'Timeline and FX'!AQ12),'Timeline and FX'!AQ14),'Timeline and FX'!AQ13))/'Timeline and FX'!AQ8</f>
        <v>1546.22604109253</v>
      </c>
      <c r="AR105" s="60" t="n">
        <f aca="false">AR65*(($I$26*'Timeline and FX'!AR12)+$J$26*Payroll!$C$36*MIN(MAX(($I$26*'Timeline and FX'!AR12),'Timeline and FX'!AR14),'Timeline and FX'!AR13))/'Timeline and FX'!AR8</f>
        <v>1538.73616500266</v>
      </c>
      <c r="AS105" s="60" t="n">
        <f aca="false">AS65*(($I$26*'Timeline and FX'!AS12)+$J$26*Payroll!$C$36*MIN(MAX(($I$26*'Timeline and FX'!AS12),'Timeline and FX'!AS14),'Timeline and FX'!AS13))/'Timeline and FX'!AS8</f>
        <v>1531.28256966499</v>
      </c>
      <c r="AT105" s="60" t="n">
        <f aca="false">AT65*(($I$26*'Timeline and FX'!AT12)+$J$26*Payroll!$C$36*MIN(MAX(($I$26*'Timeline and FX'!AT12),'Timeline and FX'!AT14),'Timeline and FX'!AT13))/'Timeline and FX'!AT8</f>
        <v>1523.86507933656</v>
      </c>
      <c r="AU105" s="60" t="n">
        <f aca="false">AU65*(($I$26*'Timeline and FX'!AU12)+$J$26*Payroll!$C$36*MIN(MAX(($I$26*'Timeline and FX'!AU12),'Timeline and FX'!AU14),'Timeline and FX'!AU13))/'Timeline and FX'!AU8</f>
        <v>1516.4835191257</v>
      </c>
      <c r="AV105" s="60" t="n">
        <f aca="false">AV65*(($I$26*'Timeline and FX'!AV12)+$J$26*Payroll!$C$36*MIN(MAX(($I$26*'Timeline and FX'!AV12),'Timeline and FX'!AV14),'Timeline and FX'!AV13))/'Timeline and FX'!AV8</f>
        <v>1509.13771498793</v>
      </c>
      <c r="AW105" s="60" t="n">
        <f aca="false">AW65*(($I$26*'Timeline and FX'!AW12)+$J$26*Payroll!$C$36*MIN(MAX(($I$26*'Timeline and FX'!AW12),'Timeline and FX'!AW14),'Timeline and FX'!AW13))/'Timeline and FX'!AW8</f>
        <v>1501.82749372182</v>
      </c>
      <c r="AX105" s="60" t="n">
        <f aca="false">AX65*(($I$26*'Timeline and FX'!AX12)+$J$26*Payroll!$C$36*MIN(MAX(($I$26*'Timeline and FX'!AX12),'Timeline and FX'!AX14),'Timeline and FX'!AX13))/'Timeline and FX'!AX8</f>
        <v>1494.55268296492</v>
      </c>
      <c r="AY105" s="60" t="n">
        <f aca="false">AY65*(($I$26*'Timeline and FX'!AY12)+$J$26*Payroll!$C$36*MIN(MAX(($I$26*'Timeline and FX'!AY12),'Timeline and FX'!AY14),'Timeline and FX'!AY13))/'Timeline and FX'!AY8</f>
        <v>1487.3131111897</v>
      </c>
      <c r="AZ105" s="60" t="n">
        <f aca="false">AZ65*(($I$26*'Timeline and FX'!AZ12)+$J$26*Payroll!$C$36*MIN(MAX(($I$26*'Timeline and FX'!AZ12),'Timeline and FX'!AZ14),'Timeline and FX'!AZ13))/'Timeline and FX'!AZ8</f>
        <v>1480.10860769953</v>
      </c>
      <c r="BA105" s="60" t="n">
        <f aca="false">BA65*(($I$26*'Timeline and FX'!BA12)+$J$26*Payroll!$C$36*MIN(MAX(($I$26*'Timeline and FX'!BA12),'Timeline and FX'!BA14),'Timeline and FX'!BA13))/'Timeline and FX'!BA8</f>
        <v>1472.93900262459</v>
      </c>
      <c r="BB105" s="59" t="n">
        <f aca="false">SUM(BC105:BN105)</f>
        <v>19243.2845837811</v>
      </c>
      <c r="BC105" s="60" t="n">
        <f aca="false">BC65*(($I$26*'Timeline and FX'!BC12)+$J$26*Payroll!$C$36*MIN(MAX(($I$26*'Timeline and FX'!BC12),'Timeline and FX'!BC14),'Timeline and FX'!BC13))/'Timeline and FX'!BC8</f>
        <v>1646.77955723736</v>
      </c>
      <c r="BD105" s="60" t="n">
        <f aca="false">BD65*(($I$26*'Timeline and FX'!BD12)+$J$26*Payroll!$C$36*MIN(MAX(($I$26*'Timeline and FX'!BD12),'Timeline and FX'!BD14),'Timeline and FX'!BD13))/'Timeline and FX'!BD8</f>
        <v>1638.80260270209</v>
      </c>
      <c r="BE105" s="60" t="n">
        <f aca="false">BE65*(($I$26*'Timeline and FX'!BE12)+$J$26*Payroll!$C$36*MIN(MAX(($I$26*'Timeline and FX'!BE12),'Timeline and FX'!BE14),'Timeline and FX'!BE13))/'Timeline and FX'!BE8</f>
        <v>1630.86428831351</v>
      </c>
      <c r="BF105" s="60" t="n">
        <f aca="false">BF65*(($I$26*'Timeline and FX'!BF12)+$J$26*Payroll!$C$36*MIN(MAX(($I$26*'Timeline and FX'!BF12),'Timeline and FX'!BF14),'Timeline and FX'!BF13))/'Timeline and FX'!BF8</f>
        <v>1622.96442689982</v>
      </c>
      <c r="BG105" s="60" t="n">
        <f aca="false">BG65*(($I$26*'Timeline and FX'!BG12)+$J$26*Payroll!$C$36*MIN(MAX(($I$26*'Timeline and FX'!BG12),'Timeline and FX'!BG14),'Timeline and FX'!BG13))/'Timeline and FX'!BG8</f>
        <v>1615.10283219588</v>
      </c>
      <c r="BH105" s="60" t="n">
        <f aca="false">BH65*(($I$26*'Timeline and FX'!BH12)+$J$26*Payroll!$C$36*MIN(MAX(($I$26*'Timeline and FX'!BH12),'Timeline and FX'!BH14),'Timeline and FX'!BH13))/'Timeline and FX'!BH8</f>
        <v>1607.2793188388</v>
      </c>
      <c r="BI105" s="60" t="n">
        <f aca="false">BI65*(($I$26*'Timeline and FX'!BI12)+$J$26*Payroll!$C$36*MIN(MAX(($I$26*'Timeline and FX'!BI12),'Timeline and FX'!BI14),'Timeline and FX'!BI13))/'Timeline and FX'!BI8</f>
        <v>1599.4937023636</v>
      </c>
      <c r="BJ105" s="60" t="n">
        <f aca="false">BJ65*(($I$26*'Timeline and FX'!BJ12)+$J$26*Payroll!$C$36*MIN(MAX(($I$26*'Timeline and FX'!BJ12),'Timeline and FX'!BJ14),'Timeline and FX'!BJ13))/'Timeline and FX'!BJ8</f>
        <v>1591.74579919883</v>
      </c>
      <c r="BK105" s="60" t="n">
        <f aca="false">BK65*(($I$26*'Timeline and FX'!BK12)+$J$26*Payroll!$C$36*MIN(MAX(($I$26*'Timeline and FX'!BK12),'Timeline and FX'!BK14),'Timeline and FX'!BK13))/'Timeline and FX'!BK8</f>
        <v>1584.03542666225</v>
      </c>
      <c r="BL105" s="60" t="n">
        <f aca="false">BL65*(($I$26*'Timeline and FX'!BL12)+$J$26*Payroll!$C$36*MIN(MAX(($I$26*'Timeline and FX'!BL12),'Timeline and FX'!BL14),'Timeline and FX'!BL13))/'Timeline and FX'!BL8</f>
        <v>1576.36240295656</v>
      </c>
      <c r="BM105" s="60" t="n">
        <f aca="false">BM65*(($I$26*'Timeline and FX'!BM12)+$J$26*Payroll!$C$36*MIN(MAX(($I$26*'Timeline and FX'!BM12),'Timeline and FX'!BM14),'Timeline and FX'!BM13))/'Timeline and FX'!BM8</f>
        <v>1568.72654716504</v>
      </c>
      <c r="BN105" s="60" t="n">
        <f aca="false">BN65*(($I$26*'Timeline and FX'!BN12)+$J$26*Payroll!$C$36*MIN(MAX(($I$26*'Timeline and FX'!BN12),'Timeline and FX'!BN14),'Timeline and FX'!BN13))/'Timeline and FX'!BN8</f>
        <v>1561.12767924734</v>
      </c>
    </row>
    <row r="106" customFormat="false" ht="15" hidden="false" customHeight="false" outlineLevel="0" collapsed="false">
      <c r="A106" s="4" t="s">
        <v>860</v>
      </c>
      <c r="B106" s="59" t="n">
        <f aca="false">SUM(C106:N106)</f>
        <v>8762.63494063103</v>
      </c>
      <c r="C106" s="60" t="n">
        <f aca="false">C66*(($I$27*'Timeline and FX'!C12)+$J$27*Payroll!$C$36*MIN(MAX(($I$27*'Timeline and FX'!C12),'Timeline and FX'!C14),'Timeline and FX'!C13))/'Timeline and FX'!C8</f>
        <v>749.878640776699</v>
      </c>
      <c r="D106" s="60" t="n">
        <f aca="false">D66*(($I$27*'Timeline and FX'!D12)+$J$27*Payroll!$C$36*MIN(MAX(($I$27*'Timeline and FX'!D12),'Timeline and FX'!D14),'Timeline and FX'!D13))/'Timeline and FX'!D8</f>
        <v>746.246249423433</v>
      </c>
      <c r="E106" s="60" t="n">
        <f aca="false">E66*(($I$27*'Timeline and FX'!E12)+$J$27*Payroll!$C$36*MIN(MAX(($I$27*'Timeline and FX'!E12),'Timeline and FX'!E14),'Timeline and FX'!E13))/'Timeline and FX'!E8</f>
        <v>742.631453273211</v>
      </c>
      <c r="F106" s="60" t="n">
        <f aca="false">F66*(($I$27*'Timeline and FX'!F12)+$J$27*Payroll!$C$36*MIN(MAX(($I$27*'Timeline and FX'!F12),'Timeline and FX'!F14),'Timeline and FX'!F13))/'Timeline and FX'!F8</f>
        <v>739.034167095359</v>
      </c>
      <c r="G106" s="60" t="n">
        <f aca="false">G66*(($I$27*'Timeline and FX'!G12)+$J$27*Payroll!$C$36*MIN(MAX(($I$27*'Timeline and FX'!G12),'Timeline and FX'!G14),'Timeline and FX'!G13))/'Timeline and FX'!G8</f>
        <v>735.454306072054</v>
      </c>
      <c r="H106" s="60" t="n">
        <f aca="false">H66*(($I$27*'Timeline and FX'!H12)+$J$27*Payroll!$C$36*MIN(MAX(($I$27*'Timeline and FX'!H12),'Timeline and FX'!H14),'Timeline and FX'!H13))/'Timeline and FX'!H8</f>
        <v>731.891785796331</v>
      </c>
      <c r="I106" s="60" t="n">
        <f aca="false">I66*(($I$27*'Timeline and FX'!I12)+$J$27*Payroll!$C$36*MIN(MAX(($I$27*'Timeline and FX'!I12),'Timeline and FX'!I14),'Timeline and FX'!I13))/'Timeline and FX'!I8</f>
        <v>728.346522270089</v>
      </c>
      <c r="J106" s="60" t="n">
        <f aca="false">J66*(($I$27*'Timeline and FX'!J12)+$J$27*Payroll!$C$36*MIN(MAX(($I$27*'Timeline and FX'!J12),'Timeline and FX'!J14),'Timeline and FX'!J13))/'Timeline and FX'!J8</f>
        <v>724.818431902113</v>
      </c>
      <c r="K106" s="60" t="n">
        <f aca="false">K66*(($I$27*'Timeline and FX'!K12)+$J$27*Payroll!$C$36*MIN(MAX(($I$27*'Timeline and FX'!K12),'Timeline and FX'!K14),'Timeline and FX'!K13))/'Timeline and FX'!K8</f>
        <v>721.307431506099</v>
      </c>
      <c r="L106" s="60" t="n">
        <f aca="false">L66*(($I$27*'Timeline and FX'!L12)+$J$27*Payroll!$C$36*MIN(MAX(($I$27*'Timeline and FX'!L12),'Timeline and FX'!L14),'Timeline and FX'!L13))/'Timeline and FX'!L8</f>
        <v>717.813438298698</v>
      </c>
      <c r="M106" s="60" t="n">
        <f aca="false">M66*(($I$27*'Timeline and FX'!M12)+$J$27*Payroll!$C$36*MIN(MAX(($I$27*'Timeline and FX'!M12),'Timeline and FX'!M14),'Timeline and FX'!M13))/'Timeline and FX'!M8</f>
        <v>714.336369897558</v>
      </c>
      <c r="N106" s="60" t="n">
        <f aca="false">N66*(($I$27*'Timeline and FX'!N12)+$J$27*Payroll!$C$36*MIN(MAX(($I$27*'Timeline and FX'!N12),'Timeline and FX'!N14),'Timeline and FX'!N13))/'Timeline and FX'!N8</f>
        <v>710.876144319387</v>
      </c>
      <c r="O106" s="59" t="n">
        <f aca="false">SUM(P106:AA106)</f>
        <v>9281.87177244547</v>
      </c>
      <c r="P106" s="60" t="n">
        <f aca="false">P66*(($I$27*'Timeline and FX'!P12)+$J$27*Payroll!$C$36*MIN(MAX(($I$27*'Timeline and FX'!P12),'Timeline and FX'!P14),'Timeline and FX'!P13))/'Timeline and FX'!P8</f>
        <v>794.31328997985</v>
      </c>
      <c r="Q106" s="60" t="n">
        <f aca="false">Q66*(($I$27*'Timeline and FX'!Q12)+$J$27*Payroll!$C$36*MIN(MAX(($I$27*'Timeline and FX'!Q12),'Timeline and FX'!Q14),'Timeline and FX'!Q13))/'Timeline and FX'!Q8</f>
        <v>790.465658417336</v>
      </c>
      <c r="R106" s="60" t="n">
        <f aca="false">R66*(($I$27*'Timeline and FX'!R12)+$J$27*Payroll!$C$36*MIN(MAX(($I$27*'Timeline and FX'!R12),'Timeline and FX'!R14),'Timeline and FX'!R13))/'Timeline and FX'!R8</f>
        <v>786.636664675476</v>
      </c>
      <c r="S106" s="60" t="n">
        <f aca="false">S66*(($I$27*'Timeline and FX'!S12)+$J$27*Payroll!$C$36*MIN(MAX(($I$27*'Timeline and FX'!S12),'Timeline and FX'!S14),'Timeline and FX'!S13))/'Timeline and FX'!S8</f>
        <v>782.826218473181</v>
      </c>
      <c r="T106" s="60" t="n">
        <f aca="false">T66*(($I$27*'Timeline and FX'!T12)+$J$27*Payroll!$C$36*MIN(MAX(($I$27*'Timeline and FX'!T12),'Timeline and FX'!T14),'Timeline and FX'!T13))/'Timeline and FX'!T8</f>
        <v>779.034229966685</v>
      </c>
      <c r="U106" s="60" t="n">
        <f aca="false">U66*(($I$27*'Timeline and FX'!U12)+$J$27*Payroll!$C$36*MIN(MAX(($I$27*'Timeline and FX'!U12),'Timeline and FX'!U14),'Timeline and FX'!U13))/'Timeline and FX'!U8</f>
        <v>775.260609747421</v>
      </c>
      <c r="V106" s="60" t="n">
        <f aca="false">V66*(($I$27*'Timeline and FX'!V12)+$J$27*Payroll!$C$36*MIN(MAX(($I$27*'Timeline and FX'!V12),'Timeline and FX'!V14),'Timeline and FX'!V13))/'Timeline and FX'!V8</f>
        <v>771.505268839914</v>
      </c>
      <c r="W106" s="60" t="n">
        <f aca="false">W66*(($I$27*'Timeline and FX'!W12)+$J$27*Payroll!$C$36*MIN(MAX(($I$27*'Timeline and FX'!W12),'Timeline and FX'!W14),'Timeline and FX'!W13))/'Timeline and FX'!W8</f>
        <v>767.768118699685</v>
      </c>
      <c r="X106" s="60" t="n">
        <f aca="false">X66*(($I$27*'Timeline and FX'!X12)+$J$27*Payroll!$C$36*MIN(MAX(($I$27*'Timeline and FX'!X12),'Timeline and FX'!X14),'Timeline and FX'!X13))/'Timeline and FX'!X8</f>
        <v>764.049071211161</v>
      </c>
      <c r="Y106" s="60" t="n">
        <f aca="false">Y66*(($I$27*'Timeline and FX'!Y12)+$J$27*Payroll!$C$36*MIN(MAX(($I$27*'Timeline and FX'!Y12),'Timeline and FX'!Y14),'Timeline and FX'!Y13))/'Timeline and FX'!Y8</f>
        <v>760.3480386856</v>
      </c>
      <c r="Z106" s="60" t="n">
        <f aca="false">Z66*(($I$27*'Timeline and FX'!Z12)+$J$27*Payroll!$C$36*MIN(MAX(($I$27*'Timeline and FX'!Z12),'Timeline and FX'!Z14),'Timeline and FX'!Z13))/'Timeline and FX'!Z8</f>
        <v>756.664933859019</v>
      </c>
      <c r="AA106" s="60" t="n">
        <f aca="false">AA66*(($I$27*'Timeline and FX'!AA12)+$J$27*Payroll!$C$36*MIN(MAX(($I$27*'Timeline and FX'!AA12),'Timeline and FX'!AA14),'Timeline and FX'!AA13))/'Timeline and FX'!AA8</f>
        <v>752.999669890142</v>
      </c>
      <c r="AB106" s="59" t="n">
        <f aca="false">SUM(AC106:AN106)</f>
        <v>9832.47245934988</v>
      </c>
      <c r="AC106" s="60" t="n">
        <f aca="false">AC66*(($I$27*'Timeline and FX'!AC12)+$J$27*Payroll!$C$36*MIN(MAX(($I$27*'Timeline and FX'!AC12),'Timeline and FX'!AC14),'Timeline and FX'!AC13))/'Timeline and FX'!AC8</f>
        <v>841.431958908087</v>
      </c>
      <c r="AD106" s="60" t="n">
        <f aca="false">AD66*(($I$27*'Timeline and FX'!AD12)+$J$27*Payroll!$C$36*MIN(MAX(($I$27*'Timeline and FX'!AD12),'Timeline and FX'!AD14),'Timeline and FX'!AD13))/'Timeline and FX'!AD8</f>
        <v>837.356085819164</v>
      </c>
      <c r="AE106" s="60" t="n">
        <f aca="false">AE66*(($I$27*'Timeline and FX'!AE12)+$J$27*Payroll!$C$36*MIN(MAX(($I$27*'Timeline and FX'!AE12),'Timeline and FX'!AE14),'Timeline and FX'!AE13))/'Timeline and FX'!AE8</f>
        <v>833.299956146523</v>
      </c>
      <c r="AF106" s="60" t="n">
        <f aca="false">AF66*(($I$27*'Timeline and FX'!AF12)+$J$27*Payroll!$C$36*MIN(MAX(($I$27*'Timeline and FX'!AF12),'Timeline and FX'!AF14),'Timeline and FX'!AF13))/'Timeline and FX'!AF8</f>
        <v>829.263474253601</v>
      </c>
      <c r="AG106" s="60" t="n">
        <f aca="false">AG66*(($I$27*'Timeline and FX'!AG12)+$J$27*Payroll!$C$36*MIN(MAX(($I$27*'Timeline and FX'!AG12),'Timeline and FX'!AG14),'Timeline and FX'!AG13))/'Timeline and FX'!AG8</f>
        <v>825.2465449671</v>
      </c>
      <c r="AH106" s="60" t="n">
        <f aca="false">AH66*(($I$27*'Timeline and FX'!AH12)+$J$27*Payroll!$C$36*MIN(MAX(($I$27*'Timeline and FX'!AH12),'Timeline and FX'!AH14),'Timeline and FX'!AH13))/'Timeline and FX'!AH8</f>
        <v>821.249073574733</v>
      </c>
      <c r="AI106" s="60" t="n">
        <f aca="false">AI66*(($I$27*'Timeline and FX'!AI12)+$J$27*Payroll!$C$36*MIN(MAX(($I$27*'Timeline and FX'!AI12),'Timeline and FX'!AI14),'Timeline and FX'!AI13))/'Timeline and FX'!AI8</f>
        <v>817.270965823003</v>
      </c>
      <c r="AJ106" s="60" t="n">
        <f aca="false">AJ66*(($I$27*'Timeline and FX'!AJ12)+$J$27*Payroll!$C$36*MIN(MAX(($I$27*'Timeline and FX'!AJ12),'Timeline and FX'!AJ14),'Timeline and FX'!AJ13))/'Timeline and FX'!AJ8</f>
        <v>813.31212791497</v>
      </c>
      <c r="AK106" s="60" t="n">
        <f aca="false">AK66*(($I$27*'Timeline and FX'!AK12)+$J$27*Payroll!$C$36*MIN(MAX(($I$27*'Timeline and FX'!AK12),'Timeline and FX'!AK14),'Timeline and FX'!AK13))/'Timeline and FX'!AK8</f>
        <v>809.372466508046</v>
      </c>
      <c r="AL106" s="60" t="n">
        <f aca="false">AL66*(($I$27*'Timeline and FX'!AL12)+$J$27*Payroll!$C$36*MIN(MAX(($I$27*'Timeline and FX'!AL12),'Timeline and FX'!AL14),'Timeline and FX'!AL13))/'Timeline and FX'!AL8</f>
        <v>805.45188871179</v>
      </c>
      <c r="AM106" s="60" t="n">
        <f aca="false">AM66*(($I$27*'Timeline and FX'!AM12)+$J$27*Payroll!$C$36*MIN(MAX(($I$27*'Timeline and FX'!AM12),'Timeline and FX'!AM14),'Timeline and FX'!AM13))/'Timeline and FX'!AM8</f>
        <v>801.550302085722</v>
      </c>
      <c r="AN106" s="60" t="n">
        <f aca="false">AN66*(($I$27*'Timeline and FX'!AN12)+$J$27*Payroll!$C$36*MIN(MAX(($I$27*'Timeline and FX'!AN12),'Timeline and FX'!AN14),'Timeline and FX'!AN13))/'Timeline and FX'!AN8</f>
        <v>797.667614637139</v>
      </c>
      <c r="AO106" s="59" t="n">
        <f aca="false">SUM(AP106:BA106)</f>
        <v>10416.379840493</v>
      </c>
      <c r="AP106" s="60" t="n">
        <f aca="false">AP66*(($I$27*'Timeline and FX'!AP12)+$J$27*Payroll!$C$36*MIN(MAX(($I$27*'Timeline and FX'!AP12),'Timeline and FX'!AP14),'Timeline and FX'!AP13))/'Timeline and FX'!AP8</f>
        <v>891.400909603588</v>
      </c>
      <c r="AQ106" s="60" t="n">
        <f aca="false">AQ66*(($I$27*'Timeline and FX'!AQ12)+$J$27*Payroll!$C$36*MIN(MAX(($I$27*'Timeline and FX'!AQ12),'Timeline and FX'!AQ14),'Timeline and FX'!AQ13))/'Timeline and FX'!AQ8</f>
        <v>887.082988302371</v>
      </c>
      <c r="AR106" s="60" t="n">
        <f aca="false">AR66*(($I$27*'Timeline and FX'!AR12)+$J$27*Payroll!$C$36*MIN(MAX(($I$27*'Timeline and FX'!AR12),'Timeline and FX'!AR14),'Timeline and FX'!AR13))/'Timeline and FX'!AR8</f>
        <v>882.785982892267</v>
      </c>
      <c r="AS106" s="60" t="n">
        <f aca="false">AS66*(($I$27*'Timeline and FX'!AS12)+$J$27*Payroll!$C$36*MIN(MAX(($I$27*'Timeline and FX'!AS12),'Timeline and FX'!AS14),'Timeline and FX'!AS13))/'Timeline and FX'!AS8</f>
        <v>878.509792057279</v>
      </c>
      <c r="AT106" s="60" t="n">
        <f aca="false">AT66*(($I$27*'Timeline and FX'!AT12)+$J$27*Payroll!$C$36*MIN(MAX(($I$27*'Timeline and FX'!AT12),'Timeline and FX'!AT14),'Timeline and FX'!AT13))/'Timeline and FX'!AT8</f>
        <v>874.254314972182</v>
      </c>
      <c r="AU106" s="60" t="n">
        <f aca="false">AU66*(($I$27*'Timeline and FX'!AU12)+$J$27*Payroll!$C$36*MIN(MAX(($I$27*'Timeline and FX'!AU12),'Timeline and FX'!AU14),'Timeline and FX'!AU13))/'Timeline and FX'!AU8</f>
        <v>870.019451300147</v>
      </c>
      <c r="AV106" s="60" t="n">
        <f aca="false">AV66*(($I$27*'Timeline and FX'!AV12)+$J$27*Payroll!$C$36*MIN(MAX(($I$27*'Timeline and FX'!AV12),'Timeline and FX'!AV14),'Timeline and FX'!AV13))/'Timeline and FX'!AV8</f>
        <v>865.805101190371</v>
      </c>
      <c r="AW106" s="60" t="n">
        <f aca="false">AW66*(($I$27*'Timeline and FX'!AW12)+$J$27*Payroll!$C$36*MIN(MAX(($I$27*'Timeline and FX'!AW12),'Timeline and FX'!AW14),'Timeline and FX'!AW13))/'Timeline and FX'!AW8</f>
        <v>861.611165275727</v>
      </c>
      <c r="AX106" s="60" t="n">
        <f aca="false">AX66*(($I$27*'Timeline and FX'!AX12)+$J$27*Payroll!$C$36*MIN(MAX(($I$27*'Timeline and FX'!AX12),'Timeline and FX'!AX14),'Timeline and FX'!AX13))/'Timeline and FX'!AX8</f>
        <v>857.43754467042</v>
      </c>
      <c r="AY106" s="60" t="n">
        <f aca="false">AY66*(($I$27*'Timeline and FX'!AY12)+$J$27*Payroll!$C$36*MIN(MAX(($I$27*'Timeline and FX'!AY12),'Timeline and FX'!AY14),'Timeline and FX'!AY13))/'Timeline and FX'!AY8</f>
        <v>853.284140967655</v>
      </c>
      <c r="AZ106" s="60" t="n">
        <f aca="false">AZ66*(($I$27*'Timeline and FX'!AZ12)+$J$27*Payroll!$C$36*MIN(MAX(($I$27*'Timeline and FX'!AZ12),'Timeline and FX'!AZ14),'Timeline and FX'!AZ13))/'Timeline and FX'!AZ8</f>
        <v>849.150856237315</v>
      </c>
      <c r="BA106" s="60" t="n">
        <f aca="false">BA66*(($I$27*'Timeline and FX'!BA12)+$J$27*Payroll!$C$36*MIN(MAX(($I$27*'Timeline and FX'!BA12),'Timeline and FX'!BA14),'Timeline and FX'!BA13))/'Timeline and FX'!BA8</f>
        <v>845.037593023657</v>
      </c>
      <c r="BB106" s="59" t="n">
        <f aca="false">SUM(BC106:BN106)</f>
        <v>11035.6609510071</v>
      </c>
      <c r="BC106" s="60" t="n">
        <f aca="false">BC66*(($I$27*'Timeline and FX'!BC12)+$J$27*Payroll!$C$36*MIN(MAX(($I$27*'Timeline and FX'!BC12),'Timeline and FX'!BC14),'Timeline and FX'!BC13))/'Timeline and FX'!BC8</f>
        <v>944.397032408809</v>
      </c>
      <c r="BD106" s="60" t="n">
        <f aca="false">BD66*(($I$27*'Timeline and FX'!BD12)+$J$27*Payroll!$C$36*MIN(MAX(($I$27*'Timeline and FX'!BD12),'Timeline and FX'!BD14),'Timeline and FX'!BD13))/'Timeline and FX'!BD8</f>
        <v>939.822399357495</v>
      </c>
      <c r="BE106" s="60" t="n">
        <f aca="false">BE66*(($I$27*'Timeline and FX'!BE12)+$J$27*Payroll!$C$36*MIN(MAX(($I$27*'Timeline and FX'!BE12),'Timeline and FX'!BE14),'Timeline and FX'!BE13))/'Timeline and FX'!BE8</f>
        <v>935.269925701896</v>
      </c>
      <c r="BF106" s="60" t="n">
        <f aca="false">BF66*(($I$27*'Timeline and FX'!BF12)+$J$27*Payroll!$C$36*MIN(MAX(($I$27*'Timeline and FX'!BF12),'Timeline and FX'!BF14),'Timeline and FX'!BF13))/'Timeline and FX'!BF8</f>
        <v>930.739504102515</v>
      </c>
      <c r="BG106" s="60" t="n">
        <f aca="false">BG66*(($I$27*'Timeline and FX'!BG12)+$J$27*Payroll!$C$36*MIN(MAX(($I$27*'Timeline and FX'!BG12),'Timeline and FX'!BG14),'Timeline and FX'!BG13))/'Timeline and FX'!BG8</f>
        <v>926.231027739802</v>
      </c>
      <c r="BH106" s="60" t="n">
        <f aca="false">BH66*(($I$27*'Timeline and FX'!BH12)+$J$27*Payroll!$C$36*MIN(MAX(($I$27*'Timeline and FX'!BH12),'Timeline and FX'!BH14),'Timeline and FX'!BH13))/'Timeline and FX'!BH8</f>
        <v>921.744390311639</v>
      </c>
      <c r="BI106" s="60" t="n">
        <f aca="false">BI66*(($I$27*'Timeline and FX'!BI12)+$J$27*Payroll!$C$36*MIN(MAX(($I$27*'Timeline and FX'!BI12),'Timeline and FX'!BI14),'Timeline and FX'!BI13))/'Timeline and FX'!BI8</f>
        <v>917.279486030831</v>
      </c>
      <c r="BJ106" s="60" t="n">
        <f aca="false">BJ66*(($I$27*'Timeline and FX'!BJ12)+$J$27*Payroll!$C$36*MIN(MAX(($I$27*'Timeline and FX'!BJ12),'Timeline and FX'!BJ14),'Timeline and FX'!BJ13))/'Timeline and FX'!BJ8</f>
        <v>912.836209622617</v>
      </c>
      <c r="BK106" s="60" t="n">
        <f aca="false">BK66*(($I$27*'Timeline and FX'!BK12)+$J$27*Payroll!$C$36*MIN(MAX(($I$27*'Timeline and FX'!BK12),'Timeline and FX'!BK14),'Timeline and FX'!BK13))/'Timeline and FX'!BK8</f>
        <v>908.414456322181</v>
      </c>
      <c r="BL106" s="60" t="n">
        <f aca="false">BL66*(($I$27*'Timeline and FX'!BL12)+$J$27*Payroll!$C$36*MIN(MAX(($I$27*'Timeline and FX'!BL12),'Timeline and FX'!BL14),'Timeline and FX'!BL13))/'Timeline and FX'!BL8</f>
        <v>904.014121872184</v>
      </c>
      <c r="BM106" s="60" t="n">
        <f aca="false">BM66*(($I$27*'Timeline and FX'!BM12)+$J$27*Payroll!$C$36*MIN(MAX(($I$27*'Timeline and FX'!BM12),'Timeline and FX'!BM14),'Timeline and FX'!BM13))/'Timeline and FX'!BM8</f>
        <v>899.635102520309</v>
      </c>
      <c r="BN106" s="60" t="n">
        <f aca="false">BN66*(($I$27*'Timeline and FX'!BN12)+$J$27*Payroll!$C$36*MIN(MAX(($I$27*'Timeline and FX'!BN12),'Timeline and FX'!BN14),'Timeline and FX'!BN13))/'Timeline and FX'!BN8</f>
        <v>895.277295016811</v>
      </c>
    </row>
    <row r="107" customFormat="false" ht="15" hidden="false" customHeight="false" outlineLevel="0" collapsed="false">
      <c r="A107" s="4" t="s">
        <v>863</v>
      </c>
      <c r="B107" s="59" t="n">
        <f aca="false">SUM(C107:N107)</f>
        <v>0</v>
      </c>
      <c r="C107" s="60" t="n">
        <f aca="false">C67*(($I$28*'Timeline and FX'!C12)+$J$28*Payroll!$C$36*MIN(MAX(($I$28*'Timeline and FX'!C12),'Timeline and FX'!C14),'Timeline and FX'!C13))/'Timeline and FX'!C8</f>
        <v>0</v>
      </c>
      <c r="D107" s="60" t="n">
        <f aca="false">D67*(($I$28*'Timeline and FX'!D12)+$J$28*Payroll!$C$36*MIN(MAX(($I$28*'Timeline and FX'!D12),'Timeline and FX'!D14),'Timeline and FX'!D13))/'Timeline and FX'!D8</f>
        <v>0</v>
      </c>
      <c r="E107" s="60" t="n">
        <f aca="false">E67*(($I$28*'Timeline and FX'!E12)+$J$28*Payroll!$C$36*MIN(MAX(($I$28*'Timeline and FX'!E12),'Timeline and FX'!E14),'Timeline and FX'!E13))/'Timeline and FX'!E8</f>
        <v>0</v>
      </c>
      <c r="F107" s="60" t="n">
        <f aca="false">F67*(($I$28*'Timeline and FX'!F12)+$J$28*Payroll!$C$36*MIN(MAX(($I$28*'Timeline and FX'!F12),'Timeline and FX'!F14),'Timeline and FX'!F13))/'Timeline and FX'!F8</f>
        <v>0</v>
      </c>
      <c r="G107" s="60" t="n">
        <f aca="false">G67*(($I$28*'Timeline and FX'!G12)+$J$28*Payroll!$C$36*MIN(MAX(($I$28*'Timeline and FX'!G12),'Timeline and FX'!G14),'Timeline and FX'!G13))/'Timeline and FX'!G8</f>
        <v>0</v>
      </c>
      <c r="H107" s="60" t="n">
        <f aca="false">H67*(($I$28*'Timeline and FX'!H12)+$J$28*Payroll!$C$36*MIN(MAX(($I$28*'Timeline and FX'!H12),'Timeline and FX'!H14),'Timeline and FX'!H13))/'Timeline and FX'!H8</f>
        <v>0</v>
      </c>
      <c r="I107" s="60" t="n">
        <f aca="false">I67*(($I$28*'Timeline and FX'!I12)+$J$28*Payroll!$C$36*MIN(MAX(($I$28*'Timeline and FX'!I12),'Timeline and FX'!I14),'Timeline and FX'!I13))/'Timeline and FX'!I8</f>
        <v>0</v>
      </c>
      <c r="J107" s="60" t="n">
        <f aca="false">J67*(($I$28*'Timeline and FX'!J12)+$J$28*Payroll!$C$36*MIN(MAX(($I$28*'Timeline and FX'!J12),'Timeline and FX'!J14),'Timeline and FX'!J13))/'Timeline and FX'!J8</f>
        <v>0</v>
      </c>
      <c r="K107" s="60" t="n">
        <f aca="false">K67*(($I$28*'Timeline and FX'!K12)+$J$28*Payroll!$C$36*MIN(MAX(($I$28*'Timeline and FX'!K12),'Timeline and FX'!K14),'Timeline and FX'!K13))/'Timeline and FX'!K8</f>
        <v>0</v>
      </c>
      <c r="L107" s="60" t="n">
        <f aca="false">L67*(($I$28*'Timeline and FX'!L12)+$J$28*Payroll!$C$36*MIN(MAX(($I$28*'Timeline and FX'!L12),'Timeline and FX'!L14),'Timeline and FX'!L13))/'Timeline and FX'!L8</f>
        <v>0</v>
      </c>
      <c r="M107" s="60" t="n">
        <f aca="false">M67*(($I$28*'Timeline and FX'!M12)+$J$28*Payroll!$C$36*MIN(MAX(($I$28*'Timeline and FX'!M12),'Timeline and FX'!M14),'Timeline and FX'!M13))/'Timeline and FX'!M8</f>
        <v>0</v>
      </c>
      <c r="N107" s="60" t="n">
        <f aca="false">N67*(($I$28*'Timeline and FX'!N12)+$J$28*Payroll!$C$36*MIN(MAX(($I$28*'Timeline and FX'!N12),'Timeline and FX'!N14),'Timeline and FX'!N13))/'Timeline and FX'!N8</f>
        <v>0</v>
      </c>
      <c r="O107" s="59" t="n">
        <f aca="false">SUM(P107:AA107)</f>
        <v>10276.5001103619</v>
      </c>
      <c r="P107" s="60" t="n">
        <f aca="false">P67*(($I$28*'Timeline and FX'!P12)+$J$28*Payroll!$C$36*MIN(MAX(($I$28*'Timeline and FX'!P12),'Timeline and FX'!P14),'Timeline and FX'!P13))/'Timeline and FX'!P8</f>
        <v>589.147508701227</v>
      </c>
      <c r="Q107" s="60" t="n">
        <f aca="false">Q67*(($I$28*'Timeline and FX'!Q12)+$J$28*Payroll!$C$36*MIN(MAX(($I$28*'Timeline and FX'!Q12),'Timeline and FX'!Q14),'Timeline and FX'!Q13))/'Timeline and FX'!Q8</f>
        <v>586.293694497121</v>
      </c>
      <c r="R107" s="60" t="n">
        <f aca="false">R67*(($I$28*'Timeline and FX'!R12)+$J$28*Payroll!$C$36*MIN(MAX(($I$28*'Timeline and FX'!R12),'Timeline and FX'!R14),'Timeline and FX'!R13))/'Timeline and FX'!R8</f>
        <v>583.453704089926</v>
      </c>
      <c r="S107" s="60" t="n">
        <f aca="false">S67*(($I$28*'Timeline and FX'!S12)+$J$28*Payroll!$C$36*MIN(MAX(($I$28*'Timeline and FX'!S12),'Timeline and FX'!S14),'Timeline and FX'!S13))/'Timeline and FX'!S8</f>
        <v>580.627470517555</v>
      </c>
      <c r="T107" s="60" t="n">
        <f aca="false">T67*(($I$28*'Timeline and FX'!T12)+$J$28*Payroll!$C$36*MIN(MAX(($I$28*'Timeline and FX'!T12),'Timeline and FX'!T14),'Timeline and FX'!T13))/'Timeline and FX'!T8</f>
        <v>577.81492714228</v>
      </c>
      <c r="U107" s="60" t="n">
        <f aca="false">U67*(($I$28*'Timeline and FX'!U12)+$J$28*Payroll!$C$36*MIN(MAX(($I$28*'Timeline and FX'!U12),'Timeline and FX'!U14),'Timeline and FX'!U13))/'Timeline and FX'!U8</f>
        <v>575.016007649166</v>
      </c>
      <c r="V107" s="60" t="n">
        <f aca="false">V67*(($I$28*'Timeline and FX'!V12)+$J$28*Payroll!$C$36*MIN(MAX(($I$28*'Timeline and FX'!V12),'Timeline and FX'!V14),'Timeline and FX'!V13))/'Timeline and FX'!V8</f>
        <v>1144.46129208901</v>
      </c>
      <c r="W107" s="60" t="n">
        <f aca="false">W67*(($I$28*'Timeline and FX'!W12)+$J$28*Payroll!$C$36*MIN(MAX(($I$28*'Timeline and FX'!W12),'Timeline and FX'!W14),'Timeline and FX'!W13))/'Timeline and FX'!W8</f>
        <v>1138.91755330852</v>
      </c>
      <c r="X107" s="60" t="n">
        <f aca="false">X67*(($I$28*'Timeline and FX'!X12)+$J$28*Payroll!$C$36*MIN(MAX(($I$28*'Timeline and FX'!X12),'Timeline and FX'!X14),'Timeline and FX'!X13))/'Timeline and FX'!X8</f>
        <v>1133.40066824505</v>
      </c>
      <c r="Y107" s="60" t="n">
        <f aca="false">Y67*(($I$28*'Timeline and FX'!Y12)+$J$28*Payroll!$C$36*MIN(MAX(($I$28*'Timeline and FX'!Y12),'Timeline and FX'!Y14),'Timeline and FX'!Y13))/'Timeline and FX'!Y8</f>
        <v>1127.91050681992</v>
      </c>
      <c r="Z107" s="60" t="n">
        <f aca="false">Z67*(($I$28*'Timeline and FX'!Z12)+$J$28*Payroll!$C$36*MIN(MAX(($I$28*'Timeline and FX'!Z12),'Timeline and FX'!Z14),'Timeline and FX'!Z13))/'Timeline and FX'!Z8</f>
        <v>1122.44693958458</v>
      </c>
      <c r="AA107" s="60" t="n">
        <f aca="false">AA67*(($I$28*'Timeline and FX'!AA12)+$J$28*Payroll!$C$36*MIN(MAX(($I$28*'Timeline and FX'!AA12),'Timeline and FX'!AA14),'Timeline and FX'!AA13))/'Timeline and FX'!AA8</f>
        <v>1117.0098377175</v>
      </c>
      <c r="AB107" s="59" t="n">
        <f aca="false">SUM(AC107:AN107)</f>
        <v>29102.781435256</v>
      </c>
      <c r="AC107" s="60" t="n">
        <f aca="false">AC67*(($I$28*'Timeline and FX'!AC12)+$J$28*Payroll!$C$36*MIN(MAX(($I$28*'Timeline and FX'!AC12),'Timeline and FX'!AC14),'Timeline and FX'!AC13))/'Timeline and FX'!AC8</f>
        <v>1873.9590605958</v>
      </c>
      <c r="AD107" s="60" t="n">
        <f aca="false">AD67*(($I$28*'Timeline and FX'!AD12)+$J$28*Payroll!$C$36*MIN(MAX(($I$28*'Timeline and FX'!AD12),'Timeline and FX'!AD14),'Timeline and FX'!AD13))/'Timeline and FX'!AD8</f>
        <v>1864.88165484247</v>
      </c>
      <c r="AE107" s="60" t="n">
        <f aca="false">AE67*(($I$28*'Timeline and FX'!AE12)+$J$28*Payroll!$C$36*MIN(MAX(($I$28*'Timeline and FX'!AE12),'Timeline and FX'!AE14),'Timeline and FX'!AE13))/'Timeline and FX'!AE8</f>
        <v>1855.84821979104</v>
      </c>
      <c r="AF107" s="60" t="n">
        <f aca="false">AF67*(($I$28*'Timeline and FX'!AF12)+$J$28*Payroll!$C$36*MIN(MAX(($I$28*'Timeline and FX'!AF12),'Timeline and FX'!AF14),'Timeline and FX'!AF13))/'Timeline and FX'!AF8</f>
        <v>1846.85854244863</v>
      </c>
      <c r="AG107" s="60" t="n">
        <f aca="false">AG67*(($I$28*'Timeline and FX'!AG12)+$J$28*Payroll!$C$36*MIN(MAX(($I$28*'Timeline and FX'!AG12),'Timeline and FX'!AG14),'Timeline and FX'!AG13))/'Timeline and FX'!AG8</f>
        <v>2450.54988113884</v>
      </c>
      <c r="AH107" s="60" t="n">
        <f aca="false">AH67*(($I$28*'Timeline and FX'!AH12)+$J$28*Payroll!$C$36*MIN(MAX(($I$28*'Timeline and FX'!AH12),'Timeline and FX'!AH14),'Timeline and FX'!AH13))/'Timeline and FX'!AH8</f>
        <v>2438.67948543084</v>
      </c>
      <c r="AI107" s="60" t="n">
        <f aca="false">AI67*(($I$28*'Timeline and FX'!AI12)+$J$28*Payroll!$C$36*MIN(MAX(($I$28*'Timeline and FX'!AI12),'Timeline and FX'!AI14),'Timeline and FX'!AI13))/'Timeline and FX'!AI8</f>
        <v>2426.86658959066</v>
      </c>
      <c r="AJ107" s="60" t="n">
        <f aca="false">AJ67*(($I$28*'Timeline and FX'!AJ12)+$J$28*Payroll!$C$36*MIN(MAX(($I$28*'Timeline and FX'!AJ12),'Timeline and FX'!AJ14),'Timeline and FX'!AJ13))/'Timeline and FX'!AJ8</f>
        <v>2415.11091509055</v>
      </c>
      <c r="AK107" s="60" t="n">
        <f aca="false">AK67*(($I$28*'Timeline and FX'!AK12)+$J$28*Payroll!$C$36*MIN(MAX(($I$28*'Timeline and FX'!AK12),'Timeline and FX'!AK14),'Timeline and FX'!AK13))/'Timeline and FX'!AK8</f>
        <v>3004.26523093988</v>
      </c>
      <c r="AL107" s="60" t="n">
        <f aca="false">AL67*(($I$28*'Timeline and FX'!AL12)+$J$28*Payroll!$C$36*MIN(MAX(($I$28*'Timeline and FX'!AL12),'Timeline and FX'!AL14),'Timeline and FX'!AL13))/'Timeline and FX'!AL8</f>
        <v>2989.7126534235</v>
      </c>
      <c r="AM107" s="60" t="n">
        <f aca="false">AM67*(($I$28*'Timeline and FX'!AM12)+$J$28*Payroll!$C$36*MIN(MAX(($I$28*'Timeline and FX'!AM12),'Timeline and FX'!AM14),'Timeline and FX'!AM13))/'Timeline and FX'!AM8</f>
        <v>2975.23056818928</v>
      </c>
      <c r="AN107" s="60" t="n">
        <f aca="false">AN67*(($I$28*'Timeline and FX'!AN12)+$J$28*Payroll!$C$36*MIN(MAX(($I$28*'Timeline and FX'!AN12),'Timeline and FX'!AN14),'Timeline and FX'!AN13))/'Timeline and FX'!AN8</f>
        <v>2960.81863377457</v>
      </c>
      <c r="AO107" s="59" t="n">
        <f aca="false">SUM(AP107:BA107)</f>
        <v>63030.1519057613</v>
      </c>
      <c r="AP107" s="60" t="n">
        <f aca="false">AP67*(($I$28*'Timeline and FX'!AP12)+$J$28*Payroll!$C$36*MIN(MAX(($I$28*'Timeline and FX'!AP12),'Timeline and FX'!AP14),'Timeline and FX'!AP13))/'Timeline and FX'!AP8</f>
        <v>3974.10878957647</v>
      </c>
      <c r="AQ107" s="60" t="n">
        <f aca="false">AQ67*(($I$28*'Timeline and FX'!AQ12)+$J$28*Payroll!$C$36*MIN(MAX(($I$28*'Timeline and FX'!AQ12),'Timeline and FX'!AQ14),'Timeline and FX'!AQ13))/'Timeline and FX'!AQ8</f>
        <v>3954.85831674097</v>
      </c>
      <c r="AR107" s="60" t="n">
        <f aca="false">AR67*(($I$28*'Timeline and FX'!AR12)+$J$28*Payroll!$C$36*MIN(MAX(($I$28*'Timeline and FX'!AR12),'Timeline and FX'!AR14),'Timeline and FX'!AR13))/'Timeline and FX'!AR8</f>
        <v>4591.65127477275</v>
      </c>
      <c r="AS107" s="60" t="n">
        <f aca="false">AS67*(($I$28*'Timeline and FX'!AS12)+$J$28*Payroll!$C$36*MIN(MAX(($I$28*'Timeline and FX'!AS12),'Timeline and FX'!AS14),'Timeline and FX'!AS13))/'Timeline and FX'!AS8</f>
        <v>4569.40944325396</v>
      </c>
      <c r="AT107" s="60" t="n">
        <f aca="false">AT67*(($I$28*'Timeline and FX'!AT12)+$J$28*Payroll!$C$36*MIN(MAX(($I$28*'Timeline and FX'!AT12),'Timeline and FX'!AT14),'Timeline and FX'!AT13))/'Timeline and FX'!AT8</f>
        <v>5196.88611491499</v>
      </c>
      <c r="AU107" s="60" t="n">
        <f aca="false">AU67*(($I$28*'Timeline and FX'!AU12)+$J$28*Payroll!$C$36*MIN(MAX(($I$28*'Timeline and FX'!AU12),'Timeline and FX'!AU14),'Timeline and FX'!AU13))/'Timeline and FX'!AU8</f>
        <v>5171.71254260444</v>
      </c>
      <c r="AV107" s="60" t="n">
        <f aca="false">AV67*(($I$28*'Timeline and FX'!AV12)+$J$28*Payroll!$C$36*MIN(MAX(($I$28*'Timeline and FX'!AV12),'Timeline and FX'!AV14),'Timeline and FX'!AV13))/'Timeline and FX'!AV8</f>
        <v>5146.66091038049</v>
      </c>
      <c r="AW107" s="60" t="n">
        <f aca="false">AW67*(($I$28*'Timeline and FX'!AW12)+$J$28*Payroll!$C$36*MIN(MAX(($I$28*'Timeline and FX'!AW12),'Timeline and FX'!AW14),'Timeline and FX'!AW13))/'Timeline and FX'!AW8</f>
        <v>5761.94695601483</v>
      </c>
      <c r="AX107" s="60" t="n">
        <f aca="false">AX67*(($I$28*'Timeline and FX'!AX12)+$J$28*Payroll!$C$36*MIN(MAX(($I$28*'Timeline and FX'!AX12),'Timeline and FX'!AX14),'Timeline and FX'!AX13))/'Timeline and FX'!AX8</f>
        <v>5734.03624465048</v>
      </c>
      <c r="AY107" s="60" t="n">
        <f aca="false">AY67*(($I$28*'Timeline and FX'!AY12)+$J$28*Payroll!$C$36*MIN(MAX(($I$28*'Timeline and FX'!AY12),'Timeline and FX'!AY14),'Timeline and FX'!AY13))/'Timeline and FX'!AY8</f>
        <v>6340.2897022205</v>
      </c>
      <c r="AZ107" s="60" t="n">
        <f aca="false">AZ67*(($I$28*'Timeline and FX'!AZ12)+$J$28*Payroll!$C$36*MIN(MAX(($I$28*'Timeline and FX'!AZ12),'Timeline and FX'!AZ14),'Timeline and FX'!AZ13))/'Timeline and FX'!AZ8</f>
        <v>6309.57751462212</v>
      </c>
      <c r="BA107" s="60" t="n">
        <f aca="false">BA67*(($I$28*'Timeline and FX'!BA12)+$J$28*Payroll!$C$36*MIN(MAX(($I$28*'Timeline and FX'!BA12),'Timeline and FX'!BA14),'Timeline and FX'!BA13))/'Timeline and FX'!BA8</f>
        <v>6279.0140960093</v>
      </c>
      <c r="BB107" s="59" t="n">
        <f aca="false">SUM(BC107:BN107)</f>
        <v>124812.551312331</v>
      </c>
      <c r="BC107" s="60" t="n">
        <f aca="false">BC67*(($I$28*'Timeline and FX'!BC12)+$J$28*Payroll!$C$36*MIN(MAX(($I$28*'Timeline and FX'!BC12),'Timeline and FX'!BC14),'Timeline and FX'!BC13))/'Timeline and FX'!BC8</f>
        <v>7726.20777311403</v>
      </c>
      <c r="BD107" s="60" t="n">
        <f aca="false">BD67*(($I$28*'Timeline and FX'!BD12)+$J$28*Payroll!$C$36*MIN(MAX(($I$28*'Timeline and FX'!BD12),'Timeline and FX'!BD14),'Timeline and FX'!BD13))/'Timeline and FX'!BD8</f>
        <v>8387.76244013513</v>
      </c>
      <c r="BE107" s="60" t="n">
        <f aca="false">BE67*(($I$28*'Timeline and FX'!BE12)+$J$28*Payroll!$C$36*MIN(MAX(($I$28*'Timeline and FX'!BE12),'Timeline and FX'!BE14),'Timeline and FX'!BE13))/'Timeline and FX'!BE8</f>
        <v>9042.72671395099</v>
      </c>
      <c r="BF107" s="60" t="n">
        <f aca="false">BF67*(($I$28*'Timeline and FX'!BF12)+$J$28*Payroll!$C$36*MIN(MAX(($I$28*'Timeline and FX'!BF12),'Timeline and FX'!BF14),'Timeline and FX'!BF13))/'Timeline and FX'!BF8</f>
        <v>8998.92399636501</v>
      </c>
      <c r="BG107" s="60" t="n">
        <f aca="false">BG67*(($I$28*'Timeline and FX'!BG12)+$J$28*Payroll!$C$36*MIN(MAX(($I$28*'Timeline and FX'!BG12),'Timeline and FX'!BG14),'Timeline and FX'!BG13))/'Timeline and FX'!BG8</f>
        <v>9644.20526238511</v>
      </c>
      <c r="BH107" s="60" t="n">
        <f aca="false">BH67*(($I$28*'Timeline and FX'!BH12)+$J$28*Payroll!$C$36*MIN(MAX(($I$28*'Timeline and FX'!BH12),'Timeline and FX'!BH14),'Timeline and FX'!BH13))/'Timeline and FX'!BH8</f>
        <v>10283.0239279075</v>
      </c>
      <c r="BI107" s="60" t="n">
        <f aca="false">BI67*(($I$28*'Timeline and FX'!BI12)+$J$28*Payroll!$C$36*MIN(MAX(($I$28*'Timeline and FX'!BI12),'Timeline and FX'!BI14),'Timeline and FX'!BI13))/'Timeline and FX'!BI8</f>
        <v>10915.4274613243</v>
      </c>
      <c r="BJ107" s="60" t="n">
        <f aca="false">BJ67*(($I$28*'Timeline and FX'!BJ12)+$J$28*Payroll!$C$36*MIN(MAX(($I$28*'Timeline and FX'!BJ12),'Timeline and FX'!BJ14),'Timeline and FX'!BJ13))/'Timeline and FX'!BJ8</f>
        <v>10862.5534332194</v>
      </c>
      <c r="BK107" s="60" t="n">
        <f aca="false">BK67*(($I$28*'Timeline and FX'!BK12)+$J$28*Payroll!$C$36*MIN(MAX(($I$28*'Timeline and FX'!BK12),'Timeline and FX'!BK14),'Timeline and FX'!BK13))/'Timeline and FX'!BK8</f>
        <v>11485.5564957813</v>
      </c>
      <c r="BL107" s="60" t="n">
        <f aca="false">BL67*(($I$28*'Timeline and FX'!BL12)+$J$28*Payroll!$C$36*MIN(MAX(($I$28*'Timeline and FX'!BL12),'Timeline and FX'!BL14),'Timeline and FX'!BL13))/'Timeline and FX'!BL8</f>
        <v>12102.2690595187</v>
      </c>
      <c r="BM107" s="60" t="n">
        <f aca="false">BM67*(($I$28*'Timeline and FX'!BM12)+$J$28*Payroll!$C$36*MIN(MAX(($I$28*'Timeline and FX'!BM12),'Timeline and FX'!BM14),'Timeline and FX'!BM13))/'Timeline and FX'!BM8</f>
        <v>12712.7374482498</v>
      </c>
      <c r="BN107" s="60" t="n">
        <f aca="false">BN67*(($I$28*'Timeline and FX'!BN12)+$J$28*Payroll!$C$36*MIN(MAX(($I$28*'Timeline and FX'!BN12),'Timeline and FX'!BN14),'Timeline and FX'!BN13))/'Timeline and FX'!BN8</f>
        <v>12651.1573003801</v>
      </c>
    </row>
    <row r="108" customFormat="false" ht="15" hidden="false" customHeight="false" outlineLevel="0" collapsed="false">
      <c r="A108" s="4" t="s">
        <v>864</v>
      </c>
      <c r="B108" s="59" t="n">
        <f aca="false">SUM(C108:N108)</f>
        <v>4041.67496047879</v>
      </c>
      <c r="C108" s="60" t="n">
        <f aca="false">C68*(($I$29*'Timeline and FX'!C12)+$J$29*Payroll!$C$36*MIN(MAX(($I$29*'Timeline and FX'!C12),'Timeline and FX'!C14),'Timeline and FX'!C13))/'Timeline and FX'!C8</f>
        <v>345.873786407767</v>
      </c>
      <c r="D108" s="60" t="n">
        <f aca="false">D68*(($I$29*'Timeline and FX'!D12)+$J$29*Payroll!$C$36*MIN(MAX(($I$29*'Timeline and FX'!D12),'Timeline and FX'!D14),'Timeline and FX'!D13))/'Timeline and FX'!D8</f>
        <v>344.198383372194</v>
      </c>
      <c r="E108" s="60" t="n">
        <f aca="false">E68*(($I$29*'Timeline and FX'!E12)+$J$29*Payroll!$C$36*MIN(MAX(($I$29*'Timeline and FX'!E12),'Timeline and FX'!E14),'Timeline and FX'!E13))/'Timeline and FX'!E8</f>
        <v>342.531095942491</v>
      </c>
      <c r="F108" s="60" t="n">
        <f aca="false">F68*(($I$29*'Timeline and FX'!F12)+$J$29*Payroll!$C$36*MIN(MAX(($I$29*'Timeline and FX'!F12),'Timeline and FX'!F14),'Timeline and FX'!F13))/'Timeline and FX'!F8</f>
        <v>340.87188480689</v>
      </c>
      <c r="G108" s="60" t="n">
        <f aca="false">G68*(($I$29*'Timeline and FX'!G12)+$J$29*Payroll!$C$36*MIN(MAX(($I$29*'Timeline and FX'!G12),'Timeline and FX'!G14),'Timeline and FX'!G13))/'Timeline and FX'!G8</f>
        <v>339.220710844045</v>
      </c>
      <c r="H108" s="60" t="n">
        <f aca="false">H68*(($I$29*'Timeline and FX'!H12)+$J$29*Payroll!$C$36*MIN(MAX(($I$29*'Timeline and FX'!H12),'Timeline and FX'!H14),'Timeline and FX'!H13))/'Timeline and FX'!H8</f>
        <v>337.577535122114</v>
      </c>
      <c r="I108" s="60" t="n">
        <f aca="false">I68*(($I$29*'Timeline and FX'!I12)+$J$29*Payroll!$C$36*MIN(MAX(($I$29*'Timeline and FX'!I12),'Timeline and FX'!I14),'Timeline and FX'!I13))/'Timeline and FX'!I8</f>
        <v>335.94231889784</v>
      </c>
      <c r="J108" s="60" t="n">
        <f aca="false">J68*(($I$29*'Timeline and FX'!J12)+$J$29*Payroll!$C$36*MIN(MAX(($I$29*'Timeline and FX'!J12),'Timeline and FX'!J14),'Timeline and FX'!J13))/'Timeline and FX'!J8</f>
        <v>334.315023615637</v>
      </c>
      <c r="K108" s="60" t="n">
        <f aca="false">K68*(($I$29*'Timeline and FX'!K12)+$J$29*Payroll!$C$36*MIN(MAX(($I$29*'Timeline and FX'!K12),'Timeline and FX'!K14),'Timeline and FX'!K13))/'Timeline and FX'!K8</f>
        <v>332.695610906681</v>
      </c>
      <c r="L108" s="60" t="n">
        <f aca="false">L68*(($I$29*'Timeline and FX'!L12)+$J$29*Payroll!$C$36*MIN(MAX(($I$29*'Timeline and FX'!L12),'Timeline and FX'!L14),'Timeline and FX'!L13))/'Timeline and FX'!L8</f>
        <v>331.084042588006</v>
      </c>
      <c r="M108" s="60" t="n">
        <f aca="false">M68*(($I$29*'Timeline and FX'!M12)+$J$29*Payroll!$C$36*MIN(MAX(($I$29*'Timeline and FX'!M12),'Timeline and FX'!M14),'Timeline and FX'!M13))/'Timeline and FX'!M8</f>
        <v>329.480280661602</v>
      </c>
      <c r="N108" s="60" t="n">
        <f aca="false">N68*(($I$29*'Timeline and FX'!N12)+$J$29*Payroll!$C$36*MIN(MAX(($I$29*'Timeline and FX'!N12),'Timeline and FX'!N14),'Timeline and FX'!N13))/'Timeline and FX'!N8</f>
        <v>327.884287313522</v>
      </c>
      <c r="O108" s="59" t="n">
        <f aca="false">SUM(P108:AA108)</f>
        <v>8540.89802969103</v>
      </c>
      <c r="P108" s="60" t="n">
        <f aca="false">P68*(($I$29*'Timeline and FX'!P12)+$J$29*Payroll!$C$36*MIN(MAX(($I$29*'Timeline and FX'!P12),'Timeline and FX'!P14),'Timeline and FX'!P13))/'Timeline and FX'!P8</f>
        <v>730.903095805092</v>
      </c>
      <c r="Q108" s="60" t="n">
        <f aca="false">Q68*(($I$29*'Timeline and FX'!Q12)+$J$29*Payroll!$C$36*MIN(MAX(($I$29*'Timeline and FX'!Q12),'Timeline and FX'!Q14),'Timeline and FX'!Q13))/'Timeline and FX'!Q8</f>
        <v>727.362621465767</v>
      </c>
      <c r="R108" s="60" t="n">
        <f aca="false">R68*(($I$29*'Timeline and FX'!R12)+$J$29*Payroll!$C$36*MIN(MAX(($I$29*'Timeline and FX'!R12),'Timeline and FX'!R14),'Timeline and FX'!R13))/'Timeline and FX'!R8</f>
        <v>723.839297086019</v>
      </c>
      <c r="S108" s="60" t="n">
        <f aca="false">S68*(($I$29*'Timeline and FX'!S12)+$J$29*Payroll!$C$36*MIN(MAX(($I$29*'Timeline and FX'!S12),'Timeline and FX'!S14),'Timeline and FX'!S13))/'Timeline and FX'!S8</f>
        <v>720.333039591918</v>
      </c>
      <c r="T108" s="60" t="n">
        <f aca="false">T68*(($I$29*'Timeline and FX'!T12)+$J$29*Payroll!$C$36*MIN(MAX(($I$29*'Timeline and FX'!T12),'Timeline and FX'!T14),'Timeline and FX'!T13))/'Timeline and FX'!T8</f>
        <v>716.843766311944</v>
      </c>
      <c r="U108" s="60" t="n">
        <f aca="false">U68*(($I$29*'Timeline and FX'!U12)+$J$29*Payroll!$C$36*MIN(MAX(($I$29*'Timeline and FX'!U12),'Timeline and FX'!U14),'Timeline and FX'!U13))/'Timeline and FX'!U8</f>
        <v>713.371394975033</v>
      </c>
      <c r="V108" s="60" t="n">
        <f aca="false">V68*(($I$29*'Timeline and FX'!V12)+$J$29*Payroll!$C$36*MIN(MAX(($I$29*'Timeline and FX'!V12),'Timeline and FX'!V14),'Timeline and FX'!V13))/'Timeline and FX'!V8</f>
        <v>709.915843708643</v>
      </c>
      <c r="W108" s="60" t="n">
        <f aca="false">W68*(($I$29*'Timeline and FX'!W12)+$J$29*Payroll!$C$36*MIN(MAX(($I$29*'Timeline and FX'!W12),'Timeline and FX'!W14),'Timeline and FX'!W13))/'Timeline and FX'!W8</f>
        <v>706.477031036818</v>
      </c>
      <c r="X108" s="60" t="n">
        <f aca="false">X68*(($I$29*'Timeline and FX'!X12)+$J$29*Payroll!$C$36*MIN(MAX(($I$29*'Timeline and FX'!X12),'Timeline and FX'!X14),'Timeline and FX'!X13))/'Timeline and FX'!X8</f>
        <v>703.05487587827</v>
      </c>
      <c r="Y108" s="60" t="n">
        <f aca="false">Y68*(($I$29*'Timeline and FX'!Y12)+$J$29*Payroll!$C$36*MIN(MAX(($I$29*'Timeline and FX'!Y12),'Timeline and FX'!Y14),'Timeline and FX'!Y13))/'Timeline and FX'!Y8</f>
        <v>699.649297544465</v>
      </c>
      <c r="Z108" s="60" t="n">
        <f aca="false">Z68*(($I$29*'Timeline and FX'!Z12)+$J$29*Payroll!$C$36*MIN(MAX(($I$29*'Timeline and FX'!Z12),'Timeline and FX'!Z14),'Timeline and FX'!Z13))/'Timeline and FX'!Z8</f>
        <v>696.260215737725</v>
      </c>
      <c r="AA108" s="60" t="n">
        <f aca="false">AA68*(($I$29*'Timeline and FX'!AA12)+$J$29*Payroll!$C$36*MIN(MAX(($I$29*'Timeline and FX'!AA12),'Timeline and FX'!AA14),'Timeline and FX'!AA13))/'Timeline and FX'!AA8</f>
        <v>692.88755054933</v>
      </c>
      <c r="AB108" s="59" t="n">
        <f aca="false">SUM(AC108:AN108)</f>
        <v>15759.7413075244</v>
      </c>
      <c r="AC108" s="60" t="n">
        <f aca="false">AC68*(($I$29*'Timeline and FX'!AC12)+$J$29*Payroll!$C$36*MIN(MAX(($I$29*'Timeline and FX'!AC12),'Timeline and FX'!AC14),'Timeline and FX'!AC13))/'Timeline and FX'!AC8</f>
        <v>1158.41245372883</v>
      </c>
      <c r="AD108" s="60" t="n">
        <f aca="false">AD68*(($I$29*'Timeline and FX'!AD12)+$J$29*Payroll!$C$36*MIN(MAX(($I$29*'Timeline and FX'!AD12),'Timeline and FX'!AD14),'Timeline and FX'!AD13))/'Timeline and FX'!AD8</f>
        <v>1152.80113590801</v>
      </c>
      <c r="AE108" s="60" t="n">
        <f aca="false">AE68*(($I$29*'Timeline and FX'!AE12)+$J$29*Payroll!$C$36*MIN(MAX(($I$29*'Timeline and FX'!AE12),'Timeline and FX'!AE14),'Timeline and FX'!AE13))/'Timeline and FX'!AE8</f>
        <v>1147.2169991552</v>
      </c>
      <c r="AF108" s="60" t="n">
        <f aca="false">AF68*(($I$29*'Timeline and FX'!AF12)+$J$29*Payroll!$C$36*MIN(MAX(($I$29*'Timeline and FX'!AF12),'Timeline and FX'!AF14),'Timeline and FX'!AF13))/'Timeline and FX'!AF8</f>
        <v>1141.65991180606</v>
      </c>
      <c r="AG108" s="60" t="n">
        <f aca="false">AG68*(($I$29*'Timeline and FX'!AG12)+$J$29*Payroll!$C$36*MIN(MAX(($I$29*'Timeline and FX'!AG12),'Timeline and FX'!AG14),'Timeline and FX'!AG13))/'Timeline and FX'!AG8</f>
        <v>1136.12974283402</v>
      </c>
      <c r="AH108" s="60" t="n">
        <f aca="false">AH68*(($I$29*'Timeline and FX'!AH12)+$J$29*Payroll!$C$36*MIN(MAX(($I$29*'Timeline and FX'!AH12),'Timeline and FX'!AH14),'Timeline and FX'!AH13))/'Timeline and FX'!AH8</f>
        <v>1130.62636184722</v>
      </c>
      <c r="AI108" s="60" t="n">
        <f aca="false">AI68*(($I$29*'Timeline and FX'!AI12)+$J$29*Payroll!$C$36*MIN(MAX(($I$29*'Timeline and FX'!AI12),'Timeline and FX'!AI14),'Timeline and FX'!AI13))/'Timeline and FX'!AI8</f>
        <v>1500.19951878053</v>
      </c>
      <c r="AJ108" s="60" t="n">
        <f aca="false">AJ68*(($I$29*'Timeline and FX'!AJ12)+$J$29*Payroll!$C$36*MIN(MAX(($I$29*'Timeline and FX'!AJ12),'Timeline and FX'!AJ14),'Timeline and FX'!AJ13))/'Timeline and FX'!AJ8</f>
        <v>1492.93259388913</v>
      </c>
      <c r="AK108" s="60" t="n">
        <f aca="false">AK68*(($I$29*'Timeline and FX'!AK12)+$J$29*Payroll!$C$36*MIN(MAX(($I$29*'Timeline and FX'!AK12),'Timeline and FX'!AK14),'Timeline and FX'!AK13))/'Timeline and FX'!AK8</f>
        <v>1485.70086978049</v>
      </c>
      <c r="AL108" s="60" t="n">
        <f aca="false">AL68*(($I$29*'Timeline and FX'!AL12)+$J$29*Payroll!$C$36*MIN(MAX(($I$29*'Timeline and FX'!AL12),'Timeline and FX'!AL14),'Timeline and FX'!AL13))/'Timeline and FX'!AL8</f>
        <v>1478.50417594302</v>
      </c>
      <c r="AM108" s="60" t="n">
        <f aca="false">AM68*(($I$29*'Timeline and FX'!AM12)+$J$29*Payroll!$C$36*MIN(MAX(($I$29*'Timeline and FX'!AM12),'Timeline and FX'!AM14),'Timeline and FX'!AM13))/'Timeline and FX'!AM8</f>
        <v>1471.34234269104</v>
      </c>
      <c r="AN108" s="60" t="n">
        <f aca="false">AN68*(($I$29*'Timeline and FX'!AN12)+$J$29*Payroll!$C$36*MIN(MAX(($I$29*'Timeline and FX'!AN12),'Timeline and FX'!AN14),'Timeline and FX'!AN13))/'Timeline and FX'!AN8</f>
        <v>1464.21520116085</v>
      </c>
      <c r="AO108" s="59" t="n">
        <f aca="false">SUM(AP108:BA108)</f>
        <v>26186.9592103394</v>
      </c>
      <c r="AP108" s="60" t="n">
        <f aca="false">AP68*(($I$29*'Timeline and FX'!AP12)+$J$29*Payroll!$C$36*MIN(MAX(($I$29*'Timeline and FX'!AP12),'Timeline and FX'!AP14),'Timeline and FX'!AP13))/'Timeline and FX'!AP8</f>
        <v>2039.97161662938</v>
      </c>
      <c r="AQ108" s="60" t="n">
        <f aca="false">AQ68*(($I$29*'Timeline and FX'!AQ12)+$J$29*Payroll!$C$36*MIN(MAX(($I$29*'Timeline and FX'!AQ12),'Timeline and FX'!AQ14),'Timeline and FX'!AQ13))/'Timeline and FX'!AQ8</f>
        <v>2030.09005065561</v>
      </c>
      <c r="AR108" s="60" t="n">
        <f aca="false">AR68*(($I$29*'Timeline and FX'!AR12)+$J$29*Payroll!$C$36*MIN(MAX(($I$29*'Timeline and FX'!AR12),'Timeline and FX'!AR14),'Timeline and FX'!AR13))/'Timeline and FX'!AR8</f>
        <v>2020.25635071356</v>
      </c>
      <c r="AS108" s="60" t="n">
        <f aca="false">AS68*(($I$29*'Timeline and FX'!AS12)+$J$29*Payroll!$C$36*MIN(MAX(($I$29*'Timeline and FX'!AS12),'Timeline and FX'!AS14),'Timeline and FX'!AS13))/'Timeline and FX'!AS8</f>
        <v>2010.47028494149</v>
      </c>
      <c r="AT108" s="60" t="n">
        <f aca="false">AT68*(($I$29*'Timeline and FX'!AT12)+$J$29*Payroll!$C$36*MIN(MAX(($I$29*'Timeline and FX'!AT12),'Timeline and FX'!AT14),'Timeline and FX'!AT13))/'Timeline and FX'!AT8</f>
        <v>2000.7316226008</v>
      </c>
      <c r="AU108" s="60" t="n">
        <f aca="false">AU68*(($I$29*'Timeline and FX'!AU12)+$J$29*Payroll!$C$36*MIN(MAX(($I$29*'Timeline and FX'!AU12),'Timeline and FX'!AU14),'Timeline and FX'!AU13))/'Timeline and FX'!AU8</f>
        <v>1991.04013407058</v>
      </c>
      <c r="AV108" s="60" t="n">
        <f aca="false">AV68*(($I$29*'Timeline and FX'!AV12)+$J$29*Payroll!$C$36*MIN(MAX(($I$29*'Timeline and FX'!AV12),'Timeline and FX'!AV14),'Timeline and FX'!AV13))/'Timeline and FX'!AV8</f>
        <v>2377.67470901065</v>
      </c>
      <c r="AW108" s="60" t="n">
        <f aca="false">AW68*(($I$29*'Timeline and FX'!AW12)+$J$29*Payroll!$C$36*MIN(MAX(($I$29*'Timeline and FX'!AW12),'Timeline and FX'!AW14),'Timeline and FX'!AW13))/'Timeline and FX'!AW8</f>
        <v>2366.15731861673</v>
      </c>
      <c r="AX108" s="60" t="n">
        <f aca="false">AX68*(($I$29*'Timeline and FX'!AX12)+$J$29*Payroll!$C$36*MIN(MAX(($I$29*'Timeline and FX'!AX12),'Timeline and FX'!AX14),'Timeline and FX'!AX13))/'Timeline and FX'!AX8</f>
        <v>2354.69571814267</v>
      </c>
      <c r="AY108" s="60" t="n">
        <f aca="false">AY68*(($I$29*'Timeline and FX'!AY12)+$J$29*Payroll!$C$36*MIN(MAX(($I$29*'Timeline and FX'!AY12),'Timeline and FX'!AY14),'Timeline and FX'!AY13))/'Timeline and FX'!AY8</f>
        <v>2343.28963734366</v>
      </c>
      <c r="AZ108" s="60" t="n">
        <f aca="false">AZ68*(($I$29*'Timeline and FX'!AZ12)+$J$29*Payroll!$C$36*MIN(MAX(($I$29*'Timeline and FX'!AZ12),'Timeline and FX'!AZ14),'Timeline and FX'!AZ13))/'Timeline and FX'!AZ8</f>
        <v>2331.93880728392</v>
      </c>
      <c r="BA108" s="60" t="n">
        <f aca="false">BA68*(($I$29*'Timeline and FX'!BA12)+$J$29*Payroll!$C$36*MIN(MAX(($I$29*'Timeline and FX'!BA12),'Timeline and FX'!BA14),'Timeline and FX'!BA13))/'Timeline and FX'!BA8</f>
        <v>2320.6429603304</v>
      </c>
      <c r="BB108" s="59" t="n">
        <f aca="false">SUM(BC108:BN108)</f>
        <v>37744.122866564</v>
      </c>
      <c r="BC108" s="60" t="n">
        <f aca="false">BC68*(($I$29*'Timeline and FX'!BC12)+$J$29*Payroll!$C$36*MIN(MAX(($I$29*'Timeline and FX'!BC12),'Timeline and FX'!BC14),'Timeline and FX'!BC13))/'Timeline and FX'!BC8</f>
        <v>3017.61839139138</v>
      </c>
      <c r="BD108" s="60" t="n">
        <f aca="false">BD68*(($I$29*'Timeline and FX'!BD12)+$J$29*Payroll!$C$36*MIN(MAX(($I$29*'Timeline and FX'!BD12),'Timeline and FX'!BD14),'Timeline and FX'!BD13))/'Timeline and FX'!BD8</f>
        <v>3003.00113153585</v>
      </c>
      <c r="BE108" s="60" t="n">
        <f aca="false">BE68*(($I$29*'Timeline and FX'!BE12)+$J$29*Payroll!$C$36*MIN(MAX(($I$29*'Timeline and FX'!BE12),'Timeline and FX'!BE14),'Timeline and FX'!BE13))/'Timeline and FX'!BE8</f>
        <v>2988.45467728194</v>
      </c>
      <c r="BF108" s="60" t="n">
        <f aca="false">BF68*(($I$29*'Timeline and FX'!BF12)+$J$29*Payroll!$C$36*MIN(MAX(($I$29*'Timeline and FX'!BF12),'Timeline and FX'!BF14),'Timeline and FX'!BF13))/'Timeline and FX'!BF8</f>
        <v>2973.97868564929</v>
      </c>
      <c r="BG108" s="60" t="n">
        <f aca="false">BG68*(($I$29*'Timeline and FX'!BG12)+$J$29*Payroll!$C$36*MIN(MAX(($I$29*'Timeline and FX'!BG12),'Timeline and FX'!BG14),'Timeline and FX'!BG13))/'Timeline and FX'!BG8</f>
        <v>2959.57281531891</v>
      </c>
      <c r="BH108" s="60" t="n">
        <f aca="false">BH68*(($I$29*'Timeline and FX'!BH12)+$J$29*Payroll!$C$36*MIN(MAX(($I$29*'Timeline and FX'!BH12),'Timeline and FX'!BH14),'Timeline and FX'!BH13))/'Timeline and FX'!BH8</f>
        <v>2945.23672662516</v>
      </c>
      <c r="BI108" s="60" t="n">
        <f aca="false">BI68*(($I$29*'Timeline and FX'!BI12)+$J$29*Payroll!$C$36*MIN(MAX(($I$29*'Timeline and FX'!BI12),'Timeline and FX'!BI14),'Timeline and FX'!BI13))/'Timeline and FX'!BI8</f>
        <v>3349.68009319739</v>
      </c>
      <c r="BJ108" s="60" t="n">
        <f aca="false">BJ68*(($I$29*'Timeline and FX'!BJ12)+$J$29*Payroll!$C$36*MIN(MAX(($I$29*'Timeline and FX'!BJ12),'Timeline and FX'!BJ14),'Timeline and FX'!BJ13))/'Timeline and FX'!BJ8</f>
        <v>3333.4543356613</v>
      </c>
      <c r="BK108" s="60" t="n">
        <f aca="false">BK68*(($I$29*'Timeline and FX'!BK12)+$J$29*Payroll!$C$36*MIN(MAX(($I$29*'Timeline and FX'!BK12),'Timeline and FX'!BK14),'Timeline and FX'!BK13))/'Timeline and FX'!BK8</f>
        <v>3317.30717524502</v>
      </c>
      <c r="BL108" s="60" t="n">
        <f aca="false">BL68*(($I$29*'Timeline and FX'!BL12)+$J$29*Payroll!$C$36*MIN(MAX(($I$29*'Timeline and FX'!BL12),'Timeline and FX'!BL14),'Timeline and FX'!BL13))/'Timeline and FX'!BL8</f>
        <v>3301.23823122628</v>
      </c>
      <c r="BM108" s="60" t="n">
        <f aca="false">BM68*(($I$29*'Timeline and FX'!BM12)+$J$29*Payroll!$C$36*MIN(MAX(($I$29*'Timeline and FX'!BM12),'Timeline and FX'!BM14),'Timeline and FX'!BM13))/'Timeline and FX'!BM8</f>
        <v>3285.24712472703</v>
      </c>
      <c r="BN108" s="60" t="n">
        <f aca="false">BN68*(($I$29*'Timeline and FX'!BN12)+$J$29*Payroll!$C$36*MIN(MAX(($I$29*'Timeline and FX'!BN12),'Timeline and FX'!BN14),'Timeline and FX'!BN13))/'Timeline and FX'!BN8</f>
        <v>3269.33347870446</v>
      </c>
    </row>
    <row r="109" customFormat="false" ht="15" hidden="false" customHeight="false" outlineLevel="0" collapsed="false">
      <c r="A109" s="4" t="s">
        <v>866</v>
      </c>
      <c r="B109" s="59" t="n">
        <f aca="false">SUM(C109:N109)</f>
        <v>4041.67496047879</v>
      </c>
      <c r="C109" s="60" t="n">
        <f aca="false">C69*(($I$30*'Timeline and FX'!C12)+$J$30*Payroll!$C$36*MIN(MAX(($I$30*'Timeline and FX'!C12),'Timeline and FX'!C14),'Timeline and FX'!C13))/'Timeline and FX'!C8</f>
        <v>345.873786407767</v>
      </c>
      <c r="D109" s="60" t="n">
        <f aca="false">D69*(($I$30*'Timeline and FX'!D12)+$J$30*Payroll!$C$36*MIN(MAX(($I$30*'Timeline and FX'!D12),'Timeline and FX'!D14),'Timeline and FX'!D13))/'Timeline and FX'!D8</f>
        <v>344.198383372194</v>
      </c>
      <c r="E109" s="60" t="n">
        <f aca="false">E69*(($I$30*'Timeline and FX'!E12)+$J$30*Payroll!$C$36*MIN(MAX(($I$30*'Timeline and FX'!E12),'Timeline and FX'!E14),'Timeline and FX'!E13))/'Timeline and FX'!E8</f>
        <v>342.531095942491</v>
      </c>
      <c r="F109" s="60" t="n">
        <f aca="false">F69*(($I$30*'Timeline and FX'!F12)+$J$30*Payroll!$C$36*MIN(MAX(($I$30*'Timeline and FX'!F12),'Timeline and FX'!F14),'Timeline and FX'!F13))/'Timeline and FX'!F8</f>
        <v>340.87188480689</v>
      </c>
      <c r="G109" s="60" t="n">
        <f aca="false">G69*(($I$30*'Timeline and FX'!G12)+$J$30*Payroll!$C$36*MIN(MAX(($I$30*'Timeline and FX'!G12),'Timeline and FX'!G14),'Timeline and FX'!G13))/'Timeline and FX'!G8</f>
        <v>339.220710844045</v>
      </c>
      <c r="H109" s="60" t="n">
        <f aca="false">H69*(($I$30*'Timeline and FX'!H12)+$J$30*Payroll!$C$36*MIN(MAX(($I$30*'Timeline and FX'!H12),'Timeline and FX'!H14),'Timeline and FX'!H13))/'Timeline and FX'!H8</f>
        <v>337.577535122114</v>
      </c>
      <c r="I109" s="60" t="n">
        <f aca="false">I69*(($I$30*'Timeline and FX'!I12)+$J$30*Payroll!$C$36*MIN(MAX(($I$30*'Timeline and FX'!I12),'Timeline and FX'!I14),'Timeline and FX'!I13))/'Timeline and FX'!I8</f>
        <v>335.94231889784</v>
      </c>
      <c r="J109" s="60" t="n">
        <f aca="false">J69*(($I$30*'Timeline and FX'!J12)+$J$30*Payroll!$C$36*MIN(MAX(($I$30*'Timeline and FX'!J12),'Timeline and FX'!J14),'Timeline and FX'!J13))/'Timeline and FX'!J8</f>
        <v>334.315023615637</v>
      </c>
      <c r="K109" s="60" t="n">
        <f aca="false">K69*(($I$30*'Timeline and FX'!K12)+$J$30*Payroll!$C$36*MIN(MAX(($I$30*'Timeline and FX'!K12),'Timeline and FX'!K14),'Timeline and FX'!K13))/'Timeline and FX'!K8</f>
        <v>332.695610906681</v>
      </c>
      <c r="L109" s="60" t="n">
        <f aca="false">L69*(($I$30*'Timeline and FX'!L12)+$J$30*Payroll!$C$36*MIN(MAX(($I$30*'Timeline and FX'!L12),'Timeline and FX'!L14),'Timeline and FX'!L13))/'Timeline and FX'!L8</f>
        <v>331.084042588006</v>
      </c>
      <c r="M109" s="60" t="n">
        <f aca="false">M69*(($I$30*'Timeline and FX'!M12)+$J$30*Payroll!$C$36*MIN(MAX(($I$30*'Timeline and FX'!M12),'Timeline and FX'!M14),'Timeline and FX'!M13))/'Timeline and FX'!M8</f>
        <v>329.480280661602</v>
      </c>
      <c r="N109" s="60" t="n">
        <f aca="false">N69*(($I$30*'Timeline and FX'!N12)+$J$30*Payroll!$C$36*MIN(MAX(($I$30*'Timeline and FX'!N12),'Timeline and FX'!N14),'Timeline and FX'!N13))/'Timeline and FX'!N8</f>
        <v>327.884287313522</v>
      </c>
      <c r="O109" s="59" t="n">
        <f aca="false">SUM(P109:AA109)</f>
        <v>12756.053987417</v>
      </c>
      <c r="P109" s="60" t="n">
        <f aca="false">P69*(($I$30*'Timeline and FX'!P12)+$J$30*Payroll!$C$36*MIN(MAX(($I$30*'Timeline and FX'!P12),'Timeline and FX'!P14),'Timeline and FX'!P13))/'Timeline and FX'!P8</f>
        <v>730.903095805092</v>
      </c>
      <c r="Q109" s="60" t="n">
        <f aca="false">Q69*(($I$30*'Timeline and FX'!Q12)+$J$30*Payroll!$C$36*MIN(MAX(($I$30*'Timeline and FX'!Q12),'Timeline and FX'!Q14),'Timeline and FX'!Q13))/'Timeline and FX'!Q8</f>
        <v>727.362621465767</v>
      </c>
      <c r="R109" s="60" t="n">
        <f aca="false">R69*(($I$30*'Timeline and FX'!R12)+$J$30*Payroll!$C$36*MIN(MAX(($I$30*'Timeline and FX'!R12),'Timeline and FX'!R14),'Timeline and FX'!R13))/'Timeline and FX'!R8</f>
        <v>723.839297086019</v>
      </c>
      <c r="S109" s="60" t="n">
        <f aca="false">S69*(($I$30*'Timeline and FX'!S12)+$J$30*Payroll!$C$36*MIN(MAX(($I$30*'Timeline and FX'!S12),'Timeline and FX'!S14),'Timeline and FX'!S13))/'Timeline and FX'!S8</f>
        <v>720.333039591918</v>
      </c>
      <c r="T109" s="60" t="n">
        <f aca="false">T69*(($I$30*'Timeline and FX'!T12)+$J$30*Payroll!$C$36*MIN(MAX(($I$30*'Timeline and FX'!T12),'Timeline and FX'!T14),'Timeline and FX'!T13))/'Timeline and FX'!T8</f>
        <v>1075.26564946792</v>
      </c>
      <c r="U109" s="60" t="n">
        <f aca="false">U69*(($I$30*'Timeline and FX'!U12)+$J$30*Payroll!$C$36*MIN(MAX(($I$30*'Timeline and FX'!U12),'Timeline and FX'!U14),'Timeline and FX'!U13))/'Timeline and FX'!U8</f>
        <v>1070.05709246255</v>
      </c>
      <c r="V109" s="60" t="n">
        <f aca="false">V69*(($I$30*'Timeline and FX'!V12)+$J$30*Payroll!$C$36*MIN(MAX(($I$30*'Timeline and FX'!V12),'Timeline and FX'!V14),'Timeline and FX'!V13))/'Timeline and FX'!V8</f>
        <v>1064.87376556296</v>
      </c>
      <c r="W109" s="60" t="n">
        <f aca="false">W69*(($I$30*'Timeline and FX'!W12)+$J$30*Payroll!$C$36*MIN(MAX(($I$30*'Timeline and FX'!W12),'Timeline and FX'!W14),'Timeline and FX'!W13))/'Timeline and FX'!W8</f>
        <v>1059.71554655523</v>
      </c>
      <c r="X109" s="60" t="n">
        <f aca="false">X69*(($I$30*'Timeline and FX'!X12)+$J$30*Payroll!$C$36*MIN(MAX(($I$30*'Timeline and FX'!X12),'Timeline and FX'!X14),'Timeline and FX'!X13))/'Timeline and FX'!X8</f>
        <v>1406.10975175654</v>
      </c>
      <c r="Y109" s="60" t="n">
        <f aca="false">Y69*(($I$30*'Timeline and FX'!Y12)+$J$30*Payroll!$C$36*MIN(MAX(($I$30*'Timeline and FX'!Y12),'Timeline and FX'!Y14),'Timeline and FX'!Y13))/'Timeline and FX'!Y8</f>
        <v>1399.29859508893</v>
      </c>
      <c r="Z109" s="60" t="n">
        <f aca="false">Z69*(($I$30*'Timeline and FX'!Z12)+$J$30*Payroll!$C$36*MIN(MAX(($I$30*'Timeline and FX'!Z12),'Timeline and FX'!Z14),'Timeline and FX'!Z13))/'Timeline and FX'!Z8</f>
        <v>1392.52043147545</v>
      </c>
      <c r="AA109" s="60" t="n">
        <f aca="false">AA69*(($I$30*'Timeline and FX'!AA12)+$J$30*Payroll!$C$36*MIN(MAX(($I$30*'Timeline and FX'!AA12),'Timeline and FX'!AA14),'Timeline and FX'!AA13))/'Timeline and FX'!AA8</f>
        <v>1385.77510109866</v>
      </c>
      <c r="AB109" s="59" t="n">
        <f aca="false">SUM(AC109:AN109)</f>
        <v>29246.9641731723</v>
      </c>
      <c r="AC109" s="60" t="n">
        <f aca="false">AC69*(($I$30*'Timeline and FX'!AC12)+$J$30*Payroll!$C$36*MIN(MAX(($I$30*'Timeline and FX'!AC12),'Timeline and FX'!AC14),'Timeline and FX'!AC13))/'Timeline and FX'!AC8</f>
        <v>1930.68742288138</v>
      </c>
      <c r="AD109" s="60" t="n">
        <f aca="false">AD69*(($I$30*'Timeline and FX'!AD12)+$J$30*Payroll!$C$36*MIN(MAX(($I$30*'Timeline and FX'!AD12),'Timeline and FX'!AD14),'Timeline and FX'!AD13))/'Timeline and FX'!AD8</f>
        <v>1921.33522651335</v>
      </c>
      <c r="AE109" s="60" t="n">
        <f aca="false">AE69*(($I$30*'Timeline and FX'!AE12)+$J$30*Payroll!$C$36*MIN(MAX(($I$30*'Timeline and FX'!AE12),'Timeline and FX'!AE14),'Timeline and FX'!AE13))/'Timeline and FX'!AE8</f>
        <v>1912.02833192533</v>
      </c>
      <c r="AF109" s="60" t="n">
        <f aca="false">AF69*(($I$30*'Timeline and FX'!AF12)+$J$30*Payroll!$C$36*MIN(MAX(($I$30*'Timeline and FX'!AF12),'Timeline and FX'!AF14),'Timeline and FX'!AF13))/'Timeline and FX'!AF8</f>
        <v>2283.31982361212</v>
      </c>
      <c r="AG109" s="60" t="n">
        <f aca="false">AG69*(($I$30*'Timeline and FX'!AG12)+$J$30*Payroll!$C$36*MIN(MAX(($I$30*'Timeline and FX'!AG12),'Timeline and FX'!AG14),'Timeline and FX'!AG13))/'Timeline and FX'!AG8</f>
        <v>2272.25948566805</v>
      </c>
      <c r="AH109" s="60" t="n">
        <f aca="false">AH69*(($I$30*'Timeline and FX'!AH12)+$J$30*Payroll!$C$36*MIN(MAX(($I$30*'Timeline and FX'!AH12),'Timeline and FX'!AH14),'Timeline and FX'!AH13))/'Timeline and FX'!AH8</f>
        <v>2261.25272369445</v>
      </c>
      <c r="AI109" s="60" t="n">
        <f aca="false">AI69*(($I$30*'Timeline and FX'!AI12)+$J$30*Payroll!$C$36*MIN(MAX(($I$30*'Timeline and FX'!AI12),'Timeline and FX'!AI14),'Timeline and FX'!AI13))/'Timeline and FX'!AI8</f>
        <v>2625.34915786593</v>
      </c>
      <c r="AJ109" s="60" t="n">
        <f aca="false">AJ69*(($I$30*'Timeline and FX'!AJ12)+$J$30*Payroll!$C$36*MIN(MAX(($I$30*'Timeline and FX'!AJ12),'Timeline and FX'!AJ14),'Timeline and FX'!AJ13))/'Timeline and FX'!AJ8</f>
        <v>2612.63203930597</v>
      </c>
      <c r="AK109" s="60" t="n">
        <f aca="false">AK69*(($I$30*'Timeline and FX'!AK12)+$J$30*Payroll!$C$36*MIN(MAX(($I$30*'Timeline and FX'!AK12),'Timeline and FX'!AK14),'Timeline and FX'!AK13))/'Timeline and FX'!AK8</f>
        <v>2599.97652211587</v>
      </c>
      <c r="AL109" s="60" t="n">
        <f aca="false">AL69*(($I$30*'Timeline and FX'!AL12)+$J$30*Payroll!$C$36*MIN(MAX(($I$30*'Timeline and FX'!AL12),'Timeline and FX'!AL14),'Timeline and FX'!AL13))/'Timeline and FX'!AL8</f>
        <v>2957.00835188604</v>
      </c>
      <c r="AM109" s="60" t="n">
        <f aca="false">AM69*(($I$30*'Timeline and FX'!AM12)+$J$30*Payroll!$C$36*MIN(MAX(($I$30*'Timeline and FX'!AM12),'Timeline and FX'!AM14),'Timeline and FX'!AM13))/'Timeline and FX'!AM8</f>
        <v>2942.68468538208</v>
      </c>
      <c r="AN109" s="60" t="n">
        <f aca="false">AN69*(($I$30*'Timeline and FX'!AN12)+$J$30*Payroll!$C$36*MIN(MAX(($I$30*'Timeline and FX'!AN12),'Timeline and FX'!AN14),'Timeline and FX'!AN13))/'Timeline and FX'!AN8</f>
        <v>2928.4304023217</v>
      </c>
      <c r="AO109" s="59" t="n">
        <f aca="false">SUM(AP109:BA109)</f>
        <v>58247.5052060635</v>
      </c>
      <c r="AP109" s="60" t="n">
        <f aca="false">AP69*(($I$30*'Timeline and FX'!AP12)+$J$30*Payroll!$C$36*MIN(MAX(($I$30*'Timeline and FX'!AP12),'Timeline and FX'!AP14),'Timeline and FX'!AP13))/'Timeline and FX'!AP8</f>
        <v>3671.94890993288</v>
      </c>
      <c r="AQ109" s="60" t="n">
        <f aca="false">AQ69*(($I$30*'Timeline and FX'!AQ12)+$J$30*Payroll!$C$36*MIN(MAX(($I$30*'Timeline and FX'!AQ12),'Timeline and FX'!AQ14),'Timeline and FX'!AQ13))/'Timeline and FX'!AQ8</f>
        <v>4060.18010131123</v>
      </c>
      <c r="AR109" s="60" t="n">
        <f aca="false">AR69*(($I$30*'Timeline and FX'!AR12)+$J$30*Payroll!$C$36*MIN(MAX(($I$30*'Timeline and FX'!AR12),'Timeline and FX'!AR14),'Timeline and FX'!AR13))/'Timeline and FX'!AR8</f>
        <v>4040.51270142712</v>
      </c>
      <c r="AS109" s="60" t="n">
        <f aca="false">AS69*(($I$30*'Timeline and FX'!AS12)+$J$30*Payroll!$C$36*MIN(MAX(($I$30*'Timeline and FX'!AS12),'Timeline and FX'!AS14),'Timeline and FX'!AS13))/'Timeline and FX'!AS8</f>
        <v>4423.03462687127</v>
      </c>
      <c r="AT109" s="60" t="n">
        <f aca="false">AT69*(($I$30*'Timeline and FX'!AT12)+$J$30*Payroll!$C$36*MIN(MAX(($I$30*'Timeline and FX'!AT12),'Timeline and FX'!AT14),'Timeline and FX'!AT13))/'Timeline and FX'!AT8</f>
        <v>4401.60956972175</v>
      </c>
      <c r="AU109" s="60" t="n">
        <f aca="false">AU69*(($I$30*'Timeline and FX'!AU12)+$J$30*Payroll!$C$36*MIN(MAX(($I$30*'Timeline and FX'!AU12),'Timeline and FX'!AU14),'Timeline and FX'!AU13))/'Timeline and FX'!AU8</f>
        <v>4778.4963217694</v>
      </c>
      <c r="AV109" s="60" t="n">
        <f aca="false">AV69*(($I$30*'Timeline and FX'!AV12)+$J$30*Payroll!$C$36*MIN(MAX(($I$30*'Timeline and FX'!AV12),'Timeline and FX'!AV14),'Timeline and FX'!AV13))/'Timeline and FX'!AV8</f>
        <v>5151.62853618974</v>
      </c>
      <c r="AW109" s="60" t="n">
        <f aca="false">AW69*(($I$30*'Timeline and FX'!AW12)+$J$30*Payroll!$C$36*MIN(MAX(($I$30*'Timeline and FX'!AW12),'Timeline and FX'!AW14),'Timeline and FX'!AW13))/'Timeline and FX'!AW8</f>
        <v>5126.67419033624</v>
      </c>
      <c r="AX109" s="60" t="n">
        <f aca="false">AX69*(($I$30*'Timeline and FX'!AX12)+$J$30*Payroll!$C$36*MIN(MAX(($I$30*'Timeline and FX'!AX12),'Timeline and FX'!AX14),'Timeline and FX'!AX13))/'Timeline and FX'!AX8</f>
        <v>5494.29000899957</v>
      </c>
      <c r="AY109" s="60" t="n">
        <f aca="false">AY69*(($I$30*'Timeline and FX'!AY12)+$J$30*Payroll!$C$36*MIN(MAX(($I$30*'Timeline and FX'!AY12),'Timeline and FX'!AY14),'Timeline and FX'!AY13))/'Timeline and FX'!AY8</f>
        <v>5467.67582046853</v>
      </c>
      <c r="AZ109" s="60" t="n">
        <f aca="false">AZ69*(($I$30*'Timeline and FX'!AZ12)+$J$30*Payroll!$C$36*MIN(MAX(($I$30*'Timeline and FX'!AZ12),'Timeline and FX'!AZ14),'Timeline and FX'!AZ13))/'Timeline and FX'!AZ8</f>
        <v>5829.84701820979</v>
      </c>
      <c r="BA109" s="60" t="n">
        <f aca="false">BA69*(($I$30*'Timeline and FX'!BA12)+$J$30*Payroll!$C$36*MIN(MAX(($I$30*'Timeline and FX'!BA12),'Timeline and FX'!BA14),'Timeline and FX'!BA13))/'Timeline and FX'!BA8</f>
        <v>5801.607400826</v>
      </c>
      <c r="BB109" s="59" t="n">
        <f aca="false">SUM(BC109:BN109)</f>
        <v>101791.100340562</v>
      </c>
      <c r="BC109" s="60" t="n">
        <f aca="false">BC69*(($I$30*'Timeline and FX'!BC12)+$J$30*Payroll!$C$36*MIN(MAX(($I$30*'Timeline and FX'!BC12),'Timeline and FX'!BC14),'Timeline and FX'!BC13))/'Timeline and FX'!BC8</f>
        <v>6897.41346603745</v>
      </c>
      <c r="BD109" s="60" t="n">
        <f aca="false">BD69*(($I$30*'Timeline and FX'!BD12)+$J$30*Payroll!$C$36*MIN(MAX(($I$30*'Timeline and FX'!BD12),'Timeline and FX'!BD14),'Timeline and FX'!BD13))/'Timeline and FX'!BD8</f>
        <v>7293.00274801564</v>
      </c>
      <c r="BE109" s="60" t="n">
        <f aca="false">BE69*(($I$30*'Timeline and FX'!BE12)+$J$30*Payroll!$C$36*MIN(MAX(($I$30*'Timeline and FX'!BE12),'Timeline and FX'!BE14),'Timeline and FX'!BE13))/'Timeline and FX'!BE8</f>
        <v>7684.59774158214</v>
      </c>
      <c r="BF109" s="60" t="n">
        <f aca="false">BF69*(($I$30*'Timeline and FX'!BF12)+$J$30*Payroll!$C$36*MIN(MAX(($I$30*'Timeline and FX'!BF12),'Timeline and FX'!BF14),'Timeline and FX'!BF13))/'Timeline and FX'!BF8</f>
        <v>7647.37376309818</v>
      </c>
      <c r="BG109" s="60" t="n">
        <f aca="false">BG69*(($I$30*'Timeline and FX'!BG12)+$J$30*Payroll!$C$36*MIN(MAX(($I$30*'Timeline and FX'!BG12),'Timeline and FX'!BG14),'Timeline and FX'!BG13))/'Timeline and FX'!BG8</f>
        <v>8033.12621300848</v>
      </c>
      <c r="BH109" s="60" t="n">
        <f aca="false">BH69*(($I$30*'Timeline and FX'!BH12)+$J$30*Payroll!$C$36*MIN(MAX(($I$30*'Timeline and FX'!BH12),'Timeline and FX'!BH14),'Timeline and FX'!BH13))/'Timeline and FX'!BH8</f>
        <v>8414.96207607189</v>
      </c>
      <c r="BI109" s="60" t="n">
        <f aca="false">BI69*(($I$30*'Timeline and FX'!BI12)+$J$30*Payroll!$C$36*MIN(MAX(($I$30*'Timeline and FX'!BI12),'Timeline and FX'!BI14),'Timeline and FX'!BI13))/'Timeline and FX'!BI8</f>
        <v>8792.91024464316</v>
      </c>
      <c r="BJ109" s="60" t="n">
        <f aca="false">BJ69*(($I$30*'Timeline and FX'!BJ12)+$J$30*Payroll!$C$36*MIN(MAX(($I$30*'Timeline and FX'!BJ12),'Timeline and FX'!BJ14),'Timeline and FX'!BJ13))/'Timeline and FX'!BJ8</f>
        <v>8750.31763111092</v>
      </c>
      <c r="BK109" s="60" t="n">
        <f aca="false">BK69*(($I$30*'Timeline and FX'!BK12)+$J$30*Payroll!$C$36*MIN(MAX(($I$30*'Timeline and FX'!BK12),'Timeline and FX'!BK14),'Timeline and FX'!BK13))/'Timeline and FX'!BK8</f>
        <v>9122.59473192381</v>
      </c>
      <c r="BL109" s="60" t="n">
        <f aca="false">BL69*(($I$30*'Timeline and FX'!BL12)+$J$30*Payroll!$C$36*MIN(MAX(($I$30*'Timeline and FX'!BL12),'Timeline and FX'!BL14),'Timeline and FX'!BL13))/'Timeline and FX'!BL8</f>
        <v>9491.05991477557</v>
      </c>
      <c r="BM109" s="60" t="n">
        <f aca="false">BM69*(($I$30*'Timeline and FX'!BM12)+$J$30*Payroll!$C$36*MIN(MAX(($I$30*'Timeline and FX'!BM12),'Timeline and FX'!BM14),'Timeline and FX'!BM13))/'Timeline and FX'!BM8</f>
        <v>9855.74137418108</v>
      </c>
      <c r="BN109" s="60" t="n">
        <f aca="false">BN69*(($I$30*'Timeline and FX'!BN12)+$J$30*Payroll!$C$36*MIN(MAX(($I$30*'Timeline and FX'!BN12),'Timeline and FX'!BN14),'Timeline and FX'!BN13))/'Timeline and FX'!BN8</f>
        <v>9808.00043611339</v>
      </c>
    </row>
    <row r="110" customFormat="false" ht="15" hidden="false" customHeight="false" outlineLevel="0" collapsed="false">
      <c r="A110" s="4" t="s">
        <v>868</v>
      </c>
      <c r="B110" s="59" t="n">
        <f aca="false">SUM(C110:N110)</f>
        <v>19480.8733095078</v>
      </c>
      <c r="C110" s="60" t="n">
        <f aca="false">C70*(($I$31*'Timeline and FX'!C12)+$J$31*Payroll!$C$36*MIN(MAX(($I$31*'Timeline and FX'!C12),'Timeline and FX'!C14),'Timeline and FX'!C13))/'Timeline and FX'!C8</f>
        <v>1667.11165048544</v>
      </c>
      <c r="D110" s="60" t="n">
        <f aca="false">D70*(($I$31*'Timeline and FX'!D12)+$J$31*Payroll!$C$36*MIN(MAX(($I$31*'Timeline and FX'!D12),'Timeline and FX'!D14),'Timeline and FX'!D13))/'Timeline and FX'!D8</f>
        <v>1659.03620785397</v>
      </c>
      <c r="E110" s="60" t="n">
        <f aca="false">E70*(($I$31*'Timeline and FX'!E12)+$J$31*Payroll!$C$36*MIN(MAX(($I$31*'Timeline and FX'!E12),'Timeline and FX'!E14),'Timeline and FX'!E13))/'Timeline and FX'!E8</f>
        <v>1650.99988244281</v>
      </c>
      <c r="F110" s="60" t="n">
        <f aca="false">F70*(($I$31*'Timeline and FX'!F12)+$J$31*Payroll!$C$36*MIN(MAX(($I$31*'Timeline and FX'!F12),'Timeline and FX'!F14),'Timeline and FX'!F13))/'Timeline and FX'!F8</f>
        <v>1643.00248476921</v>
      </c>
      <c r="G110" s="60" t="n">
        <f aca="false">G70*(($I$31*'Timeline and FX'!G12)+$J$31*Payroll!$C$36*MIN(MAX(($I$31*'Timeline and FX'!G12),'Timeline and FX'!G14),'Timeline and FX'!G13))/'Timeline and FX'!G8</f>
        <v>1635.0438262683</v>
      </c>
      <c r="H110" s="60" t="n">
        <f aca="false">H70*(($I$31*'Timeline and FX'!H12)+$J$31*Payroll!$C$36*MIN(MAX(($I$31*'Timeline and FX'!H12),'Timeline and FX'!H14),'Timeline and FX'!H13))/'Timeline and FX'!H8</f>
        <v>1627.12371928859</v>
      </c>
      <c r="I110" s="60" t="n">
        <f aca="false">I70*(($I$31*'Timeline and FX'!I12)+$J$31*Payroll!$C$36*MIN(MAX(($I$31*'Timeline and FX'!I12),'Timeline and FX'!I14),'Timeline and FX'!I13))/'Timeline and FX'!I8</f>
        <v>1619.24197708759</v>
      </c>
      <c r="J110" s="60" t="n">
        <f aca="false">J70*(($I$31*'Timeline and FX'!J12)+$J$31*Payroll!$C$36*MIN(MAX(($I$31*'Timeline and FX'!J12),'Timeline and FX'!J14),'Timeline and FX'!J13))/'Timeline and FX'!J8</f>
        <v>1611.39841382737</v>
      </c>
      <c r="K110" s="60" t="n">
        <f aca="false">K70*(($I$31*'Timeline and FX'!K12)+$J$31*Payroll!$C$36*MIN(MAX(($I$31*'Timeline and FX'!K12),'Timeline and FX'!K14),'Timeline and FX'!K13))/'Timeline and FX'!K8</f>
        <v>1603.5928445702</v>
      </c>
      <c r="L110" s="60" t="n">
        <f aca="false">L70*(($I$31*'Timeline and FX'!L12)+$J$31*Payroll!$C$36*MIN(MAX(($I$31*'Timeline and FX'!L12),'Timeline and FX'!L14),'Timeline and FX'!L13))/'Timeline and FX'!L8</f>
        <v>1595.82508527419</v>
      </c>
      <c r="M110" s="60" t="n">
        <f aca="false">M70*(($I$31*'Timeline and FX'!M12)+$J$31*Payroll!$C$36*MIN(MAX(($I$31*'Timeline and FX'!M12),'Timeline and FX'!M14),'Timeline and FX'!M13))/'Timeline and FX'!M8</f>
        <v>1588.09495278892</v>
      </c>
      <c r="N110" s="60" t="n">
        <f aca="false">N70*(($I$31*'Timeline and FX'!N12)+$J$31*Payroll!$C$36*MIN(MAX(($I$31*'Timeline and FX'!N12),'Timeline and FX'!N14),'Timeline and FX'!N13))/'Timeline and FX'!N8</f>
        <v>1580.40226485118</v>
      </c>
      <c r="O110" s="59" t="n">
        <f aca="false">SUM(P110:AA110)</f>
        <v>20653.2801344387</v>
      </c>
      <c r="P110" s="60" t="n">
        <f aca="false">P70*(($I$31*'Timeline and FX'!P12)+$J$31*Payroll!$C$36*MIN(MAX(($I$31*'Timeline and FX'!P12),'Timeline and FX'!P14),'Timeline and FX'!P13))/'Timeline and FX'!P8</f>
        <v>1767.44252610368</v>
      </c>
      <c r="Q110" s="60" t="n">
        <f aca="false">Q70*(($I$31*'Timeline and FX'!Q12)+$J$31*Payroll!$C$36*MIN(MAX(($I$31*'Timeline and FX'!Q12),'Timeline and FX'!Q14),'Timeline and FX'!Q13))/'Timeline and FX'!Q8</f>
        <v>1758.88108349136</v>
      </c>
      <c r="R110" s="60" t="n">
        <f aca="false">R70*(($I$31*'Timeline and FX'!R12)+$J$31*Payroll!$C$36*MIN(MAX(($I$31*'Timeline and FX'!R12),'Timeline and FX'!R14),'Timeline and FX'!R13))/'Timeline and FX'!R8</f>
        <v>1750.36111226978</v>
      </c>
      <c r="S110" s="60" t="n">
        <f aca="false">S70*(($I$31*'Timeline and FX'!S12)+$J$31*Payroll!$C$36*MIN(MAX(($I$31*'Timeline and FX'!S12),'Timeline and FX'!S14),'Timeline and FX'!S13))/'Timeline and FX'!S8</f>
        <v>1741.88241155267</v>
      </c>
      <c r="T110" s="60" t="n">
        <f aca="false">T70*(($I$31*'Timeline and FX'!T12)+$J$31*Payroll!$C$36*MIN(MAX(($I$31*'Timeline and FX'!T12),'Timeline and FX'!T14),'Timeline and FX'!T13))/'Timeline and FX'!T8</f>
        <v>1733.44478142684</v>
      </c>
      <c r="U110" s="60" t="n">
        <f aca="false">U70*(($I$31*'Timeline and FX'!U12)+$J$31*Payroll!$C$36*MIN(MAX(($I$31*'Timeline and FX'!U12),'Timeline and FX'!U14),'Timeline and FX'!U13))/'Timeline and FX'!U8</f>
        <v>1725.0480229475</v>
      </c>
      <c r="V110" s="60" t="n">
        <f aca="false">V70*(($I$31*'Timeline and FX'!V12)+$J$31*Payroll!$C$36*MIN(MAX(($I$31*'Timeline and FX'!V12),'Timeline and FX'!V14),'Timeline and FX'!V13))/'Timeline and FX'!V8</f>
        <v>1716.69193813352</v>
      </c>
      <c r="W110" s="60" t="n">
        <f aca="false">W70*(($I$31*'Timeline and FX'!W12)+$J$31*Payroll!$C$36*MIN(MAX(($I$31*'Timeline and FX'!W12),'Timeline and FX'!W14),'Timeline and FX'!W13))/'Timeline and FX'!W8</f>
        <v>1708.37632996279</v>
      </c>
      <c r="X110" s="60" t="n">
        <f aca="false">X70*(($I$31*'Timeline and FX'!X12)+$J$31*Payroll!$C$36*MIN(MAX(($I$31*'Timeline and FX'!X12),'Timeline and FX'!X14),'Timeline and FX'!X13))/'Timeline and FX'!X8</f>
        <v>1700.10100236757</v>
      </c>
      <c r="Y110" s="60" t="n">
        <f aca="false">Y70*(($I$31*'Timeline and FX'!Y12)+$J$31*Payroll!$C$36*MIN(MAX(($I$31*'Timeline and FX'!Y12),'Timeline and FX'!Y14),'Timeline and FX'!Y13))/'Timeline and FX'!Y8</f>
        <v>1691.86576022988</v>
      </c>
      <c r="Z110" s="60" t="n">
        <f aca="false">Z70*(($I$31*'Timeline and FX'!Z12)+$J$31*Payroll!$C$36*MIN(MAX(($I$31*'Timeline and FX'!Z12),'Timeline and FX'!Z14),'Timeline and FX'!Z13))/'Timeline and FX'!Z8</f>
        <v>1683.67040937687</v>
      </c>
      <c r="AA110" s="60" t="n">
        <f aca="false">AA70*(($I$31*'Timeline and FX'!AA12)+$J$31*Payroll!$C$36*MIN(MAX(($I$31*'Timeline and FX'!AA12),'Timeline and FX'!AA14),'Timeline and FX'!AA13))/'Timeline and FX'!AA8</f>
        <v>1675.51475657625</v>
      </c>
      <c r="AB110" s="59" t="n">
        <f aca="false">SUM(AC110:AN110)</f>
        <v>21897.9688829124</v>
      </c>
      <c r="AC110" s="60" t="n">
        <f aca="false">AC70*(($I$31*'Timeline and FX'!AC12)+$J$31*Payroll!$C$36*MIN(MAX(($I$31*'Timeline and FX'!AC12),'Timeline and FX'!AC14),'Timeline and FX'!AC13))/'Timeline and FX'!AC8</f>
        <v>1873.9590605958</v>
      </c>
      <c r="AD110" s="60" t="n">
        <f aca="false">AD70*(($I$31*'Timeline and FX'!AD12)+$J$31*Payroll!$C$36*MIN(MAX(($I$31*'Timeline and FX'!AD12),'Timeline and FX'!AD14),'Timeline and FX'!AD13))/'Timeline and FX'!AD8</f>
        <v>1864.88165484247</v>
      </c>
      <c r="AE110" s="60" t="n">
        <f aca="false">AE70*(($I$31*'Timeline and FX'!AE12)+$J$31*Payroll!$C$36*MIN(MAX(($I$31*'Timeline and FX'!AE12),'Timeline and FX'!AE14),'Timeline and FX'!AE13))/'Timeline and FX'!AE8</f>
        <v>1855.84821979104</v>
      </c>
      <c r="AF110" s="60" t="n">
        <f aca="false">AF70*(($I$31*'Timeline and FX'!AF12)+$J$31*Payroll!$C$36*MIN(MAX(($I$31*'Timeline and FX'!AF12),'Timeline and FX'!AF14),'Timeline and FX'!AF13))/'Timeline and FX'!AF8</f>
        <v>1846.85854244863</v>
      </c>
      <c r="AG110" s="60" t="n">
        <f aca="false">AG70*(($I$31*'Timeline and FX'!AG12)+$J$31*Payroll!$C$36*MIN(MAX(($I$31*'Timeline and FX'!AG12),'Timeline and FX'!AG14),'Timeline and FX'!AG13))/'Timeline and FX'!AG8</f>
        <v>1837.91241085413</v>
      </c>
      <c r="AH110" s="60" t="n">
        <f aca="false">AH70*(($I$31*'Timeline and FX'!AH12)+$J$31*Payroll!$C$36*MIN(MAX(($I$31*'Timeline and FX'!AH12),'Timeline and FX'!AH14),'Timeline and FX'!AH13))/'Timeline and FX'!AH8</f>
        <v>1829.00961407313</v>
      </c>
      <c r="AI110" s="60" t="n">
        <f aca="false">AI70*(($I$31*'Timeline and FX'!AI12)+$J$31*Payroll!$C$36*MIN(MAX(($I$31*'Timeline and FX'!AI12),'Timeline and FX'!AI14),'Timeline and FX'!AI13))/'Timeline and FX'!AI8</f>
        <v>1820.149942193</v>
      </c>
      <c r="AJ110" s="60" t="n">
        <f aca="false">AJ70*(($I$31*'Timeline and FX'!AJ12)+$J$31*Payroll!$C$36*MIN(MAX(($I$31*'Timeline and FX'!AJ12),'Timeline and FX'!AJ14),'Timeline and FX'!AJ13))/'Timeline and FX'!AJ8</f>
        <v>1811.33318631791</v>
      </c>
      <c r="AK110" s="60" t="n">
        <f aca="false">AK70*(($I$31*'Timeline and FX'!AK12)+$J$31*Payroll!$C$36*MIN(MAX(($I$31*'Timeline and FX'!AK12),'Timeline and FX'!AK14),'Timeline and FX'!AK13))/'Timeline and FX'!AK8</f>
        <v>1802.55913856393</v>
      </c>
      <c r="AL110" s="60" t="n">
        <f aca="false">AL70*(($I$31*'Timeline and FX'!AL12)+$J$31*Payroll!$C$36*MIN(MAX(($I$31*'Timeline and FX'!AL12),'Timeline and FX'!AL14),'Timeline and FX'!AL13))/'Timeline and FX'!AL8</f>
        <v>1793.8275920541</v>
      </c>
      <c r="AM110" s="60" t="n">
        <f aca="false">AM70*(($I$31*'Timeline and FX'!AM12)+$J$31*Payroll!$C$36*MIN(MAX(($I$31*'Timeline and FX'!AM12),'Timeline and FX'!AM14),'Timeline and FX'!AM13))/'Timeline and FX'!AM8</f>
        <v>1785.13834091357</v>
      </c>
      <c r="AN110" s="60" t="n">
        <f aca="false">AN70*(($I$31*'Timeline and FX'!AN12)+$J$31*Payroll!$C$36*MIN(MAX(($I$31*'Timeline and FX'!AN12),'Timeline and FX'!AN14),'Timeline and FX'!AN13))/'Timeline and FX'!AN8</f>
        <v>1776.49118026474</v>
      </c>
      <c r="AO110" s="59" t="n">
        <f aca="false">SUM(AP110:BA110)</f>
        <v>30959.3780858038</v>
      </c>
      <c r="AP110" s="60" t="n">
        <f aca="false">AP70*(($I$31*'Timeline and FX'!AP12)+$J$31*Payroll!$C$36*MIN(MAX(($I$31*'Timeline and FX'!AP12),'Timeline and FX'!AP14),'Timeline and FX'!AP13))/'Timeline and FX'!AP8</f>
        <v>2649.40585971765</v>
      </c>
      <c r="AQ110" s="60" t="n">
        <f aca="false">AQ70*(($I$31*'Timeline and FX'!AQ12)+$J$31*Payroll!$C$36*MIN(MAX(($I$31*'Timeline and FX'!AQ12),'Timeline and FX'!AQ14),'Timeline and FX'!AQ13))/'Timeline and FX'!AQ8</f>
        <v>2636.57221116065</v>
      </c>
      <c r="AR110" s="60" t="n">
        <f aca="false">AR70*(($I$31*'Timeline and FX'!AR12)+$J$31*Payroll!$C$36*MIN(MAX(($I$31*'Timeline and FX'!AR12),'Timeline and FX'!AR14),'Timeline and FX'!AR13))/'Timeline and FX'!AR8</f>
        <v>2623.80072844157</v>
      </c>
      <c r="AS110" s="60" t="n">
        <f aca="false">AS70*(($I$31*'Timeline and FX'!AS12)+$J$31*Payroll!$C$36*MIN(MAX(($I$31*'Timeline and FX'!AS12),'Timeline and FX'!AS14),'Timeline and FX'!AS13))/'Timeline and FX'!AS8</f>
        <v>2611.09111043083</v>
      </c>
      <c r="AT110" s="60" t="n">
        <f aca="false">AT70*(($I$31*'Timeline and FX'!AT12)+$J$31*Payroll!$C$36*MIN(MAX(($I$31*'Timeline and FX'!AT12),'Timeline and FX'!AT14),'Timeline and FX'!AT13))/'Timeline and FX'!AT8</f>
        <v>2598.44305745749</v>
      </c>
      <c r="AU110" s="60" t="n">
        <f aca="false">AU70*(($I$31*'Timeline and FX'!AU12)+$J$31*Payroll!$C$36*MIN(MAX(($I$31*'Timeline and FX'!AU12),'Timeline and FX'!AU14),'Timeline and FX'!AU13))/'Timeline and FX'!AU8</f>
        <v>2585.85627130222</v>
      </c>
      <c r="AV110" s="60" t="n">
        <f aca="false">AV70*(($I$31*'Timeline and FX'!AV12)+$J$31*Payroll!$C$36*MIN(MAX(($I$31*'Timeline and FX'!AV12),'Timeline and FX'!AV14),'Timeline and FX'!AV13))/'Timeline and FX'!AV8</f>
        <v>2573.33045519025</v>
      </c>
      <c r="AW110" s="60" t="n">
        <f aca="false">AW70*(($I$31*'Timeline and FX'!AW12)+$J$31*Payroll!$C$36*MIN(MAX(($I$31*'Timeline and FX'!AW12),'Timeline and FX'!AW14),'Timeline and FX'!AW13))/'Timeline and FX'!AW8</f>
        <v>2560.86531378437</v>
      </c>
      <c r="AX110" s="60" t="n">
        <f aca="false">AX70*(($I$31*'Timeline and FX'!AX12)+$J$31*Payroll!$C$36*MIN(MAX(($I$31*'Timeline and FX'!AX12),'Timeline and FX'!AX14),'Timeline and FX'!AX13))/'Timeline and FX'!AX8</f>
        <v>2548.46055317799</v>
      </c>
      <c r="AY110" s="60" t="n">
        <f aca="false">AY70*(($I$31*'Timeline and FX'!AY12)+$J$31*Payroll!$C$36*MIN(MAX(($I$31*'Timeline and FX'!AY12),'Timeline and FX'!AY14),'Timeline and FX'!AY13))/'Timeline and FX'!AY8</f>
        <v>2536.1158808882</v>
      </c>
      <c r="AZ110" s="60" t="n">
        <f aca="false">AZ70*(($I$31*'Timeline and FX'!AZ12)+$J$31*Payroll!$C$36*MIN(MAX(($I$31*'Timeline and FX'!AZ12),'Timeline and FX'!AZ14),'Timeline and FX'!AZ13))/'Timeline and FX'!AZ8</f>
        <v>2523.83100584885</v>
      </c>
      <c r="BA110" s="60" t="n">
        <f aca="false">BA70*(($I$31*'Timeline and FX'!BA12)+$J$31*Payroll!$C$36*MIN(MAX(($I$31*'Timeline and FX'!BA12),'Timeline and FX'!BA14),'Timeline and FX'!BA13))/'Timeline and FX'!BA8</f>
        <v>2511.60563840372</v>
      </c>
      <c r="BB110" s="59" t="n">
        <f aca="false">SUM(BC110:BN110)</f>
        <v>32830.494531096</v>
      </c>
      <c r="BC110" s="60" t="n">
        <f aca="false">BC70*(($I$31*'Timeline and FX'!BC12)+$J$31*Payroll!$C$36*MIN(MAX(($I$31*'Timeline and FX'!BC12),'Timeline and FX'!BC14),'Timeline and FX'!BC13))/'Timeline and FX'!BC8</f>
        <v>2809.53009931419</v>
      </c>
      <c r="BD110" s="60" t="n">
        <f aca="false">BD70*(($I$31*'Timeline and FX'!BD12)+$J$31*Payroll!$C$36*MIN(MAX(($I$31*'Timeline and FX'!BD12),'Timeline and FX'!BD14),'Timeline and FX'!BD13))/'Timeline and FX'!BD8</f>
        <v>2795.92081337838</v>
      </c>
      <c r="BE110" s="60" t="n">
        <f aca="false">BE70*(($I$31*'Timeline and FX'!BE12)+$J$31*Payroll!$C$36*MIN(MAX(($I$31*'Timeline and FX'!BE12),'Timeline and FX'!BE14),'Timeline and FX'!BE13))/'Timeline and FX'!BE8</f>
        <v>2782.37745044646</v>
      </c>
      <c r="BF110" s="60" t="n">
        <f aca="false">BF70*(($I$31*'Timeline and FX'!BF12)+$J$31*Payroll!$C$36*MIN(MAX(($I$31*'Timeline and FX'!BF12),'Timeline and FX'!BF14),'Timeline and FX'!BF13))/'Timeline and FX'!BF8</f>
        <v>2768.89969118923</v>
      </c>
      <c r="BG110" s="60" t="n">
        <f aca="false">BG70*(($I$31*'Timeline and FX'!BG12)+$J$31*Payroll!$C$36*MIN(MAX(($I$31*'Timeline and FX'!BG12),'Timeline and FX'!BG14),'Timeline and FX'!BG13))/'Timeline and FX'!BG8</f>
        <v>2755.48721782432</v>
      </c>
      <c r="BH110" s="60" t="n">
        <f aca="false">BH70*(($I$31*'Timeline and FX'!BH12)+$J$31*Payroll!$C$36*MIN(MAX(($I$31*'Timeline and FX'!BH12),'Timeline and FX'!BH14),'Timeline and FX'!BH13))/'Timeline and FX'!BH8</f>
        <v>2742.13971410866</v>
      </c>
      <c r="BI110" s="60" t="n">
        <f aca="false">BI70*(($I$31*'Timeline and FX'!BI12)+$J$31*Payroll!$C$36*MIN(MAX(($I$31*'Timeline and FX'!BI12),'Timeline and FX'!BI14),'Timeline and FX'!BI13))/'Timeline and FX'!BI8</f>
        <v>2728.85686533108</v>
      </c>
      <c r="BJ110" s="60" t="n">
        <f aca="false">BJ70*(($I$31*'Timeline and FX'!BJ12)+$J$31*Payroll!$C$36*MIN(MAX(($I$31*'Timeline and FX'!BJ12),'Timeline and FX'!BJ14),'Timeline and FX'!BJ13))/'Timeline and FX'!BJ8</f>
        <v>2715.63835830484</v>
      </c>
      <c r="BK110" s="60" t="n">
        <f aca="false">BK70*(($I$31*'Timeline and FX'!BK12)+$J$31*Payroll!$C$36*MIN(MAX(($I$31*'Timeline and FX'!BK12),'Timeline and FX'!BK14),'Timeline and FX'!BK13))/'Timeline and FX'!BK8</f>
        <v>2702.4838813603</v>
      </c>
      <c r="BL110" s="60" t="n">
        <f aca="false">BL70*(($I$31*'Timeline and FX'!BL12)+$J$31*Payroll!$C$36*MIN(MAX(($I$31*'Timeline and FX'!BL12),'Timeline and FX'!BL14),'Timeline and FX'!BL13))/'Timeline and FX'!BL8</f>
        <v>2689.3931243375</v>
      </c>
      <c r="BM110" s="60" t="n">
        <f aca="false">BM70*(($I$31*'Timeline and FX'!BM12)+$J$31*Payroll!$C$36*MIN(MAX(($I$31*'Timeline and FX'!BM12),'Timeline and FX'!BM14),'Timeline and FX'!BM13))/'Timeline and FX'!BM8</f>
        <v>2676.36577857891</v>
      </c>
      <c r="BN110" s="60" t="n">
        <f aca="false">BN70*(($I$31*'Timeline and FX'!BN12)+$J$31*Payroll!$C$36*MIN(MAX(($I$31*'Timeline and FX'!BN12),'Timeline and FX'!BN14),'Timeline and FX'!BN13))/'Timeline and FX'!BN8</f>
        <v>2663.40153692213</v>
      </c>
    </row>
    <row r="111" customFormat="false" ht="15" hidden="false" customHeight="false" outlineLevel="0" collapsed="false">
      <c r="A111" s="4" t="s">
        <v>870</v>
      </c>
      <c r="B111" s="59" t="n">
        <f aca="false">SUM(C111:N111)</f>
        <v>0</v>
      </c>
      <c r="C111" s="60" t="n">
        <f aca="false">C71*(($I$32*'Timeline and FX'!C12)+$J$32*Payroll!$C$36*MIN(MAX(($I$32*'Timeline and FX'!C12),'Timeline and FX'!C14),'Timeline and FX'!C13))/'Timeline and FX'!C8</f>
        <v>0</v>
      </c>
      <c r="D111" s="60" t="n">
        <f aca="false">D71*(($I$32*'Timeline and FX'!D12)+$J$32*Payroll!$C$36*MIN(MAX(($I$32*'Timeline and FX'!D12),'Timeline and FX'!D14),'Timeline and FX'!D13))/'Timeline and FX'!D8</f>
        <v>0</v>
      </c>
      <c r="E111" s="60" t="n">
        <f aca="false">E71*(($I$32*'Timeline and FX'!E12)+$J$32*Payroll!$C$36*MIN(MAX(($I$32*'Timeline and FX'!E12),'Timeline and FX'!E14),'Timeline and FX'!E13))/'Timeline and FX'!E8</f>
        <v>0</v>
      </c>
      <c r="F111" s="60" t="n">
        <f aca="false">F71*(($I$32*'Timeline and FX'!F12)+$J$32*Payroll!$C$36*MIN(MAX(($I$32*'Timeline and FX'!F12),'Timeline and FX'!F14),'Timeline and FX'!F13))/'Timeline and FX'!F8</f>
        <v>0</v>
      </c>
      <c r="G111" s="60" t="n">
        <f aca="false">G71*(($I$32*'Timeline and FX'!G12)+$J$32*Payroll!$C$36*MIN(MAX(($I$32*'Timeline and FX'!G12),'Timeline and FX'!G14),'Timeline and FX'!G13))/'Timeline and FX'!G8</f>
        <v>0</v>
      </c>
      <c r="H111" s="60" t="n">
        <f aca="false">H71*(($I$32*'Timeline and FX'!H12)+$J$32*Payroll!$C$36*MIN(MAX(($I$32*'Timeline and FX'!H12),'Timeline and FX'!H14),'Timeline and FX'!H13))/'Timeline and FX'!H8</f>
        <v>0</v>
      </c>
      <c r="I111" s="60" t="n">
        <f aca="false">I71*(($I$32*'Timeline and FX'!I12)+$J$32*Payroll!$C$36*MIN(MAX(($I$32*'Timeline and FX'!I12),'Timeline and FX'!I14),'Timeline and FX'!I13))/'Timeline and FX'!I8</f>
        <v>0</v>
      </c>
      <c r="J111" s="60" t="n">
        <f aca="false">J71*(($I$32*'Timeline and FX'!J12)+$J$32*Payroll!$C$36*MIN(MAX(($I$32*'Timeline and FX'!J12),'Timeline and FX'!J14),'Timeline and FX'!J13))/'Timeline and FX'!J8</f>
        <v>0</v>
      </c>
      <c r="K111" s="60" t="n">
        <f aca="false">K71*(($I$32*'Timeline and FX'!K12)+$J$32*Payroll!$C$36*MIN(MAX(($I$32*'Timeline and FX'!K12),'Timeline and FX'!K14),'Timeline and FX'!K13))/'Timeline and FX'!K8</f>
        <v>0</v>
      </c>
      <c r="L111" s="60" t="n">
        <f aca="false">L71*(($I$32*'Timeline and FX'!L12)+$J$32*Payroll!$C$36*MIN(MAX(($I$32*'Timeline and FX'!L12),'Timeline and FX'!L14),'Timeline and FX'!L13))/'Timeline and FX'!L8</f>
        <v>0</v>
      </c>
      <c r="M111" s="60" t="n">
        <f aca="false">M71*(($I$32*'Timeline and FX'!M12)+$J$32*Payroll!$C$36*MIN(MAX(($I$32*'Timeline and FX'!M12),'Timeline and FX'!M14),'Timeline and FX'!M13))/'Timeline and FX'!M8</f>
        <v>0</v>
      </c>
      <c r="N111" s="60" t="n">
        <f aca="false">N71*(($I$32*'Timeline and FX'!N12)+$J$32*Payroll!$C$36*MIN(MAX(($I$32*'Timeline and FX'!N12),'Timeline and FX'!N14),'Timeline and FX'!N13))/'Timeline and FX'!N8</f>
        <v>0</v>
      </c>
      <c r="O111" s="59" t="n">
        <f aca="false">SUM(P111:AA111)</f>
        <v>12878.0393638943</v>
      </c>
      <c r="P111" s="60" t="n">
        <f aca="false">P71*(($I$32*'Timeline and FX'!P12)+$J$32*Payroll!$C$36*MIN(MAX(($I$32*'Timeline and FX'!P12),'Timeline and FX'!P14),'Timeline and FX'!P13))/'Timeline and FX'!P8</f>
        <v>1102.06196189778</v>
      </c>
      <c r="Q111" s="60" t="n">
        <f aca="false">Q71*(($I$32*'Timeline and FX'!Q12)+$J$32*Payroll!$C$36*MIN(MAX(($I$32*'Timeline and FX'!Q12),'Timeline and FX'!Q14),'Timeline and FX'!Q13))/'Timeline and FX'!Q8</f>
        <v>1096.72360429766</v>
      </c>
      <c r="R111" s="60" t="n">
        <f aca="false">R71*(($I$32*'Timeline and FX'!R12)+$J$32*Payroll!$C$36*MIN(MAX(($I$32*'Timeline and FX'!R12),'Timeline and FX'!R14),'Timeline and FX'!R13))/'Timeline and FX'!R8</f>
        <v>1091.4111055538</v>
      </c>
      <c r="S111" s="60" t="n">
        <f aca="false">S71*(($I$32*'Timeline and FX'!S12)+$J$32*Payroll!$C$36*MIN(MAX(($I$32*'Timeline and FX'!S12),'Timeline and FX'!S14),'Timeline and FX'!S13))/'Timeline and FX'!S8</f>
        <v>1086.12434040662</v>
      </c>
      <c r="T111" s="60" t="n">
        <f aca="false">T71*(($I$32*'Timeline and FX'!T12)+$J$32*Payroll!$C$36*MIN(MAX(($I$32*'Timeline and FX'!T12),'Timeline and FX'!T14),'Timeline and FX'!T13))/'Timeline and FX'!T8</f>
        <v>1080.86318420329</v>
      </c>
      <c r="U111" s="60" t="n">
        <f aca="false">U71*(($I$32*'Timeline and FX'!U12)+$J$32*Payroll!$C$36*MIN(MAX(($I$32*'Timeline and FX'!U12),'Timeline and FX'!U14),'Timeline and FX'!U13))/'Timeline and FX'!U8</f>
        <v>1075.6275128948</v>
      </c>
      <c r="V111" s="60" t="n">
        <f aca="false">V71*(($I$32*'Timeline and FX'!V12)+$J$32*Payroll!$C$36*MIN(MAX(($I$32*'Timeline and FX'!V12),'Timeline and FX'!V14),'Timeline and FX'!V13))/'Timeline and FX'!V8</f>
        <v>1070.41720303303</v>
      </c>
      <c r="W111" s="60" t="n">
        <f aca="false">W71*(($I$32*'Timeline and FX'!W12)+$J$32*Payroll!$C$36*MIN(MAX(($I$32*'Timeline and FX'!W12),'Timeline and FX'!W14),'Timeline and FX'!W13))/'Timeline and FX'!W8</f>
        <v>1065.23213176782</v>
      </c>
      <c r="X111" s="60" t="n">
        <f aca="false">X71*(($I$32*'Timeline and FX'!X12)+$J$32*Payroll!$C$36*MIN(MAX(($I$32*'Timeline and FX'!X12),'Timeline and FX'!X14),'Timeline and FX'!X13))/'Timeline and FX'!X8</f>
        <v>1060.07217684412</v>
      </c>
      <c r="Y111" s="60" t="n">
        <f aca="false">Y71*(($I$32*'Timeline and FX'!Y12)+$J$32*Payroll!$C$36*MIN(MAX(($I$32*'Timeline and FX'!Y12),'Timeline and FX'!Y14),'Timeline and FX'!Y13))/'Timeline and FX'!Y8</f>
        <v>1054.93721659906</v>
      </c>
      <c r="Z111" s="60" t="n">
        <f aca="false">Z71*(($I$32*'Timeline and FX'!Z12)+$J$32*Payroll!$C$36*MIN(MAX(($I$32*'Timeline and FX'!Z12),'Timeline and FX'!Z14),'Timeline and FX'!Z13))/'Timeline and FX'!Z8</f>
        <v>1049.82712995911</v>
      </c>
      <c r="AA111" s="60" t="n">
        <f aca="false">AA71*(($I$32*'Timeline and FX'!AA12)+$J$32*Payroll!$C$36*MIN(MAX(($I$32*'Timeline and FX'!AA12),'Timeline and FX'!AA14),'Timeline and FX'!AA13))/'Timeline and FX'!AA8</f>
        <v>1044.74179643723</v>
      </c>
      <c r="AB111" s="59" t="n">
        <f aca="false">SUM(AC111:AN111)</f>
        <v>13632.1967069185</v>
      </c>
      <c r="AC111" s="60" t="n">
        <f aca="false">AC71*(($I$32*'Timeline and FX'!AC12)+$J$32*Payroll!$C$36*MIN(MAX(($I$32*'Timeline and FX'!AC12),'Timeline and FX'!AC14),'Timeline and FX'!AC13))/'Timeline and FX'!AC8</f>
        <v>1166.60036697232</v>
      </c>
      <c r="AD111" s="60" t="n">
        <f aca="false">AD71*(($I$32*'Timeline and FX'!AD12)+$J$32*Payroll!$C$36*MIN(MAX(($I$32*'Timeline and FX'!AD12),'Timeline and FX'!AD14),'Timeline and FX'!AD13))/'Timeline and FX'!AD8</f>
        <v>1160.94938712668</v>
      </c>
      <c r="AE111" s="60" t="n">
        <f aca="false">AE71*(($I$32*'Timeline and FX'!AE12)+$J$32*Payroll!$C$36*MIN(MAX(($I$32*'Timeline and FX'!AE12),'Timeline and FX'!AE14),'Timeline and FX'!AE13))/'Timeline and FX'!AE8</f>
        <v>1155.32578047079</v>
      </c>
      <c r="AF111" s="60" t="n">
        <f aca="false">AF71*(($I$32*'Timeline and FX'!AF12)+$J$32*Payroll!$C$36*MIN(MAX(($I$32*'Timeline and FX'!AF12),'Timeline and FX'!AF14),'Timeline and FX'!AF13))/'Timeline and FX'!AF8</f>
        <v>1149.72941440969</v>
      </c>
      <c r="AG111" s="60" t="n">
        <f aca="false">AG71*(($I$32*'Timeline and FX'!AG12)+$J$32*Payroll!$C$36*MIN(MAX(($I$32*'Timeline and FX'!AG12),'Timeline and FX'!AG14),'Timeline and FX'!AG13))/'Timeline and FX'!AG8</f>
        <v>1144.16015699069</v>
      </c>
      <c r="AH111" s="60" t="n">
        <f aca="false">AH71*(($I$32*'Timeline and FX'!AH12)+$J$32*Payroll!$C$36*MIN(MAX(($I$32*'Timeline and FX'!AH12),'Timeline and FX'!AH14),'Timeline and FX'!AH13))/'Timeline and FX'!AH8</f>
        <v>1138.61787690027</v>
      </c>
      <c r="AI111" s="60" t="n">
        <f aca="false">AI71*(($I$32*'Timeline and FX'!AI12)+$J$32*Payroll!$C$36*MIN(MAX(($I$32*'Timeline and FX'!AI12),'Timeline and FX'!AI14),'Timeline and FX'!AI13))/'Timeline and FX'!AI8</f>
        <v>1133.10244346101</v>
      </c>
      <c r="AJ111" s="60" t="n">
        <f aca="false">AJ71*(($I$32*'Timeline and FX'!AJ12)+$J$32*Payroll!$C$36*MIN(MAX(($I$32*'Timeline and FX'!AJ12),'Timeline and FX'!AJ14),'Timeline and FX'!AJ13))/'Timeline and FX'!AJ8</f>
        <v>1127.61372662847</v>
      </c>
      <c r="AK111" s="60" t="n">
        <f aca="false">AK71*(($I$32*'Timeline and FX'!AK12)+$J$32*Payroll!$C$36*MIN(MAX(($I$32*'Timeline and FX'!AK12),'Timeline and FX'!AK14),'Timeline and FX'!AK13))/'Timeline and FX'!AK8</f>
        <v>1122.15159698815</v>
      </c>
      <c r="AL111" s="60" t="n">
        <f aca="false">AL71*(($I$32*'Timeline and FX'!AL12)+$J$32*Payroll!$C$36*MIN(MAX(($I$32*'Timeline and FX'!AL12),'Timeline and FX'!AL14),'Timeline and FX'!AL13))/'Timeline and FX'!AL8</f>
        <v>1116.71592575243</v>
      </c>
      <c r="AM111" s="60" t="n">
        <f aca="false">AM71*(($I$32*'Timeline and FX'!AM12)+$J$32*Payroll!$C$36*MIN(MAX(($I$32*'Timeline and FX'!AM12),'Timeline and FX'!AM14),'Timeline and FX'!AM13))/'Timeline and FX'!AM8</f>
        <v>1111.30658475752</v>
      </c>
      <c r="AN111" s="60" t="n">
        <f aca="false">AN71*(($I$32*'Timeline and FX'!AN12)+$J$32*Payroll!$C$36*MIN(MAX(($I$32*'Timeline and FX'!AN12),'Timeline and FX'!AN14),'Timeline and FX'!AN13))/'Timeline and FX'!AN8</f>
        <v>1105.92344646048</v>
      </c>
      <c r="AO111" s="59" t="n">
        <f aca="false">SUM(AP111:BA111)</f>
        <v>14431.182819056</v>
      </c>
      <c r="AP111" s="60" t="n">
        <f aca="false">AP71*(($I$32*'Timeline and FX'!AP12)+$J$32*Payroll!$C$36*MIN(MAX(($I$32*'Timeline and FX'!AP12),'Timeline and FX'!AP14),'Timeline and FX'!AP13))/'Timeline and FX'!AP8</f>
        <v>1234.97507661485</v>
      </c>
      <c r="AQ111" s="60" t="n">
        <f aca="false">AQ71*(($I$32*'Timeline and FX'!AQ12)+$J$32*Payroll!$C$36*MIN(MAX(($I$32*'Timeline and FX'!AQ12),'Timeline and FX'!AQ14),'Timeline and FX'!AQ13))/'Timeline and FX'!AQ8</f>
        <v>1228.99289157068</v>
      </c>
      <c r="AR111" s="60" t="n">
        <f aca="false">AR71*(($I$32*'Timeline and FX'!AR12)+$J$32*Payroll!$C$36*MIN(MAX(($I$32*'Timeline and FX'!AR12),'Timeline and FX'!AR14),'Timeline and FX'!AR13))/'Timeline and FX'!AR8</f>
        <v>1223.03968406508</v>
      </c>
      <c r="AS111" s="60" t="n">
        <f aca="false">AS71*(($I$32*'Timeline and FX'!AS12)+$J$32*Payroll!$C$36*MIN(MAX(($I$32*'Timeline and FX'!AS12),'Timeline and FX'!AS14),'Timeline and FX'!AS13))/'Timeline and FX'!AS8</f>
        <v>1217.11531373163</v>
      </c>
      <c r="AT111" s="60" t="n">
        <f aca="false">AT71*(($I$32*'Timeline and FX'!AT12)+$J$32*Payroll!$C$36*MIN(MAX(($I$32*'Timeline and FX'!AT12),'Timeline and FX'!AT14),'Timeline and FX'!AT13))/'Timeline and FX'!AT8</f>
        <v>1211.2196408839</v>
      </c>
      <c r="AU111" s="60" t="n">
        <f aca="false">AU71*(($I$32*'Timeline and FX'!AU12)+$J$32*Payroll!$C$36*MIN(MAX(($I$32*'Timeline and FX'!AU12),'Timeline and FX'!AU14),'Timeline and FX'!AU13))/'Timeline and FX'!AU8</f>
        <v>1205.35252651203</v>
      </c>
      <c r="AV111" s="60" t="n">
        <f aca="false">AV71*(($I$32*'Timeline and FX'!AV12)+$J$32*Payroll!$C$36*MIN(MAX(($I$32*'Timeline and FX'!AV12),'Timeline and FX'!AV14),'Timeline and FX'!AV13))/'Timeline and FX'!AV8</f>
        <v>1199.51383227959</v>
      </c>
      <c r="AW111" s="60" t="n">
        <f aca="false">AW71*(($I$32*'Timeline and FX'!AW12)+$J$32*Payroll!$C$36*MIN(MAX(($I$32*'Timeline and FX'!AW12),'Timeline and FX'!AW14),'Timeline and FX'!AW13))/'Timeline and FX'!AW8</f>
        <v>1193.70342052018</v>
      </c>
      <c r="AX111" s="60" t="n">
        <f aca="false">AX71*(($I$32*'Timeline and FX'!AX12)+$J$32*Payroll!$C$36*MIN(MAX(($I$32*'Timeline and FX'!AX12),'Timeline and FX'!AX14),'Timeline and FX'!AX13))/'Timeline and FX'!AX8</f>
        <v>1187.9211542343</v>
      </c>
      <c r="AY111" s="60" t="n">
        <f aca="false">AY71*(($I$32*'Timeline and FX'!AY12)+$J$32*Payroll!$C$36*MIN(MAX(($I$32*'Timeline and FX'!AY12),'Timeline and FX'!AY14),'Timeline and FX'!AY13))/'Timeline and FX'!AY8</f>
        <v>1182.16689708606</v>
      </c>
      <c r="AZ111" s="60" t="n">
        <f aca="false">AZ71*(($I$32*'Timeline and FX'!AZ12)+$J$32*Payroll!$C$36*MIN(MAX(($I$32*'Timeline and FX'!AZ12),'Timeline and FX'!AZ14),'Timeline and FX'!AZ13))/'Timeline and FX'!AZ8</f>
        <v>1176.44051339997</v>
      </c>
      <c r="BA111" s="60" t="n">
        <f aca="false">BA71*(($I$32*'Timeline and FX'!BA12)+$J$32*Payroll!$C$36*MIN(MAX(($I$32*'Timeline and FX'!BA12),'Timeline and FX'!BA14),'Timeline and FX'!BA13))/'Timeline and FX'!BA8</f>
        <v>1170.74186815775</v>
      </c>
      <c r="BB111" s="59" t="n">
        <f aca="false">SUM(BC111:BN111)</f>
        <v>15277.7169283567</v>
      </c>
      <c r="BC111" s="60" t="n">
        <f aca="false">BC71*(($I$32*'Timeline and FX'!BC12)+$J$32*Payroll!$C$36*MIN(MAX(($I$32*'Timeline and FX'!BC12),'Timeline and FX'!BC14),'Timeline and FX'!BC13))/'Timeline and FX'!BC8</f>
        <v>1307.4187937792</v>
      </c>
      <c r="BD111" s="60" t="n">
        <f aca="false">BD71*(($I$32*'Timeline and FX'!BD12)+$J$32*Payroll!$C$36*MIN(MAX(($I$32*'Timeline and FX'!BD12),'Timeline and FX'!BD14),'Timeline and FX'!BD13))/'Timeline and FX'!BD8</f>
        <v>1301.08569337685</v>
      </c>
      <c r="BE111" s="60" t="n">
        <f aca="false">BE71*(($I$32*'Timeline and FX'!BE12)+$J$32*Payroll!$C$36*MIN(MAX(($I$32*'Timeline and FX'!BE12),'Timeline and FX'!BE14),'Timeline and FX'!BE13))/'Timeline and FX'!BE8</f>
        <v>1294.78327033732</v>
      </c>
      <c r="BF111" s="60" t="n">
        <f aca="false">BF71*(($I$32*'Timeline and FX'!BF12)+$J$32*Payroll!$C$36*MIN(MAX(($I$32*'Timeline and FX'!BF12),'Timeline and FX'!BF14),'Timeline and FX'!BF13))/'Timeline and FX'!BF8</f>
        <v>1288.51137606032</v>
      </c>
      <c r="BG111" s="60" t="n">
        <f aca="false">BG71*(($I$32*'Timeline and FX'!BG12)+$J$32*Payroll!$C$36*MIN(MAX(($I$32*'Timeline and FX'!BG12),'Timeline and FX'!BG14),'Timeline and FX'!BG13))/'Timeline and FX'!BG8</f>
        <v>1282.26986266539</v>
      </c>
      <c r="BH111" s="60" t="n">
        <f aca="false">BH71*(($I$32*'Timeline and FX'!BH12)+$J$32*Payroll!$C$36*MIN(MAX(($I$32*'Timeline and FX'!BH12),'Timeline and FX'!BH14),'Timeline and FX'!BH13))/'Timeline and FX'!BH8</f>
        <v>1276.05858298835</v>
      </c>
      <c r="BI111" s="60" t="n">
        <f aca="false">BI71*(($I$32*'Timeline and FX'!BI12)+$J$32*Payroll!$C$36*MIN(MAX(($I$32*'Timeline and FX'!BI12),'Timeline and FX'!BI14),'Timeline and FX'!BI13))/'Timeline and FX'!BI8</f>
        <v>1269.87739057793</v>
      </c>
      <c r="BJ111" s="60" t="n">
        <f aca="false">BJ71*(($I$32*'Timeline and FX'!BJ12)+$J$32*Payroll!$C$36*MIN(MAX(($I$32*'Timeline and FX'!BJ12),'Timeline and FX'!BJ14),'Timeline and FX'!BJ13))/'Timeline and FX'!BJ8</f>
        <v>1263.72613969223</v>
      </c>
      <c r="BK111" s="60" t="n">
        <f aca="false">BK71*(($I$32*'Timeline and FX'!BK12)+$J$32*Payroll!$C$36*MIN(MAX(($I$32*'Timeline and FX'!BK12),'Timeline and FX'!BK14),'Timeline and FX'!BK13))/'Timeline and FX'!BK8</f>
        <v>1257.60468529534</v>
      </c>
      <c r="BL111" s="60" t="n">
        <f aca="false">BL71*(($I$32*'Timeline and FX'!BL12)+$J$32*Payroll!$C$36*MIN(MAX(($I$32*'Timeline and FX'!BL12),'Timeline and FX'!BL14),'Timeline and FX'!BL13))/'Timeline and FX'!BL8</f>
        <v>1251.5128830539</v>
      </c>
      <c r="BM111" s="60" t="n">
        <f aca="false">BM71*(($I$32*'Timeline and FX'!BM12)+$J$32*Payroll!$C$36*MIN(MAX(($I$32*'Timeline and FX'!BM12),'Timeline and FX'!BM14),'Timeline and FX'!BM13))/'Timeline and FX'!BM8</f>
        <v>1245.45058933368</v>
      </c>
      <c r="BN111" s="60" t="n">
        <f aca="false">BN71*(($I$32*'Timeline and FX'!BN12)+$J$32*Payroll!$C$36*MIN(MAX(($I$32*'Timeline and FX'!BN12),'Timeline and FX'!BN14),'Timeline and FX'!BN13))/'Timeline and FX'!BN8</f>
        <v>1239.41766119623</v>
      </c>
    </row>
    <row r="112" customFormat="false" ht="15" hidden="false" customHeight="false" outlineLevel="0" collapsed="false">
      <c r="A112" s="4" t="s">
        <v>871</v>
      </c>
      <c r="B112" s="59" t="n">
        <f aca="false">SUM(C112:N112)</f>
        <v>0</v>
      </c>
      <c r="C112" s="60" t="n">
        <f aca="false">C72*(($I$33*'Timeline and FX'!C12)+$J$33*Payroll!$C$36*MIN(MAX(($I$33*'Timeline and FX'!C12),'Timeline and FX'!C14),'Timeline and FX'!C13))/'Timeline and FX'!C8</f>
        <v>0</v>
      </c>
      <c r="D112" s="60" t="n">
        <f aca="false">D72*(($I$33*'Timeline and FX'!D12)+$J$33*Payroll!$C$36*MIN(MAX(($I$33*'Timeline and FX'!D12),'Timeline and FX'!D14),'Timeline and FX'!D13))/'Timeline and FX'!D8</f>
        <v>0</v>
      </c>
      <c r="E112" s="60" t="n">
        <f aca="false">E72*(($I$33*'Timeline and FX'!E12)+$J$33*Payroll!$C$36*MIN(MAX(($I$33*'Timeline and FX'!E12),'Timeline and FX'!E14),'Timeline and FX'!E13))/'Timeline and FX'!E8</f>
        <v>0</v>
      </c>
      <c r="F112" s="60" t="n">
        <f aca="false">F72*(($I$33*'Timeline and FX'!F12)+$J$33*Payroll!$C$36*MIN(MAX(($I$33*'Timeline and FX'!F12),'Timeline and FX'!F14),'Timeline and FX'!F13))/'Timeline and FX'!F8</f>
        <v>0</v>
      </c>
      <c r="G112" s="60" t="n">
        <f aca="false">G72*(($I$33*'Timeline and FX'!G12)+$J$33*Payroll!$C$36*MIN(MAX(($I$33*'Timeline and FX'!G12),'Timeline and FX'!G14),'Timeline and FX'!G13))/'Timeline and FX'!G8</f>
        <v>0</v>
      </c>
      <c r="H112" s="60" t="n">
        <f aca="false">H72*(($I$33*'Timeline and FX'!H12)+$J$33*Payroll!$C$36*MIN(MAX(($I$33*'Timeline and FX'!H12),'Timeline and FX'!H14),'Timeline and FX'!H13))/'Timeline and FX'!H8</f>
        <v>0</v>
      </c>
      <c r="I112" s="60" t="n">
        <f aca="false">I72*(($I$33*'Timeline and FX'!I12)+$J$33*Payroll!$C$36*MIN(MAX(($I$33*'Timeline and FX'!I12),'Timeline and FX'!I14),'Timeline and FX'!I13))/'Timeline and FX'!I8</f>
        <v>0</v>
      </c>
      <c r="J112" s="60" t="n">
        <f aca="false">J72*(($I$33*'Timeline and FX'!J12)+$J$33*Payroll!$C$36*MIN(MAX(($I$33*'Timeline and FX'!J12),'Timeline and FX'!J14),'Timeline and FX'!J13))/'Timeline and FX'!J8</f>
        <v>0</v>
      </c>
      <c r="K112" s="60" t="n">
        <f aca="false">K72*(($I$33*'Timeline and FX'!K12)+$J$33*Payroll!$C$36*MIN(MAX(($I$33*'Timeline and FX'!K12),'Timeline and FX'!K14),'Timeline and FX'!K13))/'Timeline and FX'!K8</f>
        <v>0</v>
      </c>
      <c r="L112" s="60" t="n">
        <f aca="false">L72*(($I$33*'Timeline and FX'!L12)+$J$33*Payroll!$C$36*MIN(MAX(($I$33*'Timeline and FX'!L12),'Timeline and FX'!L14),'Timeline and FX'!L13))/'Timeline and FX'!L8</f>
        <v>0</v>
      </c>
      <c r="M112" s="60" t="n">
        <f aca="false">M72*(($I$33*'Timeline and FX'!M12)+$J$33*Payroll!$C$36*MIN(MAX(($I$33*'Timeline and FX'!M12),'Timeline and FX'!M14),'Timeline and FX'!M13))/'Timeline and FX'!M8</f>
        <v>0</v>
      </c>
      <c r="N112" s="60" t="n">
        <f aca="false">N72*(($I$33*'Timeline and FX'!N12)+$J$33*Payroll!$C$36*MIN(MAX(($I$33*'Timeline and FX'!N12),'Timeline and FX'!N14),'Timeline and FX'!N13))/'Timeline and FX'!N8</f>
        <v>0</v>
      </c>
      <c r="O112" s="59" t="n">
        <f aca="false">SUM(P112:AA112)</f>
        <v>0</v>
      </c>
      <c r="P112" s="60" t="n">
        <f aca="false">P72*(($I$33*'Timeline and FX'!P12)+$J$33*Payroll!$C$36*MIN(MAX(($I$33*'Timeline and FX'!P12),'Timeline and FX'!P14),'Timeline and FX'!P13))/'Timeline and FX'!P8</f>
        <v>0</v>
      </c>
      <c r="Q112" s="60" t="n">
        <f aca="false">Q72*(($I$33*'Timeline and FX'!Q12)+$J$33*Payroll!$C$36*MIN(MAX(($I$33*'Timeline and FX'!Q12),'Timeline and FX'!Q14),'Timeline and FX'!Q13))/'Timeline and FX'!Q8</f>
        <v>0</v>
      </c>
      <c r="R112" s="60" t="n">
        <f aca="false">R72*(($I$33*'Timeline and FX'!R12)+$J$33*Payroll!$C$36*MIN(MAX(($I$33*'Timeline and FX'!R12),'Timeline and FX'!R14),'Timeline and FX'!R13))/'Timeline and FX'!R8</f>
        <v>0</v>
      </c>
      <c r="S112" s="60" t="n">
        <f aca="false">S72*(($I$33*'Timeline and FX'!S12)+$J$33*Payroll!$C$36*MIN(MAX(($I$33*'Timeline and FX'!S12),'Timeline and FX'!S14),'Timeline and FX'!S13))/'Timeline and FX'!S8</f>
        <v>0</v>
      </c>
      <c r="T112" s="60" t="n">
        <f aca="false">T72*(($I$33*'Timeline and FX'!T12)+$J$33*Payroll!$C$36*MIN(MAX(($I$33*'Timeline and FX'!T12),'Timeline and FX'!T14),'Timeline and FX'!T13))/'Timeline and FX'!T8</f>
        <v>0</v>
      </c>
      <c r="U112" s="60" t="n">
        <f aca="false">U72*(($I$33*'Timeline and FX'!U12)+$J$33*Payroll!$C$36*MIN(MAX(($I$33*'Timeline and FX'!U12),'Timeline and FX'!U14),'Timeline and FX'!U13))/'Timeline and FX'!U8</f>
        <v>0</v>
      </c>
      <c r="V112" s="60" t="n">
        <f aca="false">V72*(($I$33*'Timeline and FX'!V12)+$J$33*Payroll!$C$36*MIN(MAX(($I$33*'Timeline and FX'!V12),'Timeline and FX'!V14),'Timeline and FX'!V13))/'Timeline and FX'!V8</f>
        <v>0</v>
      </c>
      <c r="W112" s="60" t="n">
        <f aca="false">W72*(($I$33*'Timeline and FX'!W12)+$J$33*Payroll!$C$36*MIN(MAX(($I$33*'Timeline and FX'!W12),'Timeline and FX'!W14),'Timeline and FX'!W13))/'Timeline and FX'!W8</f>
        <v>0</v>
      </c>
      <c r="X112" s="60" t="n">
        <f aca="false">X72*(($I$33*'Timeline and FX'!X12)+$J$33*Payroll!$C$36*MIN(MAX(($I$33*'Timeline and FX'!X12),'Timeline and FX'!X14),'Timeline and FX'!X13))/'Timeline and FX'!X8</f>
        <v>0</v>
      </c>
      <c r="Y112" s="60" t="n">
        <f aca="false">Y72*(($I$33*'Timeline and FX'!Y12)+$J$33*Payroll!$C$36*MIN(MAX(($I$33*'Timeline and FX'!Y12),'Timeline and FX'!Y14),'Timeline and FX'!Y13))/'Timeline and FX'!Y8</f>
        <v>0</v>
      </c>
      <c r="Z112" s="60" t="n">
        <f aca="false">Z72*(($I$33*'Timeline and FX'!Z12)+$J$33*Payroll!$C$36*MIN(MAX(($I$33*'Timeline and FX'!Z12),'Timeline and FX'!Z14),'Timeline and FX'!Z13))/'Timeline and FX'!Z8</f>
        <v>0</v>
      </c>
      <c r="AA112" s="60" t="n">
        <f aca="false">AA72*(($I$33*'Timeline and FX'!AA12)+$J$33*Payroll!$C$36*MIN(MAX(($I$33*'Timeline and FX'!AA12),'Timeline and FX'!AA14),'Timeline and FX'!AA13))/'Timeline and FX'!AA8</f>
        <v>0</v>
      </c>
      <c r="AB112" s="59" t="n">
        <f aca="false">SUM(AC112:AN112)</f>
        <v>11099.0472085394</v>
      </c>
      <c r="AC112" s="60" t="n">
        <f aca="false">AC72*(($I$33*'Timeline and FX'!AC12)+$J$33*Payroll!$C$36*MIN(MAX(($I$33*'Timeline and FX'!AC12),'Timeline and FX'!AC14),'Timeline and FX'!AC13))/'Timeline and FX'!AC8</f>
        <v>949.821428262831</v>
      </c>
      <c r="AD112" s="60" t="n">
        <f aca="false">AD72*(($I$33*'Timeline and FX'!AD12)+$J$33*Payroll!$C$36*MIN(MAX(($I$33*'Timeline and FX'!AD12),'Timeline and FX'!AD14),'Timeline and FX'!AD13))/'Timeline and FX'!AD8</f>
        <v>945.220519588335</v>
      </c>
      <c r="AE112" s="60" t="n">
        <f aca="false">AE72*(($I$33*'Timeline and FX'!AE12)+$J$33*Payroll!$C$36*MIN(MAX(($I$33*'Timeline and FX'!AE12),'Timeline and FX'!AE14),'Timeline and FX'!AE13))/'Timeline and FX'!AE8</f>
        <v>940.641897587945</v>
      </c>
      <c r="AF112" s="60" t="n">
        <f aca="false">AF72*(($I$33*'Timeline and FX'!AF12)+$J$33*Payroll!$C$36*MIN(MAX(($I$33*'Timeline and FX'!AF12),'Timeline and FX'!AF14),'Timeline and FX'!AF13))/'Timeline and FX'!AF8</f>
        <v>936.08545430563</v>
      </c>
      <c r="AG112" s="60" t="n">
        <f aca="false">AG72*(($I$33*'Timeline and FX'!AG12)+$J$33*Payroll!$C$36*MIN(MAX(($I$33*'Timeline and FX'!AG12),'Timeline and FX'!AG14),'Timeline and FX'!AG13))/'Timeline and FX'!AG8</f>
        <v>931.551082308295</v>
      </c>
      <c r="AH112" s="60" t="n">
        <f aca="false">AH72*(($I$33*'Timeline and FX'!AH12)+$J$33*Payroll!$C$36*MIN(MAX(($I$33*'Timeline and FX'!AH12),'Timeline and FX'!AH14),'Timeline and FX'!AH13))/'Timeline and FX'!AH8</f>
        <v>927.038674683245</v>
      </c>
      <c r="AI112" s="60" t="n">
        <f aca="false">AI72*(($I$33*'Timeline and FX'!AI12)+$J$33*Payroll!$C$36*MIN(MAX(($I$33*'Timeline and FX'!AI12),'Timeline and FX'!AI14),'Timeline and FX'!AI13))/'Timeline and FX'!AI8</f>
        <v>922.548125035672</v>
      </c>
      <c r="AJ112" s="60" t="n">
        <f aca="false">AJ72*(($I$33*'Timeline and FX'!AJ12)+$J$33*Payroll!$C$36*MIN(MAX(($I$33*'Timeline and FX'!AJ12),'Timeline and FX'!AJ14),'Timeline and FX'!AJ13))/'Timeline and FX'!AJ8</f>
        <v>918.079327486137</v>
      </c>
      <c r="AK112" s="60" t="n">
        <f aca="false">AK72*(($I$33*'Timeline and FX'!AK12)+$J$33*Payroll!$C$36*MIN(MAX(($I$33*'Timeline and FX'!AK12),'Timeline and FX'!AK14),'Timeline and FX'!AK13))/'Timeline and FX'!AK8</f>
        <v>913.632176668081</v>
      </c>
      <c r="AL112" s="60" t="n">
        <f aca="false">AL72*(($I$33*'Timeline and FX'!AL12)+$J$33*Payroll!$C$36*MIN(MAX(($I$33*'Timeline and FX'!AL12),'Timeline and FX'!AL14),'Timeline and FX'!AL13))/'Timeline and FX'!AL8</f>
        <v>909.206567725336</v>
      </c>
      <c r="AM112" s="60" t="n">
        <f aca="false">AM72*(($I$33*'Timeline and FX'!AM12)+$J$33*Payroll!$C$36*MIN(MAX(($I$33*'Timeline and FX'!AM12),'Timeline and FX'!AM14),'Timeline and FX'!AM13))/'Timeline and FX'!AM8</f>
        <v>904.802396309655</v>
      </c>
      <c r="AN112" s="60" t="n">
        <f aca="false">AN72*(($I$33*'Timeline and FX'!AN12)+$J$33*Payroll!$C$36*MIN(MAX(($I$33*'Timeline and FX'!AN12),'Timeline and FX'!AN14),'Timeline and FX'!AN13))/'Timeline and FX'!AN8</f>
        <v>900.419558578251</v>
      </c>
      <c r="AO112" s="59" t="n">
        <f aca="false">SUM(AP112:BA112)</f>
        <v>11754.647500014</v>
      </c>
      <c r="AP112" s="60" t="n">
        <f aca="false">AP72*(($I$33*'Timeline and FX'!AP12)+$J$33*Payroll!$C$36*MIN(MAX(($I$33*'Timeline and FX'!AP12),'Timeline and FX'!AP14),'Timeline and FX'!AP13))/'Timeline and FX'!AP8</f>
        <v>1005.92563194068</v>
      </c>
      <c r="AQ112" s="60" t="n">
        <f aca="false">AQ72*(($I$33*'Timeline and FX'!AQ12)+$J$33*Payroll!$C$36*MIN(MAX(($I$33*'Timeline and FX'!AQ12),'Timeline and FX'!AQ14),'Timeline and FX'!AQ13))/'Timeline and FX'!AQ8</f>
        <v>1001.05295605848</v>
      </c>
      <c r="AR112" s="60" t="n">
        <f aca="false">AR72*(($I$33*'Timeline and FX'!AR12)+$J$33*Payroll!$C$36*MIN(MAX(($I$33*'Timeline and FX'!AR12),'Timeline and FX'!AR14),'Timeline and FX'!AR13))/'Timeline and FX'!AR8</f>
        <v>996.203883283204</v>
      </c>
      <c r="AS112" s="60" t="n">
        <f aca="false">AS72*(($I$33*'Timeline and FX'!AS12)+$J$33*Payroll!$C$36*MIN(MAX(($I$33*'Timeline and FX'!AS12),'Timeline and FX'!AS14),'Timeline and FX'!AS13))/'Timeline and FX'!AS8</f>
        <v>991.378299282064</v>
      </c>
      <c r="AT112" s="60" t="n">
        <f aca="false">AT72*(($I$33*'Timeline and FX'!AT12)+$J$33*Payroll!$C$36*MIN(MAX(($I$33*'Timeline and FX'!AT12),'Timeline and FX'!AT14),'Timeline and FX'!AT13))/'Timeline and FX'!AT8</f>
        <v>986.576090276087</v>
      </c>
      <c r="AU112" s="60" t="n">
        <f aca="false">AU72*(($I$33*'Timeline and FX'!AU12)+$J$33*Payroll!$C$36*MIN(MAX(($I$33*'Timeline and FX'!AU12),'Timeline and FX'!AU14),'Timeline and FX'!AU13))/'Timeline and FX'!AU8</f>
        <v>981.797143037443</v>
      </c>
      <c r="AV112" s="60" t="n">
        <f aca="false">AV72*(($I$33*'Timeline and FX'!AV12)+$J$33*Payroll!$C$36*MIN(MAX(($I$33*'Timeline and FX'!AV12),'Timeline and FX'!AV14),'Timeline and FX'!AV13))/'Timeline and FX'!AV8</f>
        <v>977.041344886776</v>
      </c>
      <c r="AW112" s="60" t="n">
        <f aca="false">AW72*(($I$33*'Timeline and FX'!AW12)+$J$33*Payroll!$C$36*MIN(MAX(($I$33*'Timeline and FX'!AW12),'Timeline and FX'!AW14),'Timeline and FX'!AW13))/'Timeline and FX'!AW8</f>
        <v>972.308583690545</v>
      </c>
      <c r="AX112" s="60" t="n">
        <f aca="false">AX72*(($I$33*'Timeline and FX'!AX12)+$J$33*Payroll!$C$36*MIN(MAX(($I$33*'Timeline and FX'!AX12),'Timeline and FX'!AX14),'Timeline and FX'!AX13))/'Timeline and FX'!AX8</f>
        <v>967.598747858382</v>
      </c>
      <c r="AY112" s="60" t="n">
        <f aca="false">AY72*(($I$33*'Timeline and FX'!AY12)+$J$33*Payroll!$C$36*MIN(MAX(($I$33*'Timeline and FX'!AY12),'Timeline and FX'!AY14),'Timeline and FX'!AY13))/'Timeline and FX'!AY8</f>
        <v>962.911726340458</v>
      </c>
      <c r="AZ112" s="60" t="n">
        <f aca="false">AZ72*(($I$33*'Timeline and FX'!AZ12)+$J$33*Payroll!$C$36*MIN(MAX(($I$33*'Timeline and FX'!AZ12),'Timeline and FX'!AZ14),'Timeline and FX'!AZ13))/'Timeline and FX'!AZ8</f>
        <v>958.247408624867</v>
      </c>
      <c r="BA112" s="60" t="n">
        <f aca="false">BA72*(($I$33*'Timeline and FX'!BA12)+$J$33*Payroll!$C$36*MIN(MAX(($I$33*'Timeline and FX'!BA12),'Timeline and FX'!BA14),'Timeline and FX'!BA13))/'Timeline and FX'!BA8</f>
        <v>953.605684735021</v>
      </c>
      <c r="BB112" s="59" t="n">
        <f aca="false">SUM(BC112:BN112)</f>
        <v>12449.6796101236</v>
      </c>
      <c r="BC112" s="60" t="n">
        <f aca="false">BC72*(($I$33*'Timeline and FX'!BC12)+$J$33*Payroll!$C$36*MIN(MAX(($I$33*'Timeline and FX'!BC12),'Timeline and FX'!BC14),'Timeline and FX'!BC13))/'Timeline and FX'!BC8</f>
        <v>1065.40428619894</v>
      </c>
      <c r="BD112" s="60" t="n">
        <f aca="false">BD72*(($I$33*'Timeline and FX'!BD12)+$J$33*Payroll!$C$36*MIN(MAX(($I$33*'Timeline and FX'!BD12),'Timeline and FX'!BD14),'Timeline and FX'!BD13))/'Timeline and FX'!BD8</f>
        <v>1060.24349736395</v>
      </c>
      <c r="BE112" s="60" t="n">
        <f aca="false">BE72*(($I$33*'Timeline and FX'!BE12)+$J$33*Payroll!$C$36*MIN(MAX(($I$33*'Timeline and FX'!BE12),'Timeline and FX'!BE14),'Timeline and FX'!BE13))/'Timeline and FX'!BE8</f>
        <v>1055.10770724704</v>
      </c>
      <c r="BF112" s="60" t="n">
        <f aca="false">BF72*(($I$33*'Timeline and FX'!BF12)+$J$33*Payroll!$C$36*MIN(MAX(($I$33*'Timeline and FX'!BF12),'Timeline and FX'!BF14),'Timeline and FX'!BF13))/'Timeline and FX'!BF8</f>
        <v>1049.99679475512</v>
      </c>
      <c r="BG112" s="60" t="n">
        <f aca="false">BG72*(($I$33*'Timeline and FX'!BG12)+$J$33*Payroll!$C$36*MIN(MAX(($I$33*'Timeline and FX'!BG12),'Timeline and FX'!BG14),'Timeline and FX'!BG13))/'Timeline and FX'!BG8</f>
        <v>1044.91063938166</v>
      </c>
      <c r="BH112" s="60" t="n">
        <f aca="false">BH72*(($I$33*'Timeline and FX'!BH12)+$J$33*Payroll!$C$36*MIN(MAX(($I$33*'Timeline and FX'!BH12),'Timeline and FX'!BH14),'Timeline and FX'!BH13))/'Timeline and FX'!BH8</f>
        <v>1039.84912120388</v>
      </c>
      <c r="BI112" s="60" t="n">
        <f aca="false">BI72*(($I$33*'Timeline and FX'!BI12)+$J$33*Payroll!$C$36*MIN(MAX(($I$33*'Timeline and FX'!BI12),'Timeline and FX'!BI14),'Timeline and FX'!BI13))/'Timeline and FX'!BI8</f>
        <v>1034.81212087986</v>
      </c>
      <c r="BJ112" s="60" t="n">
        <f aca="false">BJ72*(($I$33*'Timeline and FX'!BJ12)+$J$33*Payroll!$C$36*MIN(MAX(($I$33*'Timeline and FX'!BJ12),'Timeline and FX'!BJ14),'Timeline and FX'!BJ13))/'Timeline and FX'!BJ8</f>
        <v>1029.79951964582</v>
      </c>
      <c r="BK112" s="60" t="n">
        <f aca="false">BK72*(($I$33*'Timeline and FX'!BK12)+$J$33*Payroll!$C$36*MIN(MAX(($I$33*'Timeline and FX'!BK12),'Timeline and FX'!BK14),'Timeline and FX'!BK13))/'Timeline and FX'!BK8</f>
        <v>1024.81119931323</v>
      </c>
      <c r="BL112" s="60" t="n">
        <f aca="false">BL72*(($I$33*'Timeline and FX'!BL12)+$J$33*Payroll!$C$36*MIN(MAX(($I$33*'Timeline and FX'!BL12),'Timeline and FX'!BL14),'Timeline and FX'!BL13))/'Timeline and FX'!BL8</f>
        <v>1019.84704226609</v>
      </c>
      <c r="BM112" s="60" t="n">
        <f aca="false">BM72*(($I$33*'Timeline and FX'!BM12)+$J$33*Payroll!$C$36*MIN(MAX(($I$33*'Timeline and FX'!BM12),'Timeline and FX'!BM14),'Timeline and FX'!BM13))/'Timeline and FX'!BM8</f>
        <v>1014.9069314581</v>
      </c>
      <c r="BN112" s="60" t="n">
        <f aca="false">BN72*(($I$33*'Timeline and FX'!BN12)+$J$33*Payroll!$C$36*MIN(MAX(($I$33*'Timeline and FX'!BN12),'Timeline and FX'!BN14),'Timeline and FX'!BN13))/'Timeline and FX'!BN8</f>
        <v>1009.99075040995</v>
      </c>
    </row>
    <row r="114" customFormat="false" ht="15" hidden="false" customHeight="false" outlineLevel="0" collapsed="false">
      <c r="A114" s="4" t="s">
        <v>889</v>
      </c>
      <c r="B114" s="59" t="n">
        <f aca="false">SUM(C114:N114)</f>
        <v>77340.6411647831</v>
      </c>
      <c r="C114" s="60" t="n">
        <f aca="false">SUMPRODUCT(($B$6:$B$33="Leadership")*(C85:C112))</f>
        <v>6618.56796116505</v>
      </c>
      <c r="D114" s="60" t="n">
        <f aca="false">SUMPRODUCT(($B$6:$B$33="Leadership")*(D85:D112))</f>
        <v>6586.50780139274</v>
      </c>
      <c r="E114" s="60" t="n">
        <f aca="false">SUMPRODUCT(($B$6:$B$33="Leadership")*(E85:E112))</f>
        <v>6554.60294014584</v>
      </c>
      <c r="F114" s="60" t="n">
        <f aca="false">SUMPRODUCT(($B$6:$B$33="Leadership")*(F85:F112))</f>
        <v>6522.85262516258</v>
      </c>
      <c r="G114" s="60" t="n">
        <f aca="false">SUMPRODUCT(($B$6:$B$33="Leadership")*(G85:G112))</f>
        <v>6491.25610782515</v>
      </c>
      <c r="H114" s="60" t="n">
        <f aca="false">SUMPRODUCT(($B$6:$B$33="Leadership")*(H85:H112))</f>
        <v>6459.81264314201</v>
      </c>
      <c r="I114" s="60" t="n">
        <f aca="false">SUMPRODUCT(($B$6:$B$33="Leadership")*(I85:I112))</f>
        <v>6428.52148973035</v>
      </c>
      <c r="J114" s="60" t="n">
        <f aca="false">SUMPRODUCT(($B$6:$B$33="Leadership")*(J85:J112))</f>
        <v>6397.3819097986</v>
      </c>
      <c r="K114" s="60" t="n">
        <f aca="false">SUMPRODUCT(($B$6:$B$33="Leadership")*(K85:K112))</f>
        <v>6366.39316912901</v>
      </c>
      <c r="L114" s="60" t="n">
        <f aca="false">SUMPRODUCT(($B$6:$B$33="Leadership")*(L85:L112))</f>
        <v>6335.55453706038</v>
      </c>
      <c r="M114" s="60" t="n">
        <f aca="false">SUMPRODUCT(($B$6:$B$33="Leadership")*(M85:M112))</f>
        <v>6304.86528647081</v>
      </c>
      <c r="N114" s="60" t="n">
        <f aca="false">SUMPRODUCT(($B$6:$B$33="Leadership")*(N85:N112))</f>
        <v>6274.32469376055</v>
      </c>
      <c r="O114" s="59" t="n">
        <f aca="false">SUM(P114:AA114)</f>
        <v>81788.1291890692</v>
      </c>
      <c r="P114" s="60" t="n">
        <f aca="false">SUMPRODUCT(($B$6:$B$33="Leadership")*(P85:P112))</f>
        <v>6999.16994870856</v>
      </c>
      <c r="Q114" s="60" t="n">
        <f aca="false">SUMPRODUCT(($B$6:$B$33="Leadership")*(Q85:Q112))</f>
        <v>6965.26616345686</v>
      </c>
      <c r="R114" s="60" t="n">
        <f aca="false">SUMPRODUCT(($B$6:$B$33="Leadership")*(R85:R112))</f>
        <v>6931.52660720128</v>
      </c>
      <c r="S114" s="60" t="n">
        <f aca="false">SUMPRODUCT(($B$6:$B$33="Leadership")*(S85:S112))</f>
        <v>6897.95048442113</v>
      </c>
      <c r="T114" s="60" t="n">
        <f aca="false">SUMPRODUCT(($B$6:$B$33="Leadership")*(T85:T112))</f>
        <v>6864.53700344917</v>
      </c>
      <c r="U114" s="60" t="n">
        <f aca="false">SUMPRODUCT(($B$6:$B$33="Leadership")*(U85:U112))</f>
        <v>6831.285376453</v>
      </c>
      <c r="V114" s="60" t="n">
        <f aca="false">SUMPRODUCT(($B$6:$B$33="Leadership")*(V85:V112))</f>
        <v>6798.19481941644</v>
      </c>
      <c r="W114" s="60" t="n">
        <f aca="false">SUMPRODUCT(($B$6:$B$33="Leadership")*(W85:W112))</f>
        <v>6765.26455212107</v>
      </c>
      <c r="X114" s="60" t="n">
        <f aca="false">SUMPRODUCT(($B$6:$B$33="Leadership")*(X85:X112))</f>
        <v>6732.49379812782</v>
      </c>
      <c r="Y114" s="60" t="n">
        <f aca="false">SUMPRODUCT(($B$6:$B$33="Leadership")*(Y85:Y112))</f>
        <v>6699.88178475869</v>
      </c>
      <c r="Z114" s="60" t="n">
        <f aca="false">SUMPRODUCT(($B$6:$B$33="Leadership")*(Z85:Z112))</f>
        <v>6667.42774307848</v>
      </c>
      <c r="AA114" s="60" t="n">
        <f aca="false">SUMPRODUCT(($B$6:$B$33="Leadership")*(AA85:AA112))</f>
        <v>6635.13090787672</v>
      </c>
      <c r="AB114" s="59" t="n">
        <f aca="false">SUM(AC114:AN114)</f>
        <v>86493.2810915786</v>
      </c>
      <c r="AC114" s="60" t="n">
        <f aca="false">SUMPRODUCT(($B$6:$B$33="Leadership")*(AC85:AC112))</f>
        <v>7401.82199768774</v>
      </c>
      <c r="AD114" s="60" t="n">
        <f aca="false">SUMPRODUCT(($B$6:$B$33="Leadership")*(AD85:AD112))</f>
        <v>7365.96777707016</v>
      </c>
      <c r="AE114" s="60" t="n">
        <f aca="false">SUMPRODUCT(($B$6:$B$33="Leadership")*(AE85:AE112))</f>
        <v>7330.28723330357</v>
      </c>
      <c r="AF114" s="60" t="n">
        <f aca="false">SUMPRODUCT(($B$6:$B$33="Leadership")*(AF85:AF112))</f>
        <v>7294.7795251021</v>
      </c>
      <c r="AG114" s="60" t="n">
        <f aca="false">SUMPRODUCT(($B$6:$B$33="Leadership")*(AG85:AG112))</f>
        <v>7259.44381525508</v>
      </c>
      <c r="AH114" s="60" t="n">
        <f aca="false">SUMPRODUCT(($B$6:$B$33="Leadership")*(AH85:AH112))</f>
        <v>7224.27927060724</v>
      </c>
      <c r="AI114" s="60" t="n">
        <f aca="false">SUMPRODUCT(($B$6:$B$33="Leadership")*(AI85:AI112))</f>
        <v>7189.2850620391</v>
      </c>
      <c r="AJ114" s="60" t="n">
        <f aca="false">SUMPRODUCT(($B$6:$B$33="Leadership")*(AJ85:AJ112))</f>
        <v>7154.46036444741</v>
      </c>
      <c r="AK114" s="60" t="n">
        <f aca="false">SUMPRODUCT(($B$6:$B$33="Leadership")*(AK85:AK112))</f>
        <v>7119.8043567257</v>
      </c>
      <c r="AL114" s="60" t="n">
        <f aca="false">SUMPRODUCT(($B$6:$B$33="Leadership")*(AL85:AL112))</f>
        <v>7085.31622174491</v>
      </c>
      <c r="AM114" s="60" t="n">
        <f aca="false">SUMPRODUCT(($B$6:$B$33="Leadership")*(AM85:AM112))</f>
        <v>7050.99514633414</v>
      </c>
      <c r="AN114" s="60" t="n">
        <f aca="false">SUMPRODUCT(($B$6:$B$33="Leadership")*(AN85:AN112))</f>
        <v>7016.84032126146</v>
      </c>
      <c r="AO114" s="59" t="n">
        <f aca="false">SUM(AP114:BA114)</f>
        <v>91471.1841999247</v>
      </c>
      <c r="AP114" s="60" t="n">
        <f aca="false">SUMPRODUCT(($B$6:$B$33="Leadership")*(AP85:AP112))</f>
        <v>7827.81523397972</v>
      </c>
      <c r="AQ114" s="60" t="n">
        <f aca="false">SUMPRODUCT(($B$6:$B$33="Leadership")*(AQ85:AQ112))</f>
        <v>7789.89751393182</v>
      </c>
      <c r="AR114" s="60" t="n">
        <f aca="false">SUMPRODUCT(($B$6:$B$33="Leadership")*(AR85:AR112))</f>
        <v>7752.16346626895</v>
      </c>
      <c r="AS114" s="60" t="n">
        <f aca="false">SUMPRODUCT(($B$6:$B$33="Leadership")*(AS85:AS112))</f>
        <v>7714.61220128717</v>
      </c>
      <c r="AT114" s="60" t="n">
        <f aca="false">SUMPRODUCT(($B$6:$B$33="Leadership")*(AT85:AT112))</f>
        <v>7677.24283359225</v>
      </c>
      <c r="AU114" s="60" t="n">
        <f aca="false">SUMPRODUCT(($B$6:$B$33="Leadership")*(AU85:AU112))</f>
        <v>7640.05448207875</v>
      </c>
      <c r="AV114" s="60" t="n">
        <f aca="false">SUMPRODUCT(($B$6:$B$33="Leadership")*(AV85:AV112))</f>
        <v>7603.04626990933</v>
      </c>
      <c r="AW114" s="60" t="n">
        <f aca="false">SUMPRODUCT(($B$6:$B$33="Leadership")*(AW85:AW112))</f>
        <v>7566.21732449398</v>
      </c>
      <c r="AX114" s="60" t="n">
        <f aca="false">SUMPRODUCT(($B$6:$B$33="Leadership")*(AX85:AX112))</f>
        <v>7529.56677746952</v>
      </c>
      <c r="AY114" s="60" t="n">
        <f aca="false">SUMPRODUCT(($B$6:$B$33="Leadership")*(AY85:AY112))</f>
        <v>7493.09376467908</v>
      </c>
      <c r="AZ114" s="60" t="n">
        <f aca="false">SUMPRODUCT(($B$6:$B$33="Leadership")*(AZ85:AZ112))</f>
        <v>7456.79742615177</v>
      </c>
      <c r="BA114" s="60" t="n">
        <f aca="false">SUMPRODUCT(($B$6:$B$33="Leadership")*(BA85:BA112))</f>
        <v>7420.67690608234</v>
      </c>
      <c r="BB114" s="59" t="n">
        <f aca="false">SUM(BC114:BN114)</f>
        <v>96737.8225132658</v>
      </c>
      <c r="BC114" s="60" t="n">
        <f aca="false">SUMPRODUCT(($B$6:$B$33="Leadership")*(BC85:BC112))</f>
        <v>8278.51751778231</v>
      </c>
      <c r="BD114" s="60" t="n">
        <f aca="false">SUMPRODUCT(($B$6:$B$33="Leadership")*(BD85:BD112))</f>
        <v>8238.41660836274</v>
      </c>
      <c r="BE114" s="60" t="n">
        <f aca="false">SUMPRODUCT(($B$6:$B$33="Leadership")*(BE85:BE112))</f>
        <v>8198.50994663702</v>
      </c>
      <c r="BF114" s="60" t="n">
        <f aca="false">SUMPRODUCT(($B$6:$B$33="Leadership")*(BF85:BF112))</f>
        <v>8158.79659167469</v>
      </c>
      <c r="BG114" s="60" t="n">
        <f aca="false">SUMPRODUCT(($B$6:$B$33="Leadership")*(BG85:BG112))</f>
        <v>8119.27560710316</v>
      </c>
      <c r="BH114" s="60" t="n">
        <f aca="false">SUMPRODUCT(($B$6:$B$33="Leadership")*(BH85:BH112))</f>
        <v>8079.94606108558</v>
      </c>
      <c r="BI114" s="60" t="n">
        <f aca="false">SUMPRODUCT(($B$6:$B$33="Leadership")*(BI85:BI112))</f>
        <v>8040.80702629891</v>
      </c>
      <c r="BJ114" s="60" t="n">
        <f aca="false">SUMPRODUCT(($B$6:$B$33="Leadership")*(BJ85:BJ112))</f>
        <v>8001.85757991201</v>
      </c>
      <c r="BK114" s="60" t="n">
        <f aca="false">SUMPRODUCT(($B$6:$B$33="Leadership")*(BK85:BK112))</f>
        <v>7963.09680356394</v>
      </c>
      <c r="BL114" s="60" t="n">
        <f aca="false">SUMPRODUCT(($B$6:$B$33="Leadership")*(BL85:BL112))</f>
        <v>7924.52378334226</v>
      </c>
      <c r="BM114" s="60" t="n">
        <f aca="false">SUMPRODUCT(($B$6:$B$33="Leadership")*(BM85:BM112))</f>
        <v>7886.13760976149</v>
      </c>
      <c r="BN114" s="60" t="n">
        <f aca="false">SUMPRODUCT(($B$6:$B$33="Leadership")*(BN85:BN112))</f>
        <v>7847.93737774169</v>
      </c>
    </row>
    <row r="115" customFormat="false" ht="15" hidden="false" customHeight="false" outlineLevel="0" collapsed="false">
      <c r="A115" s="4" t="s">
        <v>890</v>
      </c>
      <c r="B115" s="59" t="n">
        <f aca="false">SUM(C115:N115)</f>
        <v>31139.3329060327</v>
      </c>
      <c r="C115" s="60" t="n">
        <f aca="false">SUMPRODUCT(($B$6:$B$33="Product")*(C85:C112))</f>
        <v>2664.80582524272</v>
      </c>
      <c r="D115" s="60" t="n">
        <f aca="false">SUMPRODUCT(($B$6:$B$33="Product")*(D85:D112))</f>
        <v>2651.89757967952</v>
      </c>
      <c r="E115" s="60" t="n">
        <f aca="false">SUMPRODUCT(($B$6:$B$33="Product")*(E85:E112))</f>
        <v>2639.05186130008</v>
      </c>
      <c r="F115" s="60" t="n">
        <f aca="false">SUMPRODUCT(($B$6:$B$33="Product")*(F85:F112))</f>
        <v>2626.26836722445</v>
      </c>
      <c r="G115" s="60" t="n">
        <f aca="false">SUMPRODUCT(($B$6:$B$33="Product")*(G85:G112))</f>
        <v>2613.54679603984</v>
      </c>
      <c r="H115" s="60" t="n">
        <f aca="false">SUMPRODUCT(($B$6:$B$33="Product")*(H85:H112))</f>
        <v>2600.88684779347</v>
      </c>
      <c r="I115" s="60" t="n">
        <f aca="false">SUMPRODUCT(($B$6:$B$33="Product")*(I85:I112))</f>
        <v>2588.28822398554</v>
      </c>
      <c r="J115" s="60" t="n">
        <f aca="false">SUMPRODUCT(($B$6:$B$33="Product")*(J85:J112))</f>
        <v>2575.75062756216</v>
      </c>
      <c r="K115" s="60" t="n">
        <f aca="false">SUMPRODUCT(($B$6:$B$33="Product")*(K85:K112))</f>
        <v>2563.27376290839</v>
      </c>
      <c r="L115" s="60" t="n">
        <f aca="false">SUMPRODUCT(($B$6:$B$33="Product")*(L85:L112))</f>
        <v>2550.85733584121</v>
      </c>
      <c r="M115" s="60" t="n">
        <f aca="false">SUMPRODUCT(($B$6:$B$33="Product")*(M85:M112))</f>
        <v>2538.50105360262</v>
      </c>
      <c r="N115" s="60" t="n">
        <f aca="false">SUMPRODUCT(($B$6:$B$33="Product")*(N85:N112))</f>
        <v>2526.20462485274</v>
      </c>
      <c r="O115" s="59" t="n">
        <f aca="false">SUM(P115:AA115)</f>
        <v>32948.4139106864</v>
      </c>
      <c r="P115" s="60" t="n">
        <f aca="false">SUMPRODUCT(($B$6:$B$33="Product")*(P85:P112))</f>
        <v>2819.62126763143</v>
      </c>
      <c r="Q115" s="60" t="n">
        <f aca="false">SUMPRODUCT(($B$6:$B$33="Product")*(Q85:Q112))</f>
        <v>2805.96310035597</v>
      </c>
      <c r="R115" s="60" t="n">
        <f aca="false">SUMPRODUCT(($B$6:$B$33="Product")*(R85:R112))</f>
        <v>2792.37109286425</v>
      </c>
      <c r="S115" s="60" t="n">
        <f aca="false">SUMPRODUCT(($B$6:$B$33="Product")*(S85:S112))</f>
        <v>2778.84492468012</v>
      </c>
      <c r="T115" s="60" t="n">
        <f aca="false">SUMPRODUCT(($B$6:$B$33="Product")*(T85:T112))</f>
        <v>2765.3842768798</v>
      </c>
      <c r="U115" s="60" t="n">
        <f aca="false">SUMPRODUCT(($B$6:$B$33="Product")*(U85:U112))</f>
        <v>2751.98883208437</v>
      </c>
      <c r="V115" s="60" t="n">
        <f aca="false">SUMPRODUCT(($B$6:$B$33="Product")*(V85:V112))</f>
        <v>2738.65827445228</v>
      </c>
      <c r="W115" s="60" t="n">
        <f aca="false">SUMPRODUCT(($B$6:$B$33="Product")*(W85:W112))</f>
        <v>2725.39228967191</v>
      </c>
      <c r="X115" s="60" t="n">
        <f aca="false">SUMPRODUCT(($B$6:$B$33="Product")*(X85:X112))</f>
        <v>2712.19056495415</v>
      </c>
      <c r="Y115" s="60" t="n">
        <f aca="false">SUMPRODUCT(($B$6:$B$33="Product")*(Y85:Y112))</f>
        <v>2699.05278902504</v>
      </c>
      <c r="Z115" s="60" t="n">
        <f aca="false">SUMPRODUCT(($B$6:$B$33="Product")*(Z85:Z112))</f>
        <v>2685.97865211842</v>
      </c>
      <c r="AA115" s="60" t="n">
        <f aca="false">SUMPRODUCT(($B$6:$B$33="Product")*(AA85:AA112))</f>
        <v>2672.96784596863</v>
      </c>
      <c r="AB115" s="59" t="n">
        <f aca="false">SUM(AC115:AN115)</f>
        <v>69727.6838179483</v>
      </c>
      <c r="AC115" s="60" t="n">
        <f aca="false">SUMPRODUCT(($B$6:$B$33="Product")*(AC85:AC112))</f>
        <v>5967.0751001462</v>
      </c>
      <c r="AD115" s="60" t="n">
        <f aca="false">SUMPRODUCT(($B$6:$B$33="Product")*(AD85:AD112))</f>
        <v>5938.17075373675</v>
      </c>
      <c r="AE115" s="60" t="n">
        <f aca="false">SUMPRODUCT(($B$6:$B$33="Product")*(AE85:AE112))</f>
        <v>5909.40641918022</v>
      </c>
      <c r="AF115" s="60" t="n">
        <f aca="false">SUMPRODUCT(($B$6:$B$33="Product")*(AF85:AF112))</f>
        <v>5880.7814182631</v>
      </c>
      <c r="AG115" s="60" t="n">
        <f aca="false">SUMPRODUCT(($B$6:$B$33="Product")*(AG85:AG112))</f>
        <v>5852.29507605708</v>
      </c>
      <c r="AH115" s="60" t="n">
        <f aca="false">SUMPRODUCT(($B$6:$B$33="Product")*(AH85:AH112))</f>
        <v>5823.94672090322</v>
      </c>
      <c r="AI115" s="60" t="n">
        <f aca="false">SUMPRODUCT(($B$6:$B$33="Product")*(AI85:AI112))</f>
        <v>5795.73568439606</v>
      </c>
      <c r="AJ115" s="60" t="n">
        <f aca="false">SUMPRODUCT(($B$6:$B$33="Product")*(AJ85:AJ112))</f>
        <v>5767.66130136788</v>
      </c>
      <c r="AK115" s="60" t="n">
        <f aca="false">SUMPRODUCT(($B$6:$B$33="Product")*(AK85:AK112))</f>
        <v>5739.72290987302</v>
      </c>
      <c r="AL115" s="60" t="n">
        <f aca="false">SUMPRODUCT(($B$6:$B$33="Product")*(AL85:AL112))</f>
        <v>5711.91985117225</v>
      </c>
      <c r="AM115" s="60" t="n">
        <f aca="false">SUMPRODUCT(($B$6:$B$33="Product")*(AM85:AM112))</f>
        <v>5684.25146971728</v>
      </c>
      <c r="AN115" s="60" t="n">
        <f aca="false">SUMPRODUCT(($B$6:$B$33="Product")*(AN85:AN112))</f>
        <v>5656.71711313525</v>
      </c>
      <c r="AO115" s="59" t="n">
        <f aca="false">SUM(AP115:BA115)</f>
        <v>73783.9431904763</v>
      </c>
      <c r="AP115" s="60" t="n">
        <f aca="false">SUMPRODUCT(($B$6:$B$33="Product")*(AP85:AP112))</f>
        <v>6314.19697450447</v>
      </c>
      <c r="AQ115" s="60" t="n">
        <f aca="false">SUMPRODUCT(($B$6:$B$33="Product")*(AQ85:AQ112))</f>
        <v>6283.61117935599</v>
      </c>
      <c r="AR115" s="60" t="n">
        <f aca="false">SUMPRODUCT(($B$6:$B$33="Product")*(AR85:AR112))</f>
        <v>6253.17354095155</v>
      </c>
      <c r="AS115" s="60" t="n">
        <f aca="false">SUMPRODUCT(($B$6:$B$33="Product")*(AS85:AS112))</f>
        <v>6222.88334162396</v>
      </c>
      <c r="AT115" s="60" t="n">
        <f aca="false">SUMPRODUCT(($B$6:$B$33="Product")*(AT85:AT112))</f>
        <v>6192.73986718244</v>
      </c>
      <c r="AU115" s="60" t="n">
        <f aca="false">SUMPRODUCT(($B$6:$B$33="Product")*(AU85:AU112))</f>
        <v>6162.74240689569</v>
      </c>
      <c r="AV115" s="60" t="n">
        <f aca="false">SUMPRODUCT(($B$6:$B$33="Product")*(AV85:AV112))</f>
        <v>6132.8902534752</v>
      </c>
      <c r="AW115" s="60" t="n">
        <f aca="false">SUMPRODUCT(($B$6:$B$33="Product")*(AW85:AW112))</f>
        <v>6103.18270305853</v>
      </c>
      <c r="AX115" s="60" t="n">
        <f aca="false">SUMPRODUCT(($B$6:$B$33="Product")*(AX85:AX112))</f>
        <v>6073.61905519275</v>
      </c>
      <c r="AY115" s="60" t="n">
        <f aca="false">SUMPRODUCT(($B$6:$B$33="Product")*(AY85:AY112))</f>
        <v>6044.19861281788</v>
      </c>
      <c r="AZ115" s="60" t="n">
        <f aca="false">SUMPRODUCT(($B$6:$B$33="Product")*(AZ85:AZ112))</f>
        <v>6014.9206822505</v>
      </c>
      <c r="BA115" s="60" t="n">
        <f aca="false">SUMPRODUCT(($B$6:$B$33="Product")*(BA85:BA112))</f>
        <v>5985.78457316736</v>
      </c>
      <c r="BB115" s="59" t="n">
        <f aca="false">SUM(BC115:BN115)</f>
        <v>117118.637434238</v>
      </c>
      <c r="BC115" s="60" t="n">
        <f aca="false">SUMPRODUCT(($B$6:$B$33="Product")*(BC85:BC112))</f>
        <v>10022.6433308976</v>
      </c>
      <c r="BD115" s="60" t="n">
        <f aca="false">SUMPRODUCT(($B$6:$B$33="Product")*(BD85:BD112))</f>
        <v>9974.09392437717</v>
      </c>
      <c r="BE115" s="60" t="n">
        <f aca="false">SUMPRODUCT(($B$6:$B$33="Product")*(BE85:BE112))</f>
        <v>9925.77968983644</v>
      </c>
      <c r="BF115" s="60" t="n">
        <f aca="false">SUMPRODUCT(($B$6:$B$33="Product")*(BF85:BF112))</f>
        <v>9877.69948810881</v>
      </c>
      <c r="BG115" s="60" t="n">
        <f aca="false">SUMPRODUCT(($B$6:$B$33="Product")*(BG85:BG112))</f>
        <v>9829.85218554582</v>
      </c>
      <c r="BH115" s="60" t="n">
        <f aca="false">SUMPRODUCT(($B$6:$B$33="Product")*(BH85:BH112))</f>
        <v>9782.23665399037</v>
      </c>
      <c r="BI115" s="60" t="n">
        <f aca="false">SUMPRODUCT(($B$6:$B$33="Product")*(BI85:BI112))</f>
        <v>9734.85177075012</v>
      </c>
      <c r="BJ115" s="60" t="n">
        <f aca="false">SUMPRODUCT(($B$6:$B$33="Product")*(BJ85:BJ112))</f>
        <v>9687.69641857103</v>
      </c>
      <c r="BK115" s="60" t="n">
        <f aca="false">SUMPRODUCT(($B$6:$B$33="Product")*(BK85:BK112))</f>
        <v>9640.76948561101</v>
      </c>
      <c r="BL115" s="60" t="n">
        <f aca="false">SUMPRODUCT(($B$6:$B$33="Product")*(BL85:BL112))</f>
        <v>9594.06986541367</v>
      </c>
      <c r="BM115" s="60" t="n">
        <f aca="false">SUMPRODUCT(($B$6:$B$33="Product")*(BM85:BM112))</f>
        <v>9547.59645688231</v>
      </c>
      <c r="BN115" s="60" t="n">
        <f aca="false">SUMPRODUCT(($B$6:$B$33="Product")*(BN85:BN112))</f>
        <v>9501.34816425387</v>
      </c>
    </row>
    <row r="116" customFormat="false" ht="15" hidden="false" customHeight="false" outlineLevel="0" collapsed="false">
      <c r="A116" s="4" t="s">
        <v>891</v>
      </c>
      <c r="B116" s="59" t="n">
        <f aca="false">SUM(C116:N116)</f>
        <v>65055.3674164926</v>
      </c>
      <c r="C116" s="60" t="n">
        <f aca="false">SUMPRODUCT(($B$6:$B$33="Technology")*(C85:C112))</f>
        <v>5567.23300970874</v>
      </c>
      <c r="D116" s="60" t="n">
        <f aca="false">SUMPRODUCT(($B$6:$B$33="Technology")*(D85:D112))</f>
        <v>5540.26548730386</v>
      </c>
      <c r="E116" s="60" t="n">
        <f aca="false">SUMPRODUCT(($B$6:$B$33="Technology")*(E85:E112))</f>
        <v>5513.42859483012</v>
      </c>
      <c r="F116" s="60" t="n">
        <f aca="false">SUMPRODUCT(($B$6:$B$33="Technology")*(F85:F112))</f>
        <v>5486.72169951974</v>
      </c>
      <c r="G116" s="60" t="n">
        <f aca="false">SUMPRODUCT(($B$6:$B$33="Technology")*(G85:G112))</f>
        <v>5460.14417167007</v>
      </c>
      <c r="H116" s="60" t="n">
        <f aca="false">SUMPRODUCT(($B$6:$B$33="Technology")*(H85:H112))</f>
        <v>5433.69538462872</v>
      </c>
      <c r="I116" s="60" t="n">
        <f aca="false">SUMPRODUCT(($B$6:$B$33="Technology")*(I85:I112))</f>
        <v>5407.37471477878</v>
      </c>
      <c r="J116" s="60" t="n">
        <f aca="false">SUMPRODUCT(($B$6:$B$33="Technology")*(J85:J112))</f>
        <v>5381.18154152412</v>
      </c>
      <c r="K116" s="60" t="n">
        <f aca="false">SUMPRODUCT(($B$6:$B$33="Technology")*(K85:K112))</f>
        <v>5355.11524727477</v>
      </c>
      <c r="L116" s="60" t="n">
        <f aca="false">SUMPRODUCT(($B$6:$B$33="Technology")*(L85:L112))</f>
        <v>5329.17521743235</v>
      </c>
      <c r="M116" s="60" t="n">
        <f aca="false">SUMPRODUCT(($B$6:$B$33="Technology")*(M85:M112))</f>
        <v>5303.36084037556</v>
      </c>
      <c r="N116" s="60" t="n">
        <f aca="false">SUMPRODUCT(($B$6:$B$33="Technology")*(N85:N112))</f>
        <v>5277.67150744579</v>
      </c>
      <c r="O116" s="59" t="n">
        <f aca="false">SUM(P116:AA116)</f>
        <v>116793.168334114</v>
      </c>
      <c r="P116" s="60" t="n">
        <f aca="false">SUMPRODUCT(($B$6:$B$33="Technology")*(P85:P112))</f>
        <v>9994.79071258472</v>
      </c>
      <c r="Q116" s="60" t="n">
        <f aca="false">SUMPRODUCT(($B$6:$B$33="Technology")*(Q85:Q112))</f>
        <v>9946.37622337552</v>
      </c>
      <c r="R116" s="60" t="n">
        <f aca="false">SUMPRODUCT(($B$6:$B$33="Technology")*(R85:R112))</f>
        <v>9898.19625261025</v>
      </c>
      <c r="S116" s="60" t="n">
        <f aca="false">SUMPRODUCT(($B$6:$B$33="Technology")*(S85:S112))</f>
        <v>9850.24966428807</v>
      </c>
      <c r="T116" s="60" t="n">
        <f aca="false">SUMPRODUCT(($B$6:$B$33="Technology")*(T85:T112))</f>
        <v>9802.5353279109</v>
      </c>
      <c r="U116" s="60" t="n">
        <f aca="false">SUMPRODUCT(($B$6:$B$33="Technology")*(U85:U112))</f>
        <v>9755.05211845676</v>
      </c>
      <c r="V116" s="60" t="n">
        <f aca="false">SUMPRODUCT(($B$6:$B$33="Technology")*(V85:V112))</f>
        <v>9707.79891635323</v>
      </c>
      <c r="W116" s="60" t="n">
        <f aca="false">SUMPRODUCT(($B$6:$B$33="Technology")*(W85:W112))</f>
        <v>9660.77460745108</v>
      </c>
      <c r="X116" s="60" t="n">
        <f aca="false">SUMPRODUCT(($B$6:$B$33="Technology")*(X85:X112))</f>
        <v>9613.97808299799</v>
      </c>
      <c r="Y116" s="60" t="n">
        <f aca="false">SUMPRODUCT(($B$6:$B$33="Technology")*(Y85:Y112))</f>
        <v>9567.40823961239</v>
      </c>
      <c r="Z116" s="60" t="n">
        <f aca="false">SUMPRODUCT(($B$6:$B$33="Technology")*(Z85:Z112))</f>
        <v>9521.06397925749</v>
      </c>
      <c r="AA116" s="60" t="n">
        <f aca="false">SUMPRODUCT(($B$6:$B$33="Technology")*(AA85:AA112))</f>
        <v>9474.94420921533</v>
      </c>
      <c r="AB116" s="59" t="n">
        <f aca="false">SUM(AC116:AN116)</f>
        <v>162019.660199666</v>
      </c>
      <c r="AC116" s="60" t="n">
        <f aca="false">SUMPRODUCT(($B$6:$B$33="Technology")*(AC85:AC112))</f>
        <v>13865.1311383832</v>
      </c>
      <c r="AD116" s="60" t="n">
        <f aca="false">SUMPRODUCT(($B$6:$B$33="Technology")*(AD85:AD112))</f>
        <v>13797.9688274167</v>
      </c>
      <c r="AE116" s="60" t="n">
        <f aca="false">SUMPRODUCT(($B$6:$B$33="Technology")*(AE85:AE112))</f>
        <v>13731.1318488232</v>
      </c>
      <c r="AF116" s="60" t="n">
        <f aca="false">SUMPRODUCT(($B$6:$B$33="Technology")*(AF85:AF112))</f>
        <v>13664.6186267016</v>
      </c>
      <c r="AG116" s="60" t="n">
        <f aca="false">SUMPRODUCT(($B$6:$B$33="Technology")*(AG85:AG112))</f>
        <v>13598.4275927846</v>
      </c>
      <c r="AH116" s="60" t="n">
        <f aca="false">SUMPRODUCT(($B$6:$B$33="Technology")*(AH85:AH112))</f>
        <v>13532.5571864014</v>
      </c>
      <c r="AI116" s="60" t="n">
        <f aca="false">SUMPRODUCT(($B$6:$B$33="Technology")*(AI85:AI112))</f>
        <v>13467.0058544411</v>
      </c>
      <c r="AJ116" s="60" t="n">
        <f aca="false">SUMPRODUCT(($B$6:$B$33="Technology")*(AJ85:AJ112))</f>
        <v>13401.7720513161</v>
      </c>
      <c r="AK116" s="60" t="n">
        <f aca="false">SUMPRODUCT(($B$6:$B$33="Technology")*(AK85:AK112))</f>
        <v>13336.8542389255</v>
      </c>
      <c r="AL116" s="60" t="n">
        <f aca="false">SUMPRODUCT(($B$6:$B$33="Technology")*(AL85:AL112))</f>
        <v>13272.250886619</v>
      </c>
      <c r="AM116" s="60" t="n">
        <f aca="false">SUMPRODUCT(($B$6:$B$33="Technology")*(AM85:AM112))</f>
        <v>13207.9604711606</v>
      </c>
      <c r="AN116" s="60" t="n">
        <f aca="false">SUMPRODUCT(($B$6:$B$33="Technology")*(AN85:AN112))</f>
        <v>13143.9814766928</v>
      </c>
      <c r="AO116" s="59" t="n">
        <f aca="false">SUM(AP116:BA116)</f>
        <v>232995.937552588</v>
      </c>
      <c r="AP116" s="60" t="n">
        <f aca="false">SUMPRODUCT(($B$6:$B$33="Technology")*(AP85:AP112))</f>
        <v>19939.0569323256</v>
      </c>
      <c r="AQ116" s="60" t="n">
        <f aca="false">SUMPRODUCT(($B$6:$B$33="Technology")*(AQ85:AQ112))</f>
        <v>19842.4726931502</v>
      </c>
      <c r="AR116" s="60" t="n">
        <f aca="false">SUMPRODUCT(($B$6:$B$33="Technology")*(AR85:AR112))</f>
        <v>19746.3563053527</v>
      </c>
      <c r="AS116" s="60" t="n">
        <f aca="false">SUMPRODUCT(($B$6:$B$33="Technology")*(AS85:AS112))</f>
        <v>19650.7055026737</v>
      </c>
      <c r="AT116" s="60" t="n">
        <f aca="false">SUMPRODUCT(($B$6:$B$33="Technology")*(AT85:AT112))</f>
        <v>19555.518029832</v>
      </c>
      <c r="AU116" s="60" t="n">
        <f aca="false">SUMPRODUCT(($B$6:$B$33="Technology")*(AU85:AU112))</f>
        <v>19460.7916424707</v>
      </c>
      <c r="AV116" s="60" t="n">
        <f aca="false">SUMPRODUCT(($B$6:$B$33="Technology")*(AV85:AV112))</f>
        <v>19366.5241071044</v>
      </c>
      <c r="AW116" s="60" t="n">
        <f aca="false">SUMPRODUCT(($B$6:$B$33="Technology")*(AW85:AW112))</f>
        <v>19272.7132010669</v>
      </c>
      <c r="AX116" s="60" t="n">
        <f aca="false">SUMPRODUCT(($B$6:$B$33="Technology")*(AX85:AX112))</f>
        <v>19179.3567124582</v>
      </c>
      <c r="AY116" s="60" t="n">
        <f aca="false">SUMPRODUCT(($B$6:$B$33="Technology")*(AY85:AY112))</f>
        <v>19086.4524400931</v>
      </c>
      <c r="AZ116" s="60" t="n">
        <f aca="false">SUMPRODUCT(($B$6:$B$33="Technology")*(AZ85:AZ112))</f>
        <v>18993.9981934484</v>
      </c>
      <c r="BA116" s="60" t="n">
        <f aca="false">SUMPRODUCT(($B$6:$B$33="Technology")*(BA85:BA112))</f>
        <v>18901.9917926122</v>
      </c>
      <c r="BB116" s="59" t="n">
        <f aca="false">SUM(BC116:BN116)</f>
        <v>309243.417900634</v>
      </c>
      <c r="BC116" s="60" t="n">
        <f aca="false">SUMPRODUCT(($B$6:$B$33="Technology")*(BC85:BC112))</f>
        <v>26464.0756411299</v>
      </c>
      <c r="BD116" s="60" t="n">
        <f aca="false">SUMPRODUCT(($B$6:$B$33="Technology")*(BD85:BD112))</f>
        <v>26335.884392168</v>
      </c>
      <c r="BE116" s="60" t="n">
        <f aca="false">SUMPRODUCT(($B$6:$B$33="Technology")*(BE85:BE112))</f>
        <v>26208.3140980633</v>
      </c>
      <c r="BF116" s="60" t="n">
        <f aca="false">SUMPRODUCT(($B$6:$B$33="Technology")*(BF85:BF112))</f>
        <v>26081.3617509277</v>
      </c>
      <c r="BG116" s="60" t="n">
        <f aca="false">SUMPRODUCT(($B$6:$B$33="Technology")*(BG85:BG112))</f>
        <v>25955.0243574431</v>
      </c>
      <c r="BH116" s="60" t="n">
        <f aca="false">SUMPRODUCT(($B$6:$B$33="Technology")*(BH85:BH112))</f>
        <v>25829.2989387912</v>
      </c>
      <c r="BI116" s="60" t="n">
        <f aca="false">SUMPRODUCT(($B$6:$B$33="Technology")*(BI85:BI112))</f>
        <v>25704.1825305828</v>
      </c>
      <c r="BJ116" s="60" t="n">
        <f aca="false">SUMPRODUCT(($B$6:$B$33="Technology")*(BJ85:BJ112))</f>
        <v>25579.6721827882</v>
      </c>
      <c r="BK116" s="60" t="n">
        <f aca="false">SUMPRODUCT(($B$6:$B$33="Technology")*(BK85:BK112))</f>
        <v>25455.7649596675</v>
      </c>
      <c r="BL116" s="60" t="n">
        <f aca="false">SUMPRODUCT(($B$6:$B$33="Technology")*(BL85:BL112))</f>
        <v>25332.4579397016</v>
      </c>
      <c r="BM116" s="60" t="n">
        <f aca="false">SUMPRODUCT(($B$6:$B$33="Technology")*(BM85:BM112))</f>
        <v>25209.7482155229</v>
      </c>
      <c r="BN116" s="60" t="n">
        <f aca="false">SUMPRODUCT(($B$6:$B$33="Technology")*(BN85:BN112))</f>
        <v>25087.6328938474</v>
      </c>
    </row>
    <row r="117" customFormat="false" ht="15" hidden="false" customHeight="false" outlineLevel="0" collapsed="false">
      <c r="A117" s="4" t="s">
        <v>892</v>
      </c>
      <c r="B117" s="59" t="n">
        <f aca="false">SUM(C117:N117)</f>
        <v>6493.62443650259</v>
      </c>
      <c r="C117" s="60" t="n">
        <f aca="false">SUMPRODUCT(($B$6:$B$33="Sales")*(C85:C112))</f>
        <v>555.703883495146</v>
      </c>
      <c r="D117" s="60" t="n">
        <f aca="false">SUMPRODUCT(($B$6:$B$33="Sales")*(D85:D112))</f>
        <v>553.012069284658</v>
      </c>
      <c r="E117" s="60" t="n">
        <f aca="false">SUMPRODUCT(($B$6:$B$33="Sales")*(E85:E112))</f>
        <v>550.333294147602</v>
      </c>
      <c r="F117" s="60" t="n">
        <f aca="false">SUMPRODUCT(($B$6:$B$33="Sales")*(F85:F112))</f>
        <v>547.66749492307</v>
      </c>
      <c r="G117" s="60" t="n">
        <f aca="false">SUMPRODUCT(($B$6:$B$33="Sales")*(G85:G112))</f>
        <v>545.014608756099</v>
      </c>
      <c r="H117" s="60" t="n">
        <f aca="false">SUMPRODUCT(($B$6:$B$33="Sales")*(H85:H112))</f>
        <v>542.374573096196</v>
      </c>
      <c r="I117" s="60" t="n">
        <f aca="false">SUMPRODUCT(($B$6:$B$33="Sales")*(I85:I112))</f>
        <v>539.747325695863</v>
      </c>
      <c r="J117" s="60" t="n">
        <f aca="false">SUMPRODUCT(($B$6:$B$33="Sales")*(J85:J112))</f>
        <v>537.132804609124</v>
      </c>
      <c r="K117" s="60" t="n">
        <f aca="false">SUMPRODUCT(($B$6:$B$33="Sales")*(K85:K112))</f>
        <v>534.530948190068</v>
      </c>
      <c r="L117" s="60" t="n">
        <f aca="false">SUMPRODUCT(($B$6:$B$33="Sales")*(L85:L112))</f>
        <v>531.941695091396</v>
      </c>
      <c r="M117" s="60" t="n">
        <f aca="false">SUMPRODUCT(($B$6:$B$33="Sales")*(M85:M112))</f>
        <v>529.364984262974</v>
      </c>
      <c r="N117" s="60" t="n">
        <f aca="false">SUMPRODUCT(($B$6:$B$33="Sales")*(N85:N112))</f>
        <v>526.800754950392</v>
      </c>
      <c r="O117" s="59" t="n">
        <f aca="false">SUM(P117:AA117)</f>
        <v>45084.8812676878</v>
      </c>
      <c r="P117" s="60" t="n">
        <f aca="false">SUMPRODUCT(($B$6:$B$33="Sales")*(P85:P112))</f>
        <v>3642.14485253709</v>
      </c>
      <c r="Q117" s="60" t="n">
        <f aca="false">SUMPRODUCT(($B$6:$B$33="Sales")*(Q85:Q112))</f>
        <v>3624.50240381233</v>
      </c>
      <c r="R117" s="60" t="n">
        <f aca="false">SUMPRODUCT(($B$6:$B$33="Sales")*(R85:R112))</f>
        <v>3606.94541462024</v>
      </c>
      <c r="S117" s="60" t="n">
        <f aca="false">SUMPRODUCT(($B$6:$B$33="Sales")*(S85:S112))</f>
        <v>3589.4734709972</v>
      </c>
      <c r="T117" s="60" t="n">
        <f aca="false">SUMPRODUCT(($B$6:$B$33="Sales")*(T85:T112))</f>
        <v>3572.08616098484</v>
      </c>
      <c r="U117" s="60" t="n">
        <f aca="false">SUMPRODUCT(($B$6:$B$33="Sales")*(U85:U112))</f>
        <v>3554.7830746203</v>
      </c>
      <c r="V117" s="60" t="n">
        <f aca="false">SUMPRODUCT(($B$6:$B$33="Sales")*(V85:V112))</f>
        <v>3963.51331015175</v>
      </c>
      <c r="W117" s="60" t="n">
        <f aca="false">SUMPRODUCT(($B$6:$B$33="Sales")*(W85:W112))</f>
        <v>3944.31416152493</v>
      </c>
      <c r="X117" s="60" t="n">
        <f aca="false">SUMPRODUCT(($B$6:$B$33="Sales")*(X85:X112))</f>
        <v>3925.20801304196</v>
      </c>
      <c r="Y117" s="60" t="n">
        <f aca="false">SUMPRODUCT(($B$6:$B$33="Sales")*(Y85:Y112))</f>
        <v>3906.19441421272</v>
      </c>
      <c r="Z117" s="60" t="n">
        <f aca="false">SUMPRODUCT(($B$6:$B$33="Sales")*(Z85:Z112))</f>
        <v>3887.27291672925</v>
      </c>
      <c r="AA117" s="60" t="n">
        <f aca="false">SUMPRODUCT(($B$6:$B$33="Sales")*(AA85:AA112))</f>
        <v>3868.44307445519</v>
      </c>
      <c r="AB117" s="59" t="n">
        <f aca="false">SUM(AC117:AN117)</f>
        <v>63173.1594908925</v>
      </c>
      <c r="AC117" s="60" t="n">
        <f aca="false">SUMPRODUCT(($B$6:$B$33="Sales")*(AC85:AC112))</f>
        <v>5406.1595962354</v>
      </c>
      <c r="AD117" s="60" t="n">
        <f aca="false">SUMPRODUCT(($B$6:$B$33="Sales")*(AD85:AD112))</f>
        <v>5379.97230898129</v>
      </c>
      <c r="AE117" s="60" t="n">
        <f aca="false">SUMPRODUCT(($B$6:$B$33="Sales")*(AE85:AE112))</f>
        <v>5353.91187222086</v>
      </c>
      <c r="AF117" s="60" t="n">
        <f aca="false">SUMPRODUCT(($B$6:$B$33="Sales")*(AF85:AF112))</f>
        <v>5327.97767149385</v>
      </c>
      <c r="AG117" s="60" t="n">
        <f aca="false">SUMPRODUCT(($B$6:$B$33="Sales")*(AG85:AG112))</f>
        <v>5302.1690953164</v>
      </c>
      <c r="AH117" s="60" t="n">
        <f aca="false">SUMPRODUCT(($B$6:$B$33="Sales")*(AH85:AH112))</f>
        <v>5276.48553516667</v>
      </c>
      <c r="AI117" s="60" t="n">
        <f aca="false">SUMPRODUCT(($B$6:$B$33="Sales")*(AI85:AI112))</f>
        <v>5250.9263854705</v>
      </c>
      <c r="AJ117" s="60" t="n">
        <f aca="false">SUMPRODUCT(($B$6:$B$33="Sales")*(AJ85:AJ112))</f>
        <v>5225.49104358709</v>
      </c>
      <c r="AK117" s="60" t="n">
        <f aca="false">SUMPRODUCT(($B$6:$B$33="Sales")*(AK85:AK112))</f>
        <v>5200.17890979484</v>
      </c>
      <c r="AL117" s="60" t="n">
        <f aca="false">SUMPRODUCT(($B$6:$B$33="Sales")*(AL85:AL112))</f>
        <v>5174.98938727715</v>
      </c>
      <c r="AM117" s="60" t="n">
        <f aca="false">SUMPRODUCT(($B$6:$B$33="Sales")*(AM85:AM112))</f>
        <v>5149.92188210842</v>
      </c>
      <c r="AN117" s="60" t="n">
        <f aca="false">SUMPRODUCT(($B$6:$B$33="Sales")*(AN85:AN112))</f>
        <v>5124.97580323999</v>
      </c>
      <c r="AO117" s="59" t="n">
        <f aca="false">SUM(AP117:BA117)</f>
        <v>87010.6851159634</v>
      </c>
      <c r="AP117" s="60" t="n">
        <f aca="false">SUMPRODUCT(($B$6:$B$33="Sales")*(AP85:AP112))</f>
        <v>7446.09980101594</v>
      </c>
      <c r="AQ117" s="60" t="n">
        <f aca="false">SUMPRODUCT(($B$6:$B$33="Sales")*(AQ85:AQ112))</f>
        <v>7410.03109994618</v>
      </c>
      <c r="AR117" s="60" t="n">
        <f aca="false">SUMPRODUCT(($B$6:$B$33="Sales")*(AR85:AR112))</f>
        <v>7374.13711466478</v>
      </c>
      <c r="AS117" s="60" t="n">
        <f aca="false">SUMPRODUCT(($B$6:$B$33="Sales")*(AS85:AS112))</f>
        <v>7338.41699885329</v>
      </c>
      <c r="AT117" s="60" t="n">
        <f aca="false">SUMPRODUCT(($B$6:$B$33="Sales")*(AT85:AT112))</f>
        <v>7302.86991029282</v>
      </c>
      <c r="AU117" s="60" t="n">
        <f aca="false">SUMPRODUCT(($B$6:$B$33="Sales")*(AU85:AU112))</f>
        <v>7267.49501084416</v>
      </c>
      <c r="AV117" s="60" t="n">
        <f aca="false">SUMPRODUCT(($B$6:$B$33="Sales")*(AV85:AV112))</f>
        <v>7232.29146642802</v>
      </c>
      <c r="AW117" s="60" t="n">
        <f aca="false">SUMPRODUCT(($B$6:$B$33="Sales")*(AW85:AW112))</f>
        <v>7197.25844700538</v>
      </c>
      <c r="AX117" s="60" t="n">
        <f aca="false">SUMPRODUCT(($B$6:$B$33="Sales")*(AX85:AX112))</f>
        <v>7162.39512655789</v>
      </c>
      <c r="AY117" s="60" t="n">
        <f aca="false">SUMPRODUCT(($B$6:$B$33="Sales")*(AY85:AY112))</f>
        <v>7127.70068306842</v>
      </c>
      <c r="AZ117" s="60" t="n">
        <f aca="false">SUMPRODUCT(($B$6:$B$33="Sales")*(AZ85:AZ112))</f>
        <v>7093.17429850167</v>
      </c>
      <c r="BA117" s="60" t="n">
        <f aca="false">SUMPRODUCT(($B$6:$B$33="Sales")*(BA85:BA112))</f>
        <v>7058.81515878488</v>
      </c>
      <c r="BB117" s="59" t="n">
        <f aca="false">SUM(BC117:BN117)</f>
        <v>106336.745158475</v>
      </c>
      <c r="BC117" s="60" t="n">
        <f aca="false">SUMPRODUCT(($B$6:$B$33="Sales")*(BC85:BC112))</f>
        <v>9099.96302074782</v>
      </c>
      <c r="BD117" s="60" t="n">
        <f aca="false">SUMPRODUCT(($B$6:$B$33="Sales")*(BD85:BD112))</f>
        <v>9055.88305207799</v>
      </c>
      <c r="BE117" s="60" t="n">
        <f aca="false">SUMPRODUCT(($B$6:$B$33="Sales")*(BE85:BE112))</f>
        <v>9012.01660555474</v>
      </c>
      <c r="BF117" s="60" t="n">
        <f aca="false">SUMPRODUCT(($B$6:$B$33="Sales")*(BF85:BF112))</f>
        <v>8968.36264688271</v>
      </c>
      <c r="BG117" s="60" t="n">
        <f aca="false">SUMPRODUCT(($B$6:$B$33="Sales")*(BG85:BG112))</f>
        <v>8924.92014677662</v>
      </c>
      <c r="BH117" s="60" t="n">
        <f aca="false">SUMPRODUCT(($B$6:$B$33="Sales")*(BH85:BH112))</f>
        <v>8881.68808093706</v>
      </c>
      <c r="BI117" s="60" t="n">
        <f aca="false">SUMPRODUCT(($B$6:$B$33="Sales")*(BI85:BI112))</f>
        <v>8838.66543002625</v>
      </c>
      <c r="BJ117" s="60" t="n">
        <f aca="false">SUMPRODUCT(($B$6:$B$33="Sales")*(BJ85:BJ112))</f>
        <v>8795.85117964411</v>
      </c>
      <c r="BK117" s="60" t="n">
        <f aca="false">SUMPRODUCT(($B$6:$B$33="Sales")*(BK85:BK112))</f>
        <v>8753.24432030422</v>
      </c>
      <c r="BL117" s="60" t="n">
        <f aca="false">SUMPRODUCT(($B$6:$B$33="Sales")*(BL85:BL112))</f>
        <v>8710.84384741015</v>
      </c>
      <c r="BM117" s="60" t="n">
        <f aca="false">SUMPRODUCT(($B$6:$B$33="Sales")*(BM85:BM112))</f>
        <v>8668.64876123165</v>
      </c>
      <c r="BN117" s="60" t="n">
        <f aca="false">SUMPRODUCT(($B$6:$B$33="Sales")*(BN85:BN112))</f>
        <v>8626.65806688118</v>
      </c>
    </row>
    <row r="118" customFormat="false" ht="15" hidden="false" customHeight="false" outlineLevel="0" collapsed="false">
      <c r="A118" s="4" t="s">
        <v>893</v>
      </c>
      <c r="B118" s="59" t="n">
        <f aca="false">SUM(C118:N118)</f>
        <v>8762.63494063103</v>
      </c>
      <c r="C118" s="60" t="n">
        <f aca="false">SUMPRODUCT(($B$6:$B$33="Partnerships")*(C85:C112))</f>
        <v>749.878640776699</v>
      </c>
      <c r="D118" s="60" t="n">
        <f aca="false">SUMPRODUCT(($B$6:$B$33="Partnerships")*(D85:D112))</f>
        <v>746.246249423433</v>
      </c>
      <c r="E118" s="60" t="n">
        <f aca="false">SUMPRODUCT(($B$6:$B$33="Partnerships")*(E85:E112))</f>
        <v>742.631453273211</v>
      </c>
      <c r="F118" s="60" t="n">
        <f aca="false">SUMPRODUCT(($B$6:$B$33="Partnerships")*(F85:F112))</f>
        <v>739.034167095359</v>
      </c>
      <c r="G118" s="60" t="n">
        <f aca="false">SUMPRODUCT(($B$6:$B$33="Partnerships")*(G85:G112))</f>
        <v>735.454306072054</v>
      </c>
      <c r="H118" s="60" t="n">
        <f aca="false">SUMPRODUCT(($B$6:$B$33="Partnerships")*(H85:H112))</f>
        <v>731.891785796331</v>
      </c>
      <c r="I118" s="60" t="n">
        <f aca="false">SUMPRODUCT(($B$6:$B$33="Partnerships")*(I85:I112))</f>
        <v>728.346522270089</v>
      </c>
      <c r="J118" s="60" t="n">
        <f aca="false">SUMPRODUCT(($B$6:$B$33="Partnerships")*(J85:J112))</f>
        <v>724.818431902113</v>
      </c>
      <c r="K118" s="60" t="n">
        <f aca="false">SUMPRODUCT(($B$6:$B$33="Partnerships")*(K85:K112))</f>
        <v>721.307431506099</v>
      </c>
      <c r="L118" s="60" t="n">
        <f aca="false">SUMPRODUCT(($B$6:$B$33="Partnerships")*(L85:L112))</f>
        <v>717.813438298698</v>
      </c>
      <c r="M118" s="60" t="n">
        <f aca="false">SUMPRODUCT(($B$6:$B$33="Partnerships")*(M85:M112))</f>
        <v>714.336369897558</v>
      </c>
      <c r="N118" s="60" t="n">
        <f aca="false">SUMPRODUCT(($B$6:$B$33="Partnerships")*(N85:N112))</f>
        <v>710.876144319387</v>
      </c>
      <c r="O118" s="59" t="n">
        <f aca="false">SUM(P118:AA118)</f>
        <v>9281.87177244547</v>
      </c>
      <c r="P118" s="60" t="n">
        <f aca="false">SUMPRODUCT(($B$6:$B$33="Partnerships")*(P85:P112))</f>
        <v>794.31328997985</v>
      </c>
      <c r="Q118" s="60" t="n">
        <f aca="false">SUMPRODUCT(($B$6:$B$33="Partnerships")*(Q85:Q112))</f>
        <v>790.465658417336</v>
      </c>
      <c r="R118" s="60" t="n">
        <f aca="false">SUMPRODUCT(($B$6:$B$33="Partnerships")*(R85:R112))</f>
        <v>786.636664675476</v>
      </c>
      <c r="S118" s="60" t="n">
        <f aca="false">SUMPRODUCT(($B$6:$B$33="Partnerships")*(S85:S112))</f>
        <v>782.826218473181</v>
      </c>
      <c r="T118" s="60" t="n">
        <f aca="false">SUMPRODUCT(($B$6:$B$33="Partnerships")*(T85:T112))</f>
        <v>779.034229966685</v>
      </c>
      <c r="U118" s="60" t="n">
        <f aca="false">SUMPRODUCT(($B$6:$B$33="Partnerships")*(U85:U112))</f>
        <v>775.260609747421</v>
      </c>
      <c r="V118" s="60" t="n">
        <f aca="false">SUMPRODUCT(($B$6:$B$33="Partnerships")*(V85:V112))</f>
        <v>771.505268839914</v>
      </c>
      <c r="W118" s="60" t="n">
        <f aca="false">SUMPRODUCT(($B$6:$B$33="Partnerships")*(W85:W112))</f>
        <v>767.768118699685</v>
      </c>
      <c r="X118" s="60" t="n">
        <f aca="false">SUMPRODUCT(($B$6:$B$33="Partnerships")*(X85:X112))</f>
        <v>764.049071211161</v>
      </c>
      <c r="Y118" s="60" t="n">
        <f aca="false">SUMPRODUCT(($B$6:$B$33="Partnerships")*(Y85:Y112))</f>
        <v>760.3480386856</v>
      </c>
      <c r="Z118" s="60" t="n">
        <f aca="false">SUMPRODUCT(($B$6:$B$33="Partnerships")*(Z85:Z112))</f>
        <v>756.664933859019</v>
      </c>
      <c r="AA118" s="60" t="n">
        <f aca="false">SUMPRODUCT(($B$6:$B$33="Partnerships")*(AA85:AA112))</f>
        <v>752.999669890142</v>
      </c>
      <c r="AB118" s="59" t="n">
        <f aca="false">SUM(AC118:AN118)</f>
        <v>19664.9449186998</v>
      </c>
      <c r="AC118" s="60" t="n">
        <f aca="false">SUMPRODUCT(($B$6:$B$33="Partnerships")*(AC85:AC112))</f>
        <v>1682.86391781617</v>
      </c>
      <c r="AD118" s="60" t="n">
        <f aca="false">SUMPRODUCT(($B$6:$B$33="Partnerships")*(AD85:AD112))</f>
        <v>1674.71217163833</v>
      </c>
      <c r="AE118" s="60" t="n">
        <f aca="false">SUMPRODUCT(($B$6:$B$33="Partnerships")*(AE85:AE112))</f>
        <v>1666.59991229305</v>
      </c>
      <c r="AF118" s="60" t="n">
        <f aca="false">SUMPRODUCT(($B$6:$B$33="Partnerships")*(AF85:AF112))</f>
        <v>1658.5269485072</v>
      </c>
      <c r="AG118" s="60" t="n">
        <f aca="false">SUMPRODUCT(($B$6:$B$33="Partnerships")*(AG85:AG112))</f>
        <v>1650.4930899342</v>
      </c>
      <c r="AH118" s="60" t="n">
        <f aca="false">SUMPRODUCT(($B$6:$B$33="Partnerships")*(AH85:AH112))</f>
        <v>1642.49814714947</v>
      </c>
      <c r="AI118" s="60" t="n">
        <f aca="false">SUMPRODUCT(($B$6:$B$33="Partnerships")*(AI85:AI112))</f>
        <v>1634.54193164601</v>
      </c>
      <c r="AJ118" s="60" t="n">
        <f aca="false">SUMPRODUCT(($B$6:$B$33="Partnerships")*(AJ85:AJ112))</f>
        <v>1626.62425582994</v>
      </c>
      <c r="AK118" s="60" t="n">
        <f aca="false">SUMPRODUCT(($B$6:$B$33="Partnerships")*(AK85:AK112))</f>
        <v>1618.74493301609</v>
      </c>
      <c r="AL118" s="60" t="n">
        <f aca="false">SUMPRODUCT(($B$6:$B$33="Partnerships")*(AL85:AL112))</f>
        <v>1610.90377742358</v>
      </c>
      <c r="AM118" s="60" t="n">
        <f aca="false">SUMPRODUCT(($B$6:$B$33="Partnerships")*(AM85:AM112))</f>
        <v>1603.10060417144</v>
      </c>
      <c r="AN118" s="60" t="n">
        <f aca="false">SUMPRODUCT(($B$6:$B$33="Partnerships")*(AN85:AN112))</f>
        <v>1595.33522927428</v>
      </c>
      <c r="AO118" s="59" t="n">
        <f aca="false">SUM(AP118:BA118)</f>
        <v>20832.759680986</v>
      </c>
      <c r="AP118" s="60" t="n">
        <f aca="false">SUMPRODUCT(($B$6:$B$33="Partnerships")*(AP85:AP112))</f>
        <v>1782.80181920718</v>
      </c>
      <c r="AQ118" s="60" t="n">
        <f aca="false">SUMPRODUCT(($B$6:$B$33="Partnerships")*(AQ85:AQ112))</f>
        <v>1774.16597660474</v>
      </c>
      <c r="AR118" s="60" t="n">
        <f aca="false">SUMPRODUCT(($B$6:$B$33="Partnerships")*(AR85:AR112))</f>
        <v>1765.57196578453</v>
      </c>
      <c r="AS118" s="60" t="n">
        <f aca="false">SUMPRODUCT(($B$6:$B$33="Partnerships")*(AS85:AS112))</f>
        <v>1757.01958411456</v>
      </c>
      <c r="AT118" s="60" t="n">
        <f aca="false">SUMPRODUCT(($B$6:$B$33="Partnerships")*(AT85:AT112))</f>
        <v>1748.50862994436</v>
      </c>
      <c r="AU118" s="60" t="n">
        <f aca="false">SUMPRODUCT(($B$6:$B$33="Partnerships")*(AU85:AU112))</f>
        <v>1740.03890260029</v>
      </c>
      <c r="AV118" s="60" t="n">
        <f aca="false">SUMPRODUCT(($B$6:$B$33="Partnerships")*(AV85:AV112))</f>
        <v>1731.61020238074</v>
      </c>
      <c r="AW118" s="60" t="n">
        <f aca="false">SUMPRODUCT(($B$6:$B$33="Partnerships")*(AW85:AW112))</f>
        <v>1723.22233055145</v>
      </c>
      <c r="AX118" s="60" t="n">
        <f aca="false">SUMPRODUCT(($B$6:$B$33="Partnerships")*(AX85:AX112))</f>
        <v>1714.87508934084</v>
      </c>
      <c r="AY118" s="60" t="n">
        <f aca="false">SUMPRODUCT(($B$6:$B$33="Partnerships")*(AY85:AY112))</f>
        <v>1706.56828193531</v>
      </c>
      <c r="AZ118" s="60" t="n">
        <f aca="false">SUMPRODUCT(($B$6:$B$33="Partnerships")*(AZ85:AZ112))</f>
        <v>1698.30171247463</v>
      </c>
      <c r="BA118" s="60" t="n">
        <f aca="false">SUMPRODUCT(($B$6:$B$33="Partnerships")*(BA85:BA112))</f>
        <v>1690.07518604731</v>
      </c>
      <c r="BB118" s="59" t="n">
        <f aca="false">SUM(BC118:BN118)</f>
        <v>33106.9828530213</v>
      </c>
      <c r="BC118" s="60" t="n">
        <f aca="false">SUMPRODUCT(($B$6:$B$33="Partnerships")*(BC85:BC112))</f>
        <v>2833.19109722643</v>
      </c>
      <c r="BD118" s="60" t="n">
        <f aca="false">SUMPRODUCT(($B$6:$B$33="Partnerships")*(BD85:BD112))</f>
        <v>2819.46719807248</v>
      </c>
      <c r="BE118" s="60" t="n">
        <f aca="false">SUMPRODUCT(($B$6:$B$33="Partnerships")*(BE85:BE112))</f>
        <v>2805.80977710569</v>
      </c>
      <c r="BF118" s="60" t="n">
        <f aca="false">SUMPRODUCT(($B$6:$B$33="Partnerships")*(BF85:BF112))</f>
        <v>2792.21851230754</v>
      </c>
      <c r="BG118" s="60" t="n">
        <f aca="false">SUMPRODUCT(($B$6:$B$33="Partnerships")*(BG85:BG112))</f>
        <v>2778.69308321941</v>
      </c>
      <c r="BH118" s="60" t="n">
        <f aca="false">SUMPRODUCT(($B$6:$B$33="Partnerships")*(BH85:BH112))</f>
        <v>2765.23317093492</v>
      </c>
      <c r="BI118" s="60" t="n">
        <f aca="false">SUMPRODUCT(($B$6:$B$33="Partnerships")*(BI85:BI112))</f>
        <v>2751.8384580925</v>
      </c>
      <c r="BJ118" s="60" t="n">
        <f aca="false">SUMPRODUCT(($B$6:$B$33="Partnerships")*(BJ85:BJ112))</f>
        <v>2738.50862886785</v>
      </c>
      <c r="BK118" s="60" t="n">
        <f aca="false">SUMPRODUCT(($B$6:$B$33="Partnerships")*(BK85:BK112))</f>
        <v>2725.24336896654</v>
      </c>
      <c r="BL118" s="60" t="n">
        <f aca="false">SUMPRODUCT(($B$6:$B$33="Partnerships")*(BL85:BL112))</f>
        <v>2712.04236561655</v>
      </c>
      <c r="BM118" s="60" t="n">
        <f aca="false">SUMPRODUCT(($B$6:$B$33="Partnerships")*(BM85:BM112))</f>
        <v>2698.90530756093</v>
      </c>
      <c r="BN118" s="60" t="n">
        <f aca="false">SUMPRODUCT(($B$6:$B$33="Partnerships")*(BN85:BN112))</f>
        <v>2685.83188505043</v>
      </c>
    </row>
    <row r="119" customFormat="false" ht="15" hidden="false" customHeight="false" outlineLevel="0" collapsed="false">
      <c r="A119" s="4" t="s">
        <v>894</v>
      </c>
      <c r="B119" s="59" t="n">
        <f aca="false">SUM(C119:N119)</f>
        <v>29378.013502203</v>
      </c>
      <c r="C119" s="60" t="n">
        <f aca="false">SUMPRODUCT(($B$6:$B$33="Marketing")*(C85:C112))</f>
        <v>2514.07766990291</v>
      </c>
      <c r="D119" s="60" t="n">
        <f aca="false">SUMPRODUCT(($B$6:$B$33="Marketing")*(D85:D112))</f>
        <v>2501.89954734679</v>
      </c>
      <c r="E119" s="60" t="n">
        <f aca="false">SUMPRODUCT(($B$6:$B$33="Marketing")*(E85:E112))</f>
        <v>2489.78041527882</v>
      </c>
      <c r="F119" s="60" t="n">
        <f aca="false">SUMPRODUCT(($B$6:$B$33="Marketing")*(F85:F112))</f>
        <v>2477.71998795071</v>
      </c>
      <c r="G119" s="60" t="n">
        <f aca="false">SUMPRODUCT(($B$6:$B$33="Marketing")*(G85:G112))</f>
        <v>2465.71798099833</v>
      </c>
      <c r="H119" s="60" t="n">
        <f aca="false">SUMPRODUCT(($B$6:$B$33="Marketing")*(H85:H112))</f>
        <v>2453.77411143499</v>
      </c>
      <c r="I119" s="60" t="n">
        <f aca="false">SUMPRODUCT(($B$6:$B$33="Marketing")*(I85:I112))</f>
        <v>2441.88809764479</v>
      </c>
      <c r="J119" s="60" t="n">
        <f aca="false">SUMPRODUCT(($B$6:$B$33="Marketing")*(J85:J112))</f>
        <v>2430.05965937598</v>
      </c>
      <c r="K119" s="60" t="n">
        <f aca="false">SUMPRODUCT(($B$6:$B$33="Marketing")*(K85:K112))</f>
        <v>2418.28851773432</v>
      </c>
      <c r="L119" s="60" t="n">
        <f aca="false">SUMPRODUCT(($B$6:$B$33="Marketing")*(L85:L112))</f>
        <v>2406.57439517654</v>
      </c>
      <c r="M119" s="60" t="n">
        <f aca="false">SUMPRODUCT(($B$6:$B$33="Marketing")*(M85:M112))</f>
        <v>2394.91701550377</v>
      </c>
      <c r="N119" s="60" t="n">
        <f aca="false">SUMPRODUCT(($B$6:$B$33="Marketing")*(N85:N112))</f>
        <v>2383.31610385506</v>
      </c>
      <c r="O119" s="59" t="n">
        <f aca="false">SUM(P119:AA119)</f>
        <v>39217.0236793296</v>
      </c>
      <c r="P119" s="60" t="n">
        <f aca="false">SUMPRODUCT(($B$6:$B$33="Marketing")*(P85:P112))</f>
        <v>3356.06910606338</v>
      </c>
      <c r="Q119" s="60" t="n">
        <f aca="false">SUMPRODUCT(($B$6:$B$33="Marketing")*(Q85:Q112))</f>
        <v>3339.81240032604</v>
      </c>
      <c r="R119" s="60" t="n">
        <f aca="false">SUMPRODUCT(($B$6:$B$33="Marketing")*(R85:R112))</f>
        <v>3323.63444162073</v>
      </c>
      <c r="S119" s="60" t="n">
        <f aca="false">SUMPRODUCT(($B$6:$B$33="Marketing")*(S85:S112))</f>
        <v>3307.53484849903</v>
      </c>
      <c r="T119" s="60" t="n">
        <f aca="false">SUMPRODUCT(($B$6:$B$33="Marketing")*(T85:T112))</f>
        <v>3291.51324136021</v>
      </c>
      <c r="U119" s="60" t="n">
        <f aca="false">SUMPRODUCT(($B$6:$B$33="Marketing")*(U85:U112))</f>
        <v>3275.56924244234</v>
      </c>
      <c r="V119" s="60" t="n">
        <f aca="false">SUMPRODUCT(($B$6:$B$33="Marketing")*(V85:V112))</f>
        <v>3259.70247581334</v>
      </c>
      <c r="W119" s="60" t="n">
        <f aca="false">SUMPRODUCT(($B$6:$B$33="Marketing")*(W85:W112))</f>
        <v>3243.91256736216</v>
      </c>
      <c r="X119" s="60" t="n">
        <f aca="false">SUMPRODUCT(($B$6:$B$33="Marketing")*(X85:X112))</f>
        <v>3228.1991447899</v>
      </c>
      <c r="Y119" s="60" t="n">
        <f aca="false">SUMPRODUCT(($B$6:$B$33="Marketing")*(Y85:Y112))</f>
        <v>3212.56183760108</v>
      </c>
      <c r="Z119" s="60" t="n">
        <f aca="false">SUMPRODUCT(($B$6:$B$33="Marketing")*(Z85:Z112))</f>
        <v>3197.00027709491</v>
      </c>
      <c r="AA119" s="60" t="n">
        <f aca="false">SUMPRODUCT(($B$6:$B$33="Marketing")*(AA85:AA112))</f>
        <v>3181.51409635654</v>
      </c>
      <c r="AB119" s="59" t="n">
        <f aca="false">SUM(AC119:AN119)</f>
        <v>48862.236762583</v>
      </c>
      <c r="AC119" s="60" t="n">
        <f aca="false">SUMPRODUCT(($B$6:$B$33="Marketing")*(AC85:AC112))</f>
        <v>4181.47599861057</v>
      </c>
      <c r="AD119" s="60" t="n">
        <f aca="false">SUMPRODUCT(($B$6:$B$33="Marketing")*(AD85:AD112))</f>
        <v>4161.22104476162</v>
      </c>
      <c r="AE119" s="60" t="n">
        <f aca="false">SUMPRODUCT(($B$6:$B$33="Marketing")*(AE85:AE112))</f>
        <v>4141.06420534776</v>
      </c>
      <c r="AF119" s="60" t="n">
        <f aca="false">SUMPRODUCT(($B$6:$B$33="Marketing")*(AF85:AF112))</f>
        <v>4121.00500510538</v>
      </c>
      <c r="AG119" s="60" t="n">
        <f aca="false">SUMPRODUCT(($B$6:$B$33="Marketing")*(AG85:AG112))</f>
        <v>4101.04297107304</v>
      </c>
      <c r="AH119" s="60" t="n">
        <f aca="false">SUMPRODUCT(($B$6:$B$33="Marketing")*(AH85:AH112))</f>
        <v>4081.1776325803</v>
      </c>
      <c r="AI119" s="60" t="n">
        <f aca="false">SUMPRODUCT(($B$6:$B$33="Marketing")*(AI85:AI112))</f>
        <v>4061.40852123667</v>
      </c>
      <c r="AJ119" s="60" t="n">
        <f aca="false">SUMPRODUCT(($B$6:$B$33="Marketing")*(AJ85:AJ112))</f>
        <v>4041.73517092049</v>
      </c>
      <c r="AK119" s="60" t="n">
        <f aca="false">SUMPRODUCT(($B$6:$B$33="Marketing")*(AK85:AK112))</f>
        <v>4022.157117768</v>
      </c>
      <c r="AL119" s="60" t="n">
        <f aca="false">SUMPRODUCT(($B$6:$B$33="Marketing")*(AL85:AL112))</f>
        <v>4002.67390016238</v>
      </c>
      <c r="AM119" s="60" t="n">
        <f aca="false">SUMPRODUCT(($B$6:$B$33="Marketing")*(AM85:AM112))</f>
        <v>3983.28505872287</v>
      </c>
      <c r="AN119" s="60" t="n">
        <f aca="false">SUMPRODUCT(($B$6:$B$33="Marketing")*(AN85:AN112))</f>
        <v>3963.99013629394</v>
      </c>
      <c r="AO119" s="59" t="n">
        <f aca="false">SUM(AP119:BA119)</f>
        <v>68610.0944692127</v>
      </c>
      <c r="AP119" s="60" t="n">
        <f aca="false">SUMPRODUCT(($B$6:$B$33="Marketing")*(AP85:AP112))</f>
        <v>5871.43533112074</v>
      </c>
      <c r="AQ119" s="60" t="n">
        <f aca="false">SUMPRODUCT(($B$6:$B$33="Marketing")*(AQ85:AQ112))</f>
        <v>5842.99426110182</v>
      </c>
      <c r="AR119" s="60" t="n">
        <f aca="false">SUMPRODUCT(($B$6:$B$33="Marketing")*(AR85:AR112))</f>
        <v>5814.69095883783</v>
      </c>
      <c r="AS119" s="60" t="n">
        <f aca="false">SUMPRODUCT(($B$6:$B$33="Marketing")*(AS85:AS112))</f>
        <v>5786.5247569856</v>
      </c>
      <c r="AT119" s="60" t="n">
        <f aca="false">SUMPRODUCT(($B$6:$B$33="Marketing")*(AT85:AT112))</f>
        <v>5758.49499143451</v>
      </c>
      <c r="AU119" s="60" t="n">
        <f aca="false">SUMPRODUCT(($B$6:$B$33="Marketing")*(AU85:AU112))</f>
        <v>5730.60100129092</v>
      </c>
      <c r="AV119" s="60" t="n">
        <f aca="false">SUMPRODUCT(($B$6:$B$33="Marketing")*(AV85:AV112))</f>
        <v>5702.84212886252</v>
      </c>
      <c r="AW119" s="60" t="n">
        <f aca="false">SUMPRODUCT(($B$6:$B$33="Marketing")*(AW85:AW112))</f>
        <v>5675.21771964282</v>
      </c>
      <c r="AX119" s="60" t="n">
        <f aca="false">SUMPRODUCT(($B$6:$B$33="Marketing")*(AX85:AX112))</f>
        <v>5647.72712229579</v>
      </c>
      <c r="AY119" s="60" t="n">
        <f aca="false">SUMPRODUCT(($B$6:$B$33="Marketing")*(AY85:AY112))</f>
        <v>5620.36968864041</v>
      </c>
      <c r="AZ119" s="60" t="n">
        <f aca="false">SUMPRODUCT(($B$6:$B$33="Marketing")*(AZ85:AZ112))</f>
        <v>5593.14477363546</v>
      </c>
      <c r="BA119" s="60" t="n">
        <f aca="false">SUMPRODUCT(($B$6:$B$33="Marketing")*(BA85:BA112))</f>
        <v>5566.05173536426</v>
      </c>
      <c r="BB119" s="59" t="n">
        <f aca="false">SUM(BC119:BN119)</f>
        <v>80938.7059905487</v>
      </c>
      <c r="BC119" s="60" t="n">
        <f aca="false">SUMPRODUCT(($B$6:$B$33="Marketing")*(BC85:BC112))</f>
        <v>6926.47899240759</v>
      </c>
      <c r="BD119" s="60" t="n">
        <f aca="false">SUMPRODUCT(($B$6:$B$33="Marketing")*(BD85:BD112))</f>
        <v>6892.9273201336</v>
      </c>
      <c r="BE119" s="60" t="n">
        <f aca="false">SUMPRODUCT(($B$6:$B$33="Marketing")*(BE85:BE112))</f>
        <v>6859.53817123024</v>
      </c>
      <c r="BF119" s="60" t="n">
        <f aca="false">SUMPRODUCT(($B$6:$B$33="Marketing")*(BF85:BF112))</f>
        <v>6826.31075843879</v>
      </c>
      <c r="BG119" s="60" t="n">
        <f aca="false">SUMPRODUCT(($B$6:$B$33="Marketing")*(BG85:BG112))</f>
        <v>6793.24429831402</v>
      </c>
      <c r="BH119" s="60" t="n">
        <f aca="false">SUMPRODUCT(($B$6:$B$33="Marketing")*(BH85:BH112))</f>
        <v>6760.33801120567</v>
      </c>
      <c r="BI119" s="60" t="n">
        <f aca="false">SUMPRODUCT(($B$6:$B$33="Marketing")*(BI85:BI112))</f>
        <v>6727.59112124008</v>
      </c>
      <c r="BJ119" s="60" t="n">
        <f aca="false">SUMPRODUCT(($B$6:$B$33="Marketing")*(BJ85:BJ112))</f>
        <v>6695.00285630191</v>
      </c>
      <c r="BK119" s="60" t="n">
        <f aca="false">SUMPRODUCT(($B$6:$B$33="Marketing")*(BK85:BK112))</f>
        <v>6662.57244801593</v>
      </c>
      <c r="BL119" s="60" t="n">
        <f aca="false">SUMPRODUCT(($B$6:$B$33="Marketing")*(BL85:BL112))</f>
        <v>6630.29913172889</v>
      </c>
      <c r="BM119" s="60" t="n">
        <f aca="false">SUMPRODUCT(($B$6:$B$33="Marketing")*(BM85:BM112))</f>
        <v>6598.1821464915</v>
      </c>
      <c r="BN119" s="60" t="n">
        <f aca="false">SUMPRODUCT(($B$6:$B$33="Marketing")*(BN85:BN112))</f>
        <v>6566.22073504049</v>
      </c>
    </row>
    <row r="120" customFormat="false" ht="15" hidden="false" customHeight="false" outlineLevel="0" collapsed="false">
      <c r="A120" s="4" t="s">
        <v>895</v>
      </c>
      <c r="B120" s="59" t="n">
        <f aca="false">SUM(C120:N120)</f>
        <v>16845.9848615886</v>
      </c>
      <c r="C120" s="60" t="n">
        <f aca="false">SUMPRODUCT(($B$6:$B$33="Customer")*(C85:C112))</f>
        <v>1441.62621359223</v>
      </c>
      <c r="D120" s="60" t="n">
        <f aca="false">SUMPRODUCT(($B$6:$B$33="Customer")*(D85:D112))</f>
        <v>1434.64301616782</v>
      </c>
      <c r="E120" s="60" t="n">
        <f aca="false">SUMPRODUCT(($B$6:$B$33="Customer")*(E85:E112))</f>
        <v>1427.69364515819</v>
      </c>
      <c r="F120" s="60" t="n">
        <f aca="false">SUMPRODUCT(($B$6:$B$33="Customer")*(F85:F112))</f>
        <v>1420.77793670914</v>
      </c>
      <c r="G120" s="60" t="n">
        <f aca="false">SUMPRODUCT(($B$6:$B$33="Customer")*(G85:G112))</f>
        <v>1413.89572776014</v>
      </c>
      <c r="H120" s="60" t="n">
        <f aca="false">SUMPRODUCT(($B$6:$B$33="Customer")*(H85:H112))</f>
        <v>1407.04685604056</v>
      </c>
      <c r="I120" s="60" t="n">
        <f aca="false">SUMPRODUCT(($B$6:$B$33="Customer")*(I85:I112))</f>
        <v>1400.23116006577</v>
      </c>
      <c r="J120" s="60" t="n">
        <f aca="false">SUMPRODUCT(($B$6:$B$33="Customer")*(J85:J112))</f>
        <v>1393.44847913339</v>
      </c>
      <c r="K120" s="60" t="n">
        <f aca="false">SUMPRODUCT(($B$6:$B$33="Customer")*(K85:K112))</f>
        <v>1386.69865331946</v>
      </c>
      <c r="L120" s="60" t="n">
        <f aca="false">SUMPRODUCT(($B$6:$B$33="Customer")*(L85:L112))</f>
        <v>1379.98152347471</v>
      </c>
      <c r="M120" s="60" t="n">
        <f aca="false">SUMPRODUCT(($B$6:$B$33="Customer")*(M85:M112))</f>
        <v>1373.29693122076</v>
      </c>
      <c r="N120" s="60" t="n">
        <f aca="false">SUMPRODUCT(($B$6:$B$33="Customer")*(N85:N112))</f>
        <v>1366.64471894643</v>
      </c>
      <c r="O120" s="59" t="n">
        <f aca="false">SUM(P120:AA120)</f>
        <v>40855.3238999154</v>
      </c>
      <c r="P120" s="60" t="n">
        <f aca="false">SUMPRODUCT(($B$6:$B$33="Customer")*(P85:P112))</f>
        <v>2845.26699029126</v>
      </c>
      <c r="Q120" s="60" t="n">
        <f aca="false">SUMPRODUCT(($B$6:$B$33="Customer")*(Q85:Q112))</f>
        <v>2831.48459584599</v>
      </c>
      <c r="R120" s="60" t="n">
        <f aca="false">SUMPRODUCT(($B$6:$B$33="Customer")*(R85:R112))</f>
        <v>2817.76896293744</v>
      </c>
      <c r="S120" s="60" t="n">
        <f aca="false">SUMPRODUCT(($B$6:$B$33="Customer")*(S85:S112))</f>
        <v>2804.11976817457</v>
      </c>
      <c r="T120" s="60" t="n">
        <f aca="false">SUMPRODUCT(($B$6:$B$33="Customer")*(T85:T112))</f>
        <v>3148.95857288882</v>
      </c>
      <c r="U120" s="60" t="n">
        <f aca="false">SUMPRODUCT(($B$6:$B$33="Customer")*(U85:U112))</f>
        <v>3133.70510483417</v>
      </c>
      <c r="V120" s="60" t="n">
        <f aca="false">SUMPRODUCT(($B$6:$B$33="Customer")*(V85:V112))</f>
        <v>3690.75617020053</v>
      </c>
      <c r="W120" s="60" t="n">
        <f aca="false">SUMPRODUCT(($B$6:$B$33="Customer")*(W85:W112))</f>
        <v>3672.87824960026</v>
      </c>
      <c r="X120" s="60" t="n">
        <f aca="false">SUMPRODUCT(($B$6:$B$33="Customer")*(X85:X112))</f>
        <v>4006.61436709102</v>
      </c>
      <c r="Y120" s="60" t="n">
        <f aca="false">SUMPRODUCT(($B$6:$B$33="Customer")*(Y85:Y112))</f>
        <v>3987.20643813892</v>
      </c>
      <c r="Z120" s="60" t="n">
        <f aca="false">SUMPRODUCT(($B$6:$B$33="Customer")*(Z85:Z112))</f>
        <v>3967.89252065677</v>
      </c>
      <c r="AA120" s="60" t="n">
        <f aca="false">SUMPRODUCT(($B$6:$B$33="Customer")*(AA85:AA112))</f>
        <v>3948.67215925563</v>
      </c>
      <c r="AB120" s="59" t="n">
        <f aca="false">SUM(AC120:AN120)</f>
        <v>83941.9593753026</v>
      </c>
      <c r="AC120" s="60" t="n">
        <f aca="false">SUMPRODUCT(($B$6:$B$33="Customer")*(AC85:AC112))</f>
        <v>5804.49089611409</v>
      </c>
      <c r="AD120" s="60" t="n">
        <f aca="false">SUMPRODUCT(($B$6:$B$33="Customer")*(AD85:AD112))</f>
        <v>5776.37410308299</v>
      </c>
      <c r="AE120" s="60" t="n">
        <f aca="false">SUMPRODUCT(($B$6:$B$33="Customer")*(AE85:AE112))</f>
        <v>5748.39350701809</v>
      </c>
      <c r="AF120" s="60" t="n">
        <f aca="false">SUMPRODUCT(($B$6:$B$33="Customer")*(AF85:AF112))</f>
        <v>6101.10175212041</v>
      </c>
      <c r="AG120" s="60" t="n">
        <f aca="false">SUMPRODUCT(($B$6:$B$33="Customer")*(AG85:AG112))</f>
        <v>6684.18565460801</v>
      </c>
      <c r="AH120" s="60" t="n">
        <f aca="false">SUMPRODUCT(($B$6:$B$33="Customer")*(AH85:AH112))</f>
        <v>6651.80764454724</v>
      </c>
      <c r="AI120" s="60" t="n">
        <f aca="false">SUMPRODUCT(($B$6:$B$33="Customer")*(AI85:AI112))</f>
        <v>7369.68623206012</v>
      </c>
      <c r="AJ120" s="60" t="n">
        <f aca="false">SUMPRODUCT(($B$6:$B$33="Customer")*(AJ85:AJ112))</f>
        <v>7333.98767620061</v>
      </c>
      <c r="AK120" s="60" t="n">
        <f aca="false">SUMPRODUCT(($B$6:$B$33="Customer")*(AK85:AK112))</f>
        <v>7899.31508934429</v>
      </c>
      <c r="AL120" s="60" t="n">
        <f aca="false">SUMPRODUCT(($B$6:$B$33="Customer")*(AL85:AL112))</f>
        <v>8230.67706996435</v>
      </c>
      <c r="AM120" s="60" t="n">
        <f aca="false">SUMPRODUCT(($B$6:$B$33="Customer")*(AM85:AM112))</f>
        <v>8190.80789834813</v>
      </c>
      <c r="AN120" s="60" t="n">
        <f aca="false">SUMPRODUCT(($B$6:$B$33="Customer")*(AN85:AN112))</f>
        <v>8151.13185189426</v>
      </c>
      <c r="AO120" s="59" t="n">
        <f aca="false">SUM(AP120:BA120)</f>
        <v>157880.996162657</v>
      </c>
      <c r="AP120" s="60" t="n">
        <f aca="false">SUMPRODUCT(($B$6:$B$33="Customer")*(AP85:AP112))</f>
        <v>10577.4302257423</v>
      </c>
      <c r="AQ120" s="60" t="n">
        <f aca="false">SUMPRODUCT(($B$6:$B$33="Customer")*(AQ85:AQ112))</f>
        <v>10932.2114570102</v>
      </c>
      <c r="AR120" s="60" t="n">
        <f aca="false">SUMPRODUCT(($B$6:$B$33="Customer")*(AR85:AR112))</f>
        <v>11535.2063098057</v>
      </c>
      <c r="AS120" s="60" t="n">
        <f aca="false">SUMPRODUCT(($B$6:$B$33="Customer")*(AS85:AS112))</f>
        <v>11881.424147124</v>
      </c>
      <c r="AT120" s="60" t="n">
        <f aca="false">SUMPRODUCT(($B$6:$B$33="Customer")*(AT85:AT112))</f>
        <v>12473.4816222097</v>
      </c>
      <c r="AU120" s="60" t="n">
        <f aca="false">SUMPRODUCT(($B$6:$B$33="Customer")*(AU85:AU112))</f>
        <v>12811.2684497446</v>
      </c>
      <c r="AV120" s="60" t="n">
        <f aca="false">SUMPRODUCT(($B$6:$B$33="Customer")*(AV85:AV112))</f>
        <v>13541.7692567713</v>
      </c>
      <c r="AW120" s="60" t="n">
        <f aca="false">SUMPRODUCT(($B$6:$B$33="Customer")*(AW85:AW112))</f>
        <v>14116.3896302435</v>
      </c>
      <c r="AX120" s="60" t="n">
        <f aca="false">SUMPRODUCT(($B$6:$B$33="Customer")*(AX85:AX112))</f>
        <v>14440.4595164631</v>
      </c>
      <c r="AY120" s="60" t="n">
        <f aca="false">SUMPRODUCT(($B$6:$B$33="Customer")*(AY85:AY112))</f>
        <v>15004.5393010003</v>
      </c>
      <c r="AZ120" s="60" t="n">
        <f aca="false">SUMPRODUCT(($B$6:$B$33="Customer")*(AZ85:AZ112))</f>
        <v>15320.5141963531</v>
      </c>
      <c r="BA120" s="60" t="n">
        <f aca="false">SUMPRODUCT(($B$6:$B$33="Customer")*(BA85:BA112))</f>
        <v>15246.3020501894</v>
      </c>
      <c r="BB120" s="59" t="n">
        <f aca="false">SUM(BC120:BN120)</f>
        <v>275383.435470464</v>
      </c>
      <c r="BC120" s="60" t="n">
        <f aca="false">SUMPRODUCT(($B$6:$B$33="Customer")*(BC85:BC112))</f>
        <v>18585.6366629517</v>
      </c>
      <c r="BD120" s="60" t="n">
        <f aca="false">SUMPRODUCT(($B$6:$B$33="Customer")*(BD85:BD112))</f>
        <v>19623.5887190441</v>
      </c>
      <c r="BE120" s="60" t="n">
        <f aca="false">SUMPRODUCT(($B$6:$B$33="Customer")*(BE85:BE112))</f>
        <v>20651.049058517</v>
      </c>
      <c r="BF120" s="60" t="n">
        <f aca="false">SUMPRODUCT(($B$6:$B$33="Customer")*(BF85:BF112))</f>
        <v>20551.015949215</v>
      </c>
      <c r="BG120" s="60" t="n">
        <f aca="false">SUMPRODUCT(($B$6:$B$33="Customer")*(BG85:BG112))</f>
        <v>21563.1353184523</v>
      </c>
      <c r="BH120" s="60" t="n">
        <f aca="false">SUMPRODUCT(($B$6:$B$33="Customer")*(BH85:BH112))</f>
        <v>22564.9671209162</v>
      </c>
      <c r="BI120" s="60" t="n">
        <f aca="false">SUMPRODUCT(($B$6:$B$33="Customer")*(BI85:BI112))</f>
        <v>23975.2972851957</v>
      </c>
      <c r="BJ120" s="60" t="n">
        <f aca="false">SUMPRODUCT(($B$6:$B$33="Customer")*(BJ85:BJ112))</f>
        <v>23859.1616096142</v>
      </c>
      <c r="BK120" s="60" t="n">
        <f aca="false">SUMPRODUCT(($B$6:$B$33="Customer")*(BK85:BK112))</f>
        <v>24833.8728592723</v>
      </c>
      <c r="BL120" s="60" t="n">
        <f aca="false">SUMPRODUCT(($B$6:$B$33="Customer")*(BL85:BL112))</f>
        <v>25798.5813273928</v>
      </c>
      <c r="BM120" s="60" t="n">
        <f aca="false">SUMPRODUCT(($B$6:$B$33="Customer")*(BM85:BM112))</f>
        <v>26753.3610496782</v>
      </c>
      <c r="BN120" s="60" t="n">
        <f aca="false">SUMPRODUCT(($B$6:$B$33="Customer")*(BN85:BN112))</f>
        <v>26623.7685102148</v>
      </c>
    </row>
    <row r="121" customFormat="false" ht="15" hidden="false" customHeight="false" outlineLevel="0" collapsed="false">
      <c r="A121" s="4" t="s">
        <v>896</v>
      </c>
      <c r="B121" s="59" t="n">
        <f aca="false">SUM(C121:N121)</f>
        <v>19480.8733095078</v>
      </c>
      <c r="C121" s="60" t="n">
        <f aca="false">SUMPRODUCT(($B$6:$B$33="Operations")*(C85:C112))</f>
        <v>1667.11165048544</v>
      </c>
      <c r="D121" s="60" t="n">
        <f aca="false">SUMPRODUCT(($B$6:$B$33="Operations")*(D85:D112))</f>
        <v>1659.03620785397</v>
      </c>
      <c r="E121" s="60" t="n">
        <f aca="false">SUMPRODUCT(($B$6:$B$33="Operations")*(E85:E112))</f>
        <v>1650.99988244281</v>
      </c>
      <c r="F121" s="60" t="n">
        <f aca="false">SUMPRODUCT(($B$6:$B$33="Operations")*(F85:F112))</f>
        <v>1643.00248476921</v>
      </c>
      <c r="G121" s="60" t="n">
        <f aca="false">SUMPRODUCT(($B$6:$B$33="Operations")*(G85:G112))</f>
        <v>1635.0438262683</v>
      </c>
      <c r="H121" s="60" t="n">
        <f aca="false">SUMPRODUCT(($B$6:$B$33="Operations")*(H85:H112))</f>
        <v>1627.12371928859</v>
      </c>
      <c r="I121" s="60" t="n">
        <f aca="false">SUMPRODUCT(($B$6:$B$33="Operations")*(I85:I112))</f>
        <v>1619.24197708759</v>
      </c>
      <c r="J121" s="60" t="n">
        <f aca="false">SUMPRODUCT(($B$6:$B$33="Operations")*(J85:J112))</f>
        <v>1611.39841382737</v>
      </c>
      <c r="K121" s="60" t="n">
        <f aca="false">SUMPRODUCT(($B$6:$B$33="Operations")*(K85:K112))</f>
        <v>1603.5928445702</v>
      </c>
      <c r="L121" s="60" t="n">
        <f aca="false">SUMPRODUCT(($B$6:$B$33="Operations")*(L85:L112))</f>
        <v>1595.82508527419</v>
      </c>
      <c r="M121" s="60" t="n">
        <f aca="false">SUMPRODUCT(($B$6:$B$33="Operations")*(M85:M112))</f>
        <v>1588.09495278892</v>
      </c>
      <c r="N121" s="60" t="n">
        <f aca="false">SUMPRODUCT(($B$6:$B$33="Operations")*(N85:N112))</f>
        <v>1580.40226485118</v>
      </c>
      <c r="O121" s="59" t="n">
        <f aca="false">SUM(P121:AA121)</f>
        <v>33531.319498333</v>
      </c>
      <c r="P121" s="60" t="n">
        <f aca="false">SUMPRODUCT(($B$6:$B$33="Operations")*(P85:P112))</f>
        <v>2869.50448800147</v>
      </c>
      <c r="Q121" s="60" t="n">
        <f aca="false">SUMPRODUCT(($B$6:$B$33="Operations")*(Q85:Q112))</f>
        <v>2855.60468778902</v>
      </c>
      <c r="R121" s="60" t="n">
        <f aca="false">SUMPRODUCT(($B$6:$B$33="Operations")*(R85:R112))</f>
        <v>2841.77221782358</v>
      </c>
      <c r="S121" s="60" t="n">
        <f aca="false">SUMPRODUCT(($B$6:$B$33="Operations")*(S85:S112))</f>
        <v>2828.00675195929</v>
      </c>
      <c r="T121" s="60" t="n">
        <f aca="false">SUMPRODUCT(($B$6:$B$33="Operations")*(T85:T112))</f>
        <v>2814.30796563013</v>
      </c>
      <c r="U121" s="60" t="n">
        <f aca="false">SUMPRODUCT(($B$6:$B$33="Operations")*(U85:U112))</f>
        <v>2800.6755358423</v>
      </c>
      <c r="V121" s="60" t="n">
        <f aca="false">SUMPRODUCT(($B$6:$B$33="Operations")*(V85:V112))</f>
        <v>2787.10914116654</v>
      </c>
      <c r="W121" s="60" t="n">
        <f aca="false">SUMPRODUCT(($B$6:$B$33="Operations")*(W85:W112))</f>
        <v>2773.60846173061</v>
      </c>
      <c r="X121" s="60" t="n">
        <f aca="false">SUMPRODUCT(($B$6:$B$33="Operations")*(X85:X112))</f>
        <v>2760.17317921169</v>
      </c>
      <c r="Y121" s="60" t="n">
        <f aca="false">SUMPRODUCT(($B$6:$B$33="Operations")*(Y85:Y112))</f>
        <v>2746.80297682894</v>
      </c>
      <c r="Z121" s="60" t="n">
        <f aca="false">SUMPRODUCT(($B$6:$B$33="Operations")*(Z85:Z112))</f>
        <v>2733.49753933598</v>
      </c>
      <c r="AA121" s="60" t="n">
        <f aca="false">SUMPRODUCT(($B$6:$B$33="Operations")*(AA85:AA112))</f>
        <v>2720.25655301348</v>
      </c>
      <c r="AB121" s="59" t="n">
        <f aca="false">SUM(AC121:AN121)</f>
        <v>46629.2127983703</v>
      </c>
      <c r="AC121" s="60" t="n">
        <f aca="false">SUMPRODUCT(($B$6:$B$33="Operations")*(AC85:AC112))</f>
        <v>3990.38085583095</v>
      </c>
      <c r="AD121" s="60" t="n">
        <f aca="false">SUMPRODUCT(($B$6:$B$33="Operations")*(AD85:AD112))</f>
        <v>3971.05156155748</v>
      </c>
      <c r="AE121" s="60" t="n">
        <f aca="false">SUMPRODUCT(($B$6:$B$33="Operations")*(AE85:AE112))</f>
        <v>3951.81589784977</v>
      </c>
      <c r="AF121" s="60" t="n">
        <f aca="false">SUMPRODUCT(($B$6:$B$33="Operations")*(AF85:AF112))</f>
        <v>3932.67341116395</v>
      </c>
      <c r="AG121" s="60" t="n">
        <f aca="false">SUMPRODUCT(($B$6:$B$33="Operations")*(AG85:AG112))</f>
        <v>3913.62365015311</v>
      </c>
      <c r="AH121" s="60" t="n">
        <f aca="false">SUMPRODUCT(($B$6:$B$33="Operations")*(AH85:AH112))</f>
        <v>3894.66616565664</v>
      </c>
      <c r="AI121" s="60" t="n">
        <f aca="false">SUMPRODUCT(($B$6:$B$33="Operations")*(AI85:AI112))</f>
        <v>3875.80051068968</v>
      </c>
      <c r="AJ121" s="60" t="n">
        <f aca="false">SUMPRODUCT(($B$6:$B$33="Operations")*(AJ85:AJ112))</f>
        <v>3857.02624043252</v>
      </c>
      <c r="AK121" s="60" t="n">
        <f aca="false">SUMPRODUCT(($B$6:$B$33="Operations")*(AK85:AK112))</f>
        <v>3838.34291222016</v>
      </c>
      <c r="AL121" s="60" t="n">
        <f aca="false">SUMPRODUCT(($B$6:$B$33="Operations")*(AL85:AL112))</f>
        <v>3819.75008553186</v>
      </c>
      <c r="AM121" s="60" t="n">
        <f aca="false">SUMPRODUCT(($B$6:$B$33="Operations")*(AM85:AM112))</f>
        <v>3801.24732198074</v>
      </c>
      <c r="AN121" s="60" t="n">
        <f aca="false">SUMPRODUCT(($B$6:$B$33="Operations")*(AN85:AN112))</f>
        <v>3782.83418530347</v>
      </c>
      <c r="AO121" s="59" t="n">
        <f aca="false">SUM(AP121:BA121)</f>
        <v>57145.2084048738</v>
      </c>
      <c r="AP121" s="60" t="n">
        <f aca="false">SUMPRODUCT(($B$6:$B$33="Operations")*(AP85:AP112))</f>
        <v>4890.30656827318</v>
      </c>
      <c r="AQ121" s="60" t="n">
        <f aca="false">SUMPRODUCT(($B$6:$B$33="Operations")*(AQ85:AQ112))</f>
        <v>4866.61805878981</v>
      </c>
      <c r="AR121" s="60" t="n">
        <f aca="false">SUMPRODUCT(($B$6:$B$33="Operations")*(AR85:AR112))</f>
        <v>4843.04429578985</v>
      </c>
      <c r="AS121" s="60" t="n">
        <f aca="false">SUMPRODUCT(($B$6:$B$33="Operations")*(AS85:AS112))</f>
        <v>4819.58472344453</v>
      </c>
      <c r="AT121" s="60" t="n">
        <f aca="false">SUMPRODUCT(($B$6:$B$33="Operations")*(AT85:AT112))</f>
        <v>4796.23878861748</v>
      </c>
      <c r="AU121" s="60" t="n">
        <f aca="false">SUMPRODUCT(($B$6:$B$33="Operations")*(AU85:AU112))</f>
        <v>4773.0059408517</v>
      </c>
      <c r="AV121" s="60" t="n">
        <f aca="false">SUMPRODUCT(($B$6:$B$33="Operations")*(AV85:AV112))</f>
        <v>4749.88563235661</v>
      </c>
      <c r="AW121" s="60" t="n">
        <f aca="false">SUMPRODUCT(($B$6:$B$33="Operations")*(AW85:AW112))</f>
        <v>4726.87731799509</v>
      </c>
      <c r="AX121" s="60" t="n">
        <f aca="false">SUMPRODUCT(($B$6:$B$33="Operations")*(AX85:AX112))</f>
        <v>4703.98045527068</v>
      </c>
      <c r="AY121" s="60" t="n">
        <f aca="false">SUMPRODUCT(($B$6:$B$33="Operations")*(AY85:AY112))</f>
        <v>4681.19450431472</v>
      </c>
      <c r="AZ121" s="60" t="n">
        <f aca="false">SUMPRODUCT(($B$6:$B$33="Operations")*(AZ85:AZ112))</f>
        <v>4658.51892787369</v>
      </c>
      <c r="BA121" s="60" t="n">
        <f aca="false">SUMPRODUCT(($B$6:$B$33="Operations")*(BA85:BA112))</f>
        <v>4635.95319129649</v>
      </c>
      <c r="BB121" s="59" t="n">
        <f aca="false">SUM(BC121:BN121)</f>
        <v>60557.8910695764</v>
      </c>
      <c r="BC121" s="60" t="n">
        <f aca="false">SUMPRODUCT(($B$6:$B$33="Operations")*(BC85:BC112))</f>
        <v>5182.35317929233</v>
      </c>
      <c r="BD121" s="60" t="n">
        <f aca="false">SUMPRODUCT(($B$6:$B$33="Operations")*(BD85:BD112))</f>
        <v>5157.25000411917</v>
      </c>
      <c r="BE121" s="60" t="n">
        <f aca="false">SUMPRODUCT(($B$6:$B$33="Operations")*(BE85:BE112))</f>
        <v>5132.26842803081</v>
      </c>
      <c r="BF121" s="60" t="n">
        <f aca="false">SUMPRODUCT(($B$6:$B$33="Operations")*(BF85:BF112))</f>
        <v>5107.40786200468</v>
      </c>
      <c r="BG121" s="60" t="n">
        <f aca="false">SUMPRODUCT(($B$6:$B$33="Operations")*(BG85:BG112))</f>
        <v>5082.66771987137</v>
      </c>
      <c r="BH121" s="60" t="n">
        <f aca="false">SUMPRODUCT(($B$6:$B$33="Operations")*(BH85:BH112))</f>
        <v>5058.04741830088</v>
      </c>
      <c r="BI121" s="60" t="n">
        <f aca="false">SUMPRODUCT(($B$6:$B$33="Operations")*(BI85:BI112))</f>
        <v>5033.54637678886</v>
      </c>
      <c r="BJ121" s="60" t="n">
        <f aca="false">SUMPRODUCT(($B$6:$B$33="Operations")*(BJ85:BJ112))</f>
        <v>5009.16401764289</v>
      </c>
      <c r="BK121" s="60" t="n">
        <f aca="false">SUMPRODUCT(($B$6:$B$33="Operations")*(BK85:BK112))</f>
        <v>4984.89976596887</v>
      </c>
      <c r="BL121" s="60" t="n">
        <f aca="false">SUMPRODUCT(($B$6:$B$33="Operations")*(BL85:BL112))</f>
        <v>4960.75304965748</v>
      </c>
      <c r="BM121" s="60" t="n">
        <f aca="false">SUMPRODUCT(($B$6:$B$33="Operations")*(BM85:BM112))</f>
        <v>4936.72329937069</v>
      </c>
      <c r="BN121" s="60" t="n">
        <f aca="false">SUMPRODUCT(($B$6:$B$33="Operations")*(BN85:BN112))</f>
        <v>4912.80994852831</v>
      </c>
    </row>
    <row r="122" customFormat="false" ht="15" hidden="false" customHeight="false" outlineLevel="0" collapsed="false">
      <c r="A122" s="13" t="s">
        <v>897</v>
      </c>
      <c r="B122" s="59" t="n">
        <f aca="false">SUM(C122:N122)</f>
        <v>254496.472537741</v>
      </c>
      <c r="C122" s="61" t="n">
        <f aca="false">SUM(C85:C112)</f>
        <v>21779.0048543689</v>
      </c>
      <c r="D122" s="61" t="n">
        <f aca="false">SUM(D85:D112)</f>
        <v>21673.5079584528</v>
      </c>
      <c r="E122" s="61" t="n">
        <f aca="false">SUM(E85:E112)</f>
        <v>21568.5220865767</v>
      </c>
      <c r="F122" s="61" t="n">
        <f aca="false">SUM(F85:F112)</f>
        <v>21464.0447633543</v>
      </c>
      <c r="G122" s="61" t="n">
        <f aca="false">SUM(G85:G112)</f>
        <v>21360.07352539</v>
      </c>
      <c r="H122" s="61" t="n">
        <f aca="false">SUM(H85:H112)</f>
        <v>21256.6059212209</v>
      </c>
      <c r="I122" s="61" t="n">
        <f aca="false">SUM(I85:I112)</f>
        <v>21153.6395112588</v>
      </c>
      <c r="J122" s="61" t="n">
        <f aca="false">SUM(J85:J112)</f>
        <v>21051.1718677329</v>
      </c>
      <c r="K122" s="61" t="n">
        <f aca="false">SUM(K85:K112)</f>
        <v>20949.2005746323</v>
      </c>
      <c r="L122" s="61" t="n">
        <f aca="false">SUM(L85:L112)</f>
        <v>20847.7232276495</v>
      </c>
      <c r="M122" s="61" t="n">
        <f aca="false">SUM(M85:M112)</f>
        <v>20746.737434123</v>
      </c>
      <c r="N122" s="61" t="n">
        <f aca="false">SUM(N85:N112)</f>
        <v>20646.2408129815</v>
      </c>
      <c r="O122" s="59" t="n">
        <f aca="false">SUM(P122:AA122)</f>
        <v>399500.131551581</v>
      </c>
      <c r="P122" s="61" t="n">
        <f aca="false">SUM(P85:P112)</f>
        <v>33320.8806557978</v>
      </c>
      <c r="Q122" s="61" t="n">
        <f aca="false">SUM(Q85:Q112)</f>
        <v>33159.4752333791</v>
      </c>
      <c r="R122" s="61" t="n">
        <f aca="false">SUM(R85:R112)</f>
        <v>32998.8516543532</v>
      </c>
      <c r="S122" s="61" t="n">
        <f aca="false">SUM(S85:S112)</f>
        <v>32839.0061314926</v>
      </c>
      <c r="T122" s="61" t="n">
        <f aca="false">SUM(T85:T112)</f>
        <v>33038.3567790706</v>
      </c>
      <c r="U122" s="61" t="n">
        <f aca="false">SUM(U85:U112)</f>
        <v>32878.3198944807</v>
      </c>
      <c r="V122" s="61" t="n">
        <f aca="false">SUM(V85:V112)</f>
        <v>33717.238376394</v>
      </c>
      <c r="W122" s="61" t="n">
        <f aca="false">SUM(W85:W112)</f>
        <v>33553.9130081617</v>
      </c>
      <c r="X122" s="61" t="n">
        <f aca="false">SUM(X85:X112)</f>
        <v>33742.9062214257</v>
      </c>
      <c r="Y122" s="61" t="n">
        <f aca="false">SUM(Y85:Y112)</f>
        <v>33579.4565188634</v>
      </c>
      <c r="Z122" s="61" t="n">
        <f aca="false">SUM(Z85:Z112)</f>
        <v>33416.7985621303</v>
      </c>
      <c r="AA122" s="61" t="n">
        <f aca="false">SUM(AA85:AA112)</f>
        <v>33254.9285160317</v>
      </c>
      <c r="AB122" s="59" t="n">
        <f aca="false">SUM(AC122:AN122)</f>
        <v>580512.138455041</v>
      </c>
      <c r="AC122" s="61" t="n">
        <f aca="false">SUM(AC85:AC112)</f>
        <v>48299.3995008243</v>
      </c>
      <c r="AD122" s="61" t="n">
        <f aca="false">SUM(AD85:AD112)</f>
        <v>48065.4385482454</v>
      </c>
      <c r="AE122" s="61" t="n">
        <f aca="false">SUM(AE85:AE112)</f>
        <v>47832.6108960365</v>
      </c>
      <c r="AF122" s="61" t="n">
        <f aca="false">SUM(AF85:AF112)</f>
        <v>47981.4643584576</v>
      </c>
      <c r="AG122" s="61" t="n">
        <f aca="false">SUM(AG85:AG112)</f>
        <v>48361.6809451815</v>
      </c>
      <c r="AH122" s="61" t="n">
        <f aca="false">SUM(AH85:AH112)</f>
        <v>48127.4183030121</v>
      </c>
      <c r="AI122" s="61" t="n">
        <f aca="false">SUM(AI85:AI112)</f>
        <v>48644.3901819792</v>
      </c>
      <c r="AJ122" s="61" t="n">
        <f aca="false">SUM(AJ85:AJ112)</f>
        <v>48408.7581041021</v>
      </c>
      <c r="AK122" s="61" t="n">
        <f aca="false">SUM(AK85:AK112)</f>
        <v>48775.1204676676</v>
      </c>
      <c r="AL122" s="61" t="n">
        <f aca="false">SUM(AL85:AL112)</f>
        <v>48908.4811798955</v>
      </c>
      <c r="AM122" s="61" t="n">
        <f aca="false">SUM(AM85:AM112)</f>
        <v>48671.5698525436</v>
      </c>
      <c r="AN122" s="61" t="n">
        <f aca="false">SUM(AN85:AN112)</f>
        <v>48435.8061170955</v>
      </c>
      <c r="AO122" s="59" t="n">
        <f aca="false">SUM(AP122:BA122)</f>
        <v>789730.808776682</v>
      </c>
      <c r="AP122" s="61" t="n">
        <f aca="false">SUM(AP85:AP112)</f>
        <v>64649.1428861691</v>
      </c>
      <c r="AQ122" s="61" t="n">
        <f aca="false">SUM(AQ85:AQ112)</f>
        <v>64742.0022398908</v>
      </c>
      <c r="AR122" s="61" t="n">
        <f aca="false">SUM(AR85:AR112)</f>
        <v>65084.3439574558</v>
      </c>
      <c r="AS122" s="61" t="n">
        <f aca="false">SUM(AS85:AS112)</f>
        <v>65171.1712561068</v>
      </c>
      <c r="AT122" s="61" t="n">
        <f aca="false">SUM(AT85:AT112)</f>
        <v>65505.0946731056</v>
      </c>
      <c r="AU122" s="61" t="n">
        <f aca="false">SUM(AU85:AU112)</f>
        <v>65585.9978367768</v>
      </c>
      <c r="AV122" s="61" t="n">
        <f aca="false">SUM(AV85:AV112)</f>
        <v>66060.8593172881</v>
      </c>
      <c r="AW122" s="61" t="n">
        <f aca="false">SUM(AW85:AW112)</f>
        <v>66381.0786740577</v>
      </c>
      <c r="AX122" s="61" t="n">
        <f aca="false">SUM(AX85:AX112)</f>
        <v>66451.9798550489</v>
      </c>
      <c r="AY122" s="61" t="n">
        <f aca="false">SUM(AY85:AY112)</f>
        <v>66764.1172765493</v>
      </c>
      <c r="AZ122" s="61" t="n">
        <f aca="false">SUM(AZ85:AZ112)</f>
        <v>66829.3702106893</v>
      </c>
      <c r="BA122" s="61" t="n">
        <f aca="false">SUM(BA85:BA112)</f>
        <v>66505.6505935442</v>
      </c>
      <c r="BB122" s="59" t="n">
        <f aca="false">SUM(BC122:BN122)</f>
        <v>1079423.63839022</v>
      </c>
      <c r="BC122" s="61" t="n">
        <f aca="false">SUM(BC85:BC112)</f>
        <v>87392.8594424356</v>
      </c>
      <c r="BD122" s="61" t="n">
        <f aca="false">SUM(BD85:BD112)</f>
        <v>88097.5112183553</v>
      </c>
      <c r="BE122" s="61" t="n">
        <f aca="false">SUM(BE85:BE112)</f>
        <v>88793.2857749752</v>
      </c>
      <c r="BF122" s="61" t="n">
        <f aca="false">SUM(BF85:BF112)</f>
        <v>88363.1735595599</v>
      </c>
      <c r="BG122" s="61" t="n">
        <f aca="false">SUM(BG85:BG112)</f>
        <v>89046.8127167258</v>
      </c>
      <c r="BH122" s="61" t="n">
        <f aca="false">SUM(BH85:BH112)</f>
        <v>89721.7554561618</v>
      </c>
      <c r="BI122" s="61" t="n">
        <f aca="false">SUM(BI85:BI112)</f>
        <v>90806.7799989752</v>
      </c>
      <c r="BJ122" s="61" t="n">
        <f aca="false">SUM(BJ85:BJ112)</f>
        <v>90366.9144733422</v>
      </c>
      <c r="BK122" s="61" t="n">
        <f aca="false">SUM(BK85:BK112)</f>
        <v>91019.4640113703</v>
      </c>
      <c r="BL122" s="61" t="n">
        <f aca="false">SUM(BL85:BL112)</f>
        <v>91663.5713102634</v>
      </c>
      <c r="BM122" s="61" t="n">
        <f aca="false">SUM(BM85:BM112)</f>
        <v>92299.3028464998</v>
      </c>
      <c r="BN122" s="61" t="n">
        <f aca="false">SUM(BN85:BN112)</f>
        <v>91852.2075815581</v>
      </c>
    </row>
    <row r="123" customFormat="false" ht="15" hidden="false" customHeight="false" outlineLevel="0" collapsed="false">
      <c r="A123" s="4" t="s">
        <v>898</v>
      </c>
      <c r="B123" s="59" t="n">
        <f aca="false">SUM(C123:N123)</f>
        <v>44634.2728793366</v>
      </c>
      <c r="C123" s="60" t="n">
        <f aca="false">C117+C119+C118</f>
        <v>3819.66019417476</v>
      </c>
      <c r="D123" s="60" t="n">
        <f aca="false">D117+D119+D118</f>
        <v>3801.15786605488</v>
      </c>
      <c r="E123" s="60" t="n">
        <f aca="false">E117+E119+E118</f>
        <v>3782.74516269964</v>
      </c>
      <c r="F123" s="60" t="n">
        <f aca="false">F117+F119+F118</f>
        <v>3764.42164996914</v>
      </c>
      <c r="G123" s="60" t="n">
        <f aca="false">G117+G119+G118</f>
        <v>3746.18689582648</v>
      </c>
      <c r="H123" s="60" t="n">
        <f aca="false">H117+H119+H118</f>
        <v>3728.04047032751</v>
      </c>
      <c r="I123" s="60" t="n">
        <f aca="false">I117+I119+I118</f>
        <v>3709.98194561074</v>
      </c>
      <c r="J123" s="60" t="n">
        <f aca="false">J117+J119+J118</f>
        <v>3692.01089588722</v>
      </c>
      <c r="K123" s="60" t="n">
        <f aca="false">K117+K119+K118</f>
        <v>3674.12689743049</v>
      </c>
      <c r="L123" s="60" t="n">
        <f aca="false">L117+L119+L118</f>
        <v>3656.32952856663</v>
      </c>
      <c r="M123" s="60" t="n">
        <f aca="false">M117+M119+M118</f>
        <v>3638.6183696643</v>
      </c>
      <c r="N123" s="60" t="n">
        <f aca="false">N117+N119+N118</f>
        <v>3620.99300312484</v>
      </c>
      <c r="O123" s="59" t="n">
        <f aca="false">SUM(P123:AA123)</f>
        <v>93583.7767194629</v>
      </c>
      <c r="P123" s="60" t="n">
        <f aca="false">P117+P119+P118</f>
        <v>7792.52724858033</v>
      </c>
      <c r="Q123" s="60" t="n">
        <f aca="false">Q117+Q119+Q118</f>
        <v>7754.7804625557</v>
      </c>
      <c r="R123" s="60" t="n">
        <f aca="false">R117+R119+R118</f>
        <v>7717.21652091644</v>
      </c>
      <c r="S123" s="60" t="n">
        <f aca="false">S117+S119+S118</f>
        <v>7679.83453796941</v>
      </c>
      <c r="T123" s="60" t="n">
        <f aca="false">T117+T119+T118</f>
        <v>7642.63363231174</v>
      </c>
      <c r="U123" s="60" t="n">
        <f aca="false">U117+U119+U118</f>
        <v>7605.61292681006</v>
      </c>
      <c r="V123" s="60" t="n">
        <f aca="false">V117+V119+V118</f>
        <v>7994.72105480501</v>
      </c>
      <c r="W123" s="60" t="n">
        <f aca="false">W117+W119+W118</f>
        <v>7955.99484758677</v>
      </c>
      <c r="X123" s="60" t="n">
        <f aca="false">X117+X119+X118</f>
        <v>7917.45622904301</v>
      </c>
      <c r="Y123" s="60" t="n">
        <f aca="false">Y117+Y119+Y118</f>
        <v>7879.1042904994</v>
      </c>
      <c r="Z123" s="60" t="n">
        <f aca="false">Z117+Z119+Z118</f>
        <v>7840.93812768317</v>
      </c>
      <c r="AA123" s="60" t="n">
        <f aca="false">AA117+AA119+AA118</f>
        <v>7802.95684070187</v>
      </c>
      <c r="AB123" s="59" t="n">
        <f aca="false">SUM(AC123:AN123)</f>
        <v>131700.341172175</v>
      </c>
      <c r="AC123" s="60" t="n">
        <f aca="false">AC117+AC119+AC118</f>
        <v>11270.4995126621</v>
      </c>
      <c r="AD123" s="60" t="n">
        <f aca="false">AD117+AD119+AD118</f>
        <v>11215.9055253812</v>
      </c>
      <c r="AE123" s="60" t="n">
        <f aca="false">AE117+AE119+AE118</f>
        <v>11161.5759898617</v>
      </c>
      <c r="AF123" s="60" t="n">
        <f aca="false">AF117+AF119+AF118</f>
        <v>11107.5096251064</v>
      </c>
      <c r="AG123" s="60" t="n">
        <f aca="false">AG117+AG119+AG118</f>
        <v>11053.7051563236</v>
      </c>
      <c r="AH123" s="60" t="n">
        <f aca="false">AH117+AH119+AH118</f>
        <v>11000.1613148964</v>
      </c>
      <c r="AI123" s="60" t="n">
        <f aca="false">AI117+AI119+AI118</f>
        <v>10946.8768383532</v>
      </c>
      <c r="AJ123" s="60" t="n">
        <f aca="false">AJ117+AJ119+AJ118</f>
        <v>10893.8504703375</v>
      </c>
      <c r="AK123" s="60" t="n">
        <f aca="false">AK117+AK119+AK118</f>
        <v>10841.0809605789</v>
      </c>
      <c r="AL123" s="60" t="n">
        <f aca="false">AL117+AL119+AL118</f>
        <v>10788.5670648631</v>
      </c>
      <c r="AM123" s="60" t="n">
        <f aca="false">AM117+AM119+AM118</f>
        <v>10736.3075450027</v>
      </c>
      <c r="AN123" s="60" t="n">
        <f aca="false">AN117+AN119+AN118</f>
        <v>10684.3011688082</v>
      </c>
      <c r="AO123" s="59" t="n">
        <f aca="false">SUM(AP123:BA123)</f>
        <v>176453.539266162</v>
      </c>
      <c r="AP123" s="60" t="n">
        <f aca="false">AP117+AP119+AP118</f>
        <v>15100.3369513439</v>
      </c>
      <c r="AQ123" s="60" t="n">
        <f aca="false">AQ117+AQ119+AQ118</f>
        <v>15027.1913376527</v>
      </c>
      <c r="AR123" s="60" t="n">
        <f aca="false">AR117+AR119+AR118</f>
        <v>14954.4000392871</v>
      </c>
      <c r="AS123" s="60" t="n">
        <f aca="false">AS117+AS119+AS118</f>
        <v>14881.9613399534</v>
      </c>
      <c r="AT123" s="60" t="n">
        <f aca="false">AT117+AT119+AT118</f>
        <v>14809.8735316717</v>
      </c>
      <c r="AU123" s="60" t="n">
        <f aca="false">AU117+AU119+AU118</f>
        <v>14738.1349147354</v>
      </c>
      <c r="AV123" s="60" t="n">
        <f aca="false">AV117+AV119+AV118</f>
        <v>14666.7437976713</v>
      </c>
      <c r="AW123" s="60" t="n">
        <f aca="false">AW117+AW119+AW118</f>
        <v>14595.6984971997</v>
      </c>
      <c r="AX123" s="60" t="n">
        <f aca="false">AX117+AX119+AX118</f>
        <v>14524.9973381945</v>
      </c>
      <c r="AY123" s="60" t="n">
        <f aca="false">AY117+AY119+AY118</f>
        <v>14454.6386536441</v>
      </c>
      <c r="AZ123" s="60" t="n">
        <f aca="false">AZ117+AZ119+AZ118</f>
        <v>14384.6207846118</v>
      </c>
      <c r="BA123" s="60" t="n">
        <f aca="false">BA117+BA119+BA118</f>
        <v>14314.9420801965</v>
      </c>
      <c r="BB123" s="59" t="n">
        <f aca="false">SUM(BC123:BN123)</f>
        <v>220382.434002044</v>
      </c>
      <c r="BC123" s="60" t="n">
        <f aca="false">BC117+BC119+BC118</f>
        <v>18859.6331103818</v>
      </c>
      <c r="BD123" s="60" t="n">
        <f aca="false">BD117+BD119+BD118</f>
        <v>18768.2775702841</v>
      </c>
      <c r="BE123" s="60" t="n">
        <f aca="false">BE117+BE119+BE118</f>
        <v>18677.3645538907</v>
      </c>
      <c r="BF123" s="60" t="n">
        <f aca="false">BF117+BF119+BF118</f>
        <v>18586.891917629</v>
      </c>
      <c r="BG123" s="60" t="n">
        <f aca="false">BG117+BG119+BG118</f>
        <v>18496.85752831</v>
      </c>
      <c r="BH123" s="60" t="n">
        <f aca="false">BH117+BH119+BH118</f>
        <v>18407.2592630776</v>
      </c>
      <c r="BI123" s="60" t="n">
        <f aca="false">BI117+BI119+BI118</f>
        <v>18318.0950093588</v>
      </c>
      <c r="BJ123" s="60" t="n">
        <f aca="false">BJ117+BJ119+BJ118</f>
        <v>18229.3626648139</v>
      </c>
      <c r="BK123" s="60" t="n">
        <f aca="false">BK117+BK119+BK118</f>
        <v>18141.0601372867</v>
      </c>
      <c r="BL123" s="60" t="n">
        <f aca="false">BL117+BL119+BL118</f>
        <v>18053.1853447556</v>
      </c>
      <c r="BM123" s="60" t="n">
        <f aca="false">BM117+BM119+BM118</f>
        <v>17965.7362152841</v>
      </c>
      <c r="BN123" s="60" t="n">
        <f aca="false">BN117+BN119+BN118</f>
        <v>17878.7106869721</v>
      </c>
    </row>
    <row r="124" customFormat="false" ht="15" hidden="false" customHeight="false" outlineLevel="0" collapsed="false">
      <c r="A124" s="4" t="s">
        <v>899</v>
      </c>
      <c r="B124" s="59" t="n">
        <f aca="false">SUM(C124:N124)</f>
        <v>16845.9848615886</v>
      </c>
      <c r="C124" s="60" t="n">
        <f aca="false">C120</f>
        <v>1441.62621359223</v>
      </c>
      <c r="D124" s="60" t="n">
        <f aca="false">D120</f>
        <v>1434.64301616782</v>
      </c>
      <c r="E124" s="60" t="n">
        <f aca="false">E120</f>
        <v>1427.69364515819</v>
      </c>
      <c r="F124" s="60" t="n">
        <f aca="false">F120</f>
        <v>1420.77793670914</v>
      </c>
      <c r="G124" s="60" t="n">
        <f aca="false">G120</f>
        <v>1413.89572776014</v>
      </c>
      <c r="H124" s="60" t="n">
        <f aca="false">H120</f>
        <v>1407.04685604056</v>
      </c>
      <c r="I124" s="60" t="n">
        <f aca="false">I120</f>
        <v>1400.23116006577</v>
      </c>
      <c r="J124" s="60" t="n">
        <f aca="false">J120</f>
        <v>1393.44847913339</v>
      </c>
      <c r="K124" s="60" t="n">
        <f aca="false">K120</f>
        <v>1386.69865331946</v>
      </c>
      <c r="L124" s="60" t="n">
        <f aca="false">L120</f>
        <v>1379.98152347471</v>
      </c>
      <c r="M124" s="60" t="n">
        <f aca="false">M120</f>
        <v>1373.29693122076</v>
      </c>
      <c r="N124" s="60" t="n">
        <f aca="false">N120</f>
        <v>1366.64471894643</v>
      </c>
      <c r="O124" s="59" t="n">
        <f aca="false">SUM(P124:AA124)</f>
        <v>40855.3238999154</v>
      </c>
      <c r="P124" s="60" t="n">
        <f aca="false">P120</f>
        <v>2845.26699029126</v>
      </c>
      <c r="Q124" s="60" t="n">
        <f aca="false">Q120</f>
        <v>2831.48459584599</v>
      </c>
      <c r="R124" s="60" t="n">
        <f aca="false">R120</f>
        <v>2817.76896293744</v>
      </c>
      <c r="S124" s="60" t="n">
        <f aca="false">S120</f>
        <v>2804.11976817457</v>
      </c>
      <c r="T124" s="60" t="n">
        <f aca="false">T120</f>
        <v>3148.95857288882</v>
      </c>
      <c r="U124" s="60" t="n">
        <f aca="false">U120</f>
        <v>3133.70510483417</v>
      </c>
      <c r="V124" s="60" t="n">
        <f aca="false">V120</f>
        <v>3690.75617020053</v>
      </c>
      <c r="W124" s="60" t="n">
        <f aca="false">W120</f>
        <v>3672.87824960026</v>
      </c>
      <c r="X124" s="60" t="n">
        <f aca="false">X120</f>
        <v>4006.61436709102</v>
      </c>
      <c r="Y124" s="60" t="n">
        <f aca="false">Y120</f>
        <v>3987.20643813892</v>
      </c>
      <c r="Z124" s="60" t="n">
        <f aca="false">Z120</f>
        <v>3967.89252065677</v>
      </c>
      <c r="AA124" s="60" t="n">
        <f aca="false">AA120</f>
        <v>3948.67215925563</v>
      </c>
      <c r="AB124" s="59" t="n">
        <f aca="false">SUM(AC124:AN124)</f>
        <v>83941.9593753026</v>
      </c>
      <c r="AC124" s="60" t="n">
        <f aca="false">AC120</f>
        <v>5804.49089611409</v>
      </c>
      <c r="AD124" s="60" t="n">
        <f aca="false">AD120</f>
        <v>5776.37410308299</v>
      </c>
      <c r="AE124" s="60" t="n">
        <f aca="false">AE120</f>
        <v>5748.39350701809</v>
      </c>
      <c r="AF124" s="60" t="n">
        <f aca="false">AF120</f>
        <v>6101.10175212041</v>
      </c>
      <c r="AG124" s="60" t="n">
        <f aca="false">AG120</f>
        <v>6684.18565460801</v>
      </c>
      <c r="AH124" s="60" t="n">
        <f aca="false">AH120</f>
        <v>6651.80764454724</v>
      </c>
      <c r="AI124" s="60" t="n">
        <f aca="false">AI120</f>
        <v>7369.68623206012</v>
      </c>
      <c r="AJ124" s="60" t="n">
        <f aca="false">AJ120</f>
        <v>7333.98767620061</v>
      </c>
      <c r="AK124" s="60" t="n">
        <f aca="false">AK120</f>
        <v>7899.31508934429</v>
      </c>
      <c r="AL124" s="60" t="n">
        <f aca="false">AL120</f>
        <v>8230.67706996435</v>
      </c>
      <c r="AM124" s="60" t="n">
        <f aca="false">AM120</f>
        <v>8190.80789834813</v>
      </c>
      <c r="AN124" s="60" t="n">
        <f aca="false">AN120</f>
        <v>8151.13185189426</v>
      </c>
      <c r="AO124" s="59" t="n">
        <f aca="false">SUM(AP124:BA124)</f>
        <v>157880.996162657</v>
      </c>
      <c r="AP124" s="60" t="n">
        <f aca="false">AP120</f>
        <v>10577.4302257423</v>
      </c>
      <c r="AQ124" s="60" t="n">
        <f aca="false">AQ120</f>
        <v>10932.2114570102</v>
      </c>
      <c r="AR124" s="60" t="n">
        <f aca="false">AR120</f>
        <v>11535.2063098057</v>
      </c>
      <c r="AS124" s="60" t="n">
        <f aca="false">AS120</f>
        <v>11881.424147124</v>
      </c>
      <c r="AT124" s="60" t="n">
        <f aca="false">AT120</f>
        <v>12473.4816222097</v>
      </c>
      <c r="AU124" s="60" t="n">
        <f aca="false">AU120</f>
        <v>12811.2684497446</v>
      </c>
      <c r="AV124" s="60" t="n">
        <f aca="false">AV120</f>
        <v>13541.7692567713</v>
      </c>
      <c r="AW124" s="60" t="n">
        <f aca="false">AW120</f>
        <v>14116.3896302435</v>
      </c>
      <c r="AX124" s="60" t="n">
        <f aca="false">AX120</f>
        <v>14440.4595164631</v>
      </c>
      <c r="AY124" s="60" t="n">
        <f aca="false">AY120</f>
        <v>15004.5393010003</v>
      </c>
      <c r="AZ124" s="60" t="n">
        <f aca="false">AZ120</f>
        <v>15320.5141963531</v>
      </c>
      <c r="BA124" s="60" t="n">
        <f aca="false">BA120</f>
        <v>15246.3020501894</v>
      </c>
      <c r="BB124" s="59" t="n">
        <f aca="false">SUM(BC124:BN124)</f>
        <v>275383.435470464</v>
      </c>
      <c r="BC124" s="60" t="n">
        <f aca="false">BC120</f>
        <v>18585.6366629517</v>
      </c>
      <c r="BD124" s="60" t="n">
        <f aca="false">BD120</f>
        <v>19623.5887190441</v>
      </c>
      <c r="BE124" s="60" t="n">
        <f aca="false">BE120</f>
        <v>20651.049058517</v>
      </c>
      <c r="BF124" s="60" t="n">
        <f aca="false">BF120</f>
        <v>20551.015949215</v>
      </c>
      <c r="BG124" s="60" t="n">
        <f aca="false">BG120</f>
        <v>21563.1353184523</v>
      </c>
      <c r="BH124" s="60" t="n">
        <f aca="false">BH120</f>
        <v>22564.9671209162</v>
      </c>
      <c r="BI124" s="60" t="n">
        <f aca="false">BI120</f>
        <v>23975.2972851957</v>
      </c>
      <c r="BJ124" s="60" t="n">
        <f aca="false">BJ120</f>
        <v>23859.1616096142</v>
      </c>
      <c r="BK124" s="60" t="n">
        <f aca="false">BK120</f>
        <v>24833.8728592723</v>
      </c>
      <c r="BL124" s="60" t="n">
        <f aca="false">BL120</f>
        <v>25798.5813273928</v>
      </c>
      <c r="BM124" s="60" t="n">
        <f aca="false">BM120</f>
        <v>26753.3610496782</v>
      </c>
      <c r="BN124" s="60" t="n">
        <f aca="false">BN120</f>
        <v>26623.7685102148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2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650</v>
      </c>
    </row>
    <row r="2" customFormat="false" ht="15" hidden="false" customHeight="false" outlineLevel="0" collapsed="false">
      <c r="A2" s="8" t="s">
        <v>900</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901</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561</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902</v>
      </c>
      <c r="B6" s="59" t="n">
        <f aca="false">SUM(C6:N6)</f>
        <v>9896.44012944984</v>
      </c>
      <c r="C6" s="60" t="n">
        <f aca="false">SUMPRODUCT(('Capital Expenditure'!$C$3:$BN$3&lt;=1)*('Capital Expenditure'!$C$3:$BN$3&gt;1-'Assumption Setting'!$E$201)*'Capital Expenditure'!$C$6:$BN$6)/'Assumption Setting'!$E$201</f>
        <v>824.70334412082</v>
      </c>
      <c r="D6" s="60" t="n">
        <f aca="false">SUMPRODUCT(('Capital Expenditure'!$C$3:$BN$3&lt;=2)*('Capital Expenditure'!$C$3:$BN$3&gt;2-'Assumption Setting'!$E$201)*'Capital Expenditure'!$C$6:$BN$6)/'Assumption Setting'!$E$201</f>
        <v>824.70334412082</v>
      </c>
      <c r="E6" s="60" t="n">
        <f aca="false">SUMPRODUCT(('Capital Expenditure'!$C$3:$BN$3&lt;=3)*('Capital Expenditure'!$C$3:$BN$3&gt;3-'Assumption Setting'!$E$201)*'Capital Expenditure'!$C$6:$BN$6)/'Assumption Setting'!$E$201</f>
        <v>824.70334412082</v>
      </c>
      <c r="F6" s="60" t="n">
        <f aca="false">SUMPRODUCT(('Capital Expenditure'!$C$3:$BN$3&lt;=4)*('Capital Expenditure'!$C$3:$BN$3&gt;4-'Assumption Setting'!$E$201)*'Capital Expenditure'!$C$6:$BN$6)/'Assumption Setting'!$E$201</f>
        <v>824.70334412082</v>
      </c>
      <c r="G6" s="60" t="n">
        <f aca="false">SUMPRODUCT(('Capital Expenditure'!$C$3:$BN$3&lt;=5)*('Capital Expenditure'!$C$3:$BN$3&gt;5-'Assumption Setting'!$E$201)*'Capital Expenditure'!$C$6:$BN$6)/'Assumption Setting'!$E$201</f>
        <v>824.70334412082</v>
      </c>
      <c r="H6" s="60" t="n">
        <f aca="false">SUMPRODUCT(('Capital Expenditure'!$C$3:$BN$3&lt;=6)*('Capital Expenditure'!$C$3:$BN$3&gt;6-'Assumption Setting'!$E$201)*'Capital Expenditure'!$C$6:$BN$6)/'Assumption Setting'!$E$201</f>
        <v>824.70334412082</v>
      </c>
      <c r="I6" s="60" t="n">
        <f aca="false">SUMPRODUCT(('Capital Expenditure'!$C$3:$BN$3&lt;=7)*('Capital Expenditure'!$C$3:$BN$3&gt;7-'Assumption Setting'!$E$201)*'Capital Expenditure'!$C$6:$BN$6)/'Assumption Setting'!$E$201</f>
        <v>824.70334412082</v>
      </c>
      <c r="J6" s="60" t="n">
        <f aca="false">SUMPRODUCT(('Capital Expenditure'!$C$3:$BN$3&lt;=8)*('Capital Expenditure'!$C$3:$BN$3&gt;8-'Assumption Setting'!$E$201)*'Capital Expenditure'!$C$6:$BN$6)/'Assumption Setting'!$E$201</f>
        <v>824.70334412082</v>
      </c>
      <c r="K6" s="60" t="n">
        <f aca="false">SUMPRODUCT(('Capital Expenditure'!$C$3:$BN$3&lt;=9)*('Capital Expenditure'!$C$3:$BN$3&gt;9-'Assumption Setting'!$E$201)*'Capital Expenditure'!$C$6:$BN$6)/'Assumption Setting'!$E$201</f>
        <v>824.70334412082</v>
      </c>
      <c r="L6" s="60" t="n">
        <f aca="false">SUMPRODUCT(('Capital Expenditure'!$C$3:$BN$3&lt;=10)*('Capital Expenditure'!$C$3:$BN$3&gt;10-'Assumption Setting'!$E$201)*'Capital Expenditure'!$C$6:$BN$6)/'Assumption Setting'!$E$201</f>
        <v>824.70334412082</v>
      </c>
      <c r="M6" s="60" t="n">
        <f aca="false">SUMPRODUCT(('Capital Expenditure'!$C$3:$BN$3&lt;=11)*('Capital Expenditure'!$C$3:$BN$3&gt;11-'Assumption Setting'!$E$201)*'Capital Expenditure'!$C$6:$BN$6)/'Assumption Setting'!$E$201</f>
        <v>824.70334412082</v>
      </c>
      <c r="N6" s="60" t="n">
        <f aca="false">SUMPRODUCT(('Capital Expenditure'!$C$3:$BN$3&lt;=12)*('Capital Expenditure'!$C$3:$BN$3&gt;12-'Assumption Setting'!$E$201)*'Capital Expenditure'!$C$6:$BN$6)/'Assumption Setting'!$E$201</f>
        <v>824.70334412082</v>
      </c>
      <c r="O6" s="59" t="n">
        <f aca="false">SUM(P6:AA6)</f>
        <v>14903.8013456683</v>
      </c>
      <c r="P6" s="60" t="n">
        <f aca="false">SUMPRODUCT(('Capital Expenditure'!$C$3:$BN$3&lt;=13)*('Capital Expenditure'!$C$3:$BN$3&gt;13-'Assumption Setting'!$E$201)*'Capital Expenditure'!$C$6:$BN$6)/'Assumption Setting'!$E$201</f>
        <v>1191.8849606155</v>
      </c>
      <c r="Q6" s="60" t="n">
        <f aca="false">SUMPRODUCT(('Capital Expenditure'!$C$3:$BN$3&lt;=14)*('Capital Expenditure'!$C$3:$BN$3&gt;14-'Assumption Setting'!$E$201)*'Capital Expenditure'!$C$6:$BN$6)/'Assumption Setting'!$E$201</f>
        <v>1191.8849606155</v>
      </c>
      <c r="R6" s="60" t="n">
        <f aca="false">SUMPRODUCT(('Capital Expenditure'!$C$3:$BN$3&lt;=15)*('Capital Expenditure'!$C$3:$BN$3&gt;15-'Assumption Setting'!$E$201)*'Capital Expenditure'!$C$6:$BN$6)/'Assumption Setting'!$E$201</f>
        <v>1191.8849606155</v>
      </c>
      <c r="S6" s="60" t="n">
        <f aca="false">SUMPRODUCT(('Capital Expenditure'!$C$3:$BN$3&lt;=16)*('Capital Expenditure'!$C$3:$BN$3&gt;16-'Assumption Setting'!$E$201)*'Capital Expenditure'!$C$6:$BN$6)/'Assumption Setting'!$E$201</f>
        <v>1191.8849606155</v>
      </c>
      <c r="T6" s="60" t="n">
        <f aca="false">SUMPRODUCT(('Capital Expenditure'!$C$3:$BN$3&lt;=17)*('Capital Expenditure'!$C$3:$BN$3&gt;17-'Assumption Setting'!$E$201)*'Capital Expenditure'!$C$6:$BN$6)/'Assumption Setting'!$E$201</f>
        <v>1217.13718463066</v>
      </c>
      <c r="U6" s="60" t="n">
        <f aca="false">SUMPRODUCT(('Capital Expenditure'!$C$3:$BN$3&lt;=18)*('Capital Expenditure'!$C$3:$BN$3&gt;18-'Assumption Setting'!$E$201)*'Capital Expenditure'!$C$6:$BN$6)/'Assumption Setting'!$E$201</f>
        <v>1217.13718463066</v>
      </c>
      <c r="V6" s="60" t="n">
        <f aca="false">SUMPRODUCT(('Capital Expenditure'!$C$3:$BN$3&lt;=19)*('Capital Expenditure'!$C$3:$BN$3&gt;19-'Assumption Setting'!$E$201)*'Capital Expenditure'!$C$6:$BN$6)/'Assumption Setting'!$E$201</f>
        <v>1267.15353340769</v>
      </c>
      <c r="W6" s="60" t="n">
        <f aca="false">SUMPRODUCT(('Capital Expenditure'!$C$3:$BN$3&lt;=20)*('Capital Expenditure'!$C$3:$BN$3&gt;20-'Assumption Setting'!$E$201)*'Capital Expenditure'!$C$6:$BN$6)/'Assumption Setting'!$E$201</f>
        <v>1267.15353340769</v>
      </c>
      <c r="X6" s="60" t="n">
        <f aca="false">SUMPRODUCT(('Capital Expenditure'!$C$3:$BN$3&lt;=21)*('Capital Expenditure'!$C$3:$BN$3&gt;21-'Assumption Setting'!$E$201)*'Capital Expenditure'!$C$6:$BN$6)/'Assumption Setting'!$E$201</f>
        <v>1291.9200167824</v>
      </c>
      <c r="Y6" s="60" t="n">
        <f aca="false">SUMPRODUCT(('Capital Expenditure'!$C$3:$BN$3&lt;=22)*('Capital Expenditure'!$C$3:$BN$3&gt;22-'Assumption Setting'!$E$201)*'Capital Expenditure'!$C$6:$BN$6)/'Assumption Setting'!$E$201</f>
        <v>1291.9200167824</v>
      </c>
      <c r="Z6" s="60" t="n">
        <f aca="false">SUMPRODUCT(('Capital Expenditure'!$C$3:$BN$3&lt;=23)*('Capital Expenditure'!$C$3:$BN$3&gt;23-'Assumption Setting'!$E$201)*'Capital Expenditure'!$C$6:$BN$6)/'Assumption Setting'!$E$201</f>
        <v>1291.9200167824</v>
      </c>
      <c r="AA6" s="60" t="n">
        <f aca="false">SUMPRODUCT(('Capital Expenditure'!$C$3:$BN$3&lt;=24)*('Capital Expenditure'!$C$3:$BN$3&gt;24-'Assumption Setting'!$E$201)*'Capital Expenditure'!$C$6:$BN$6)/'Assumption Setting'!$E$201</f>
        <v>1291.9200167824</v>
      </c>
      <c r="AB6" s="59" t="n">
        <f aca="false">SUM(AC6:AN6)</f>
        <v>21424.6318410487</v>
      </c>
      <c r="AC6" s="60" t="n">
        <f aca="false">SUMPRODUCT(('Capital Expenditure'!$C$3:$BN$3&lt;=25)*('Capital Expenditure'!$C$3:$BN$3&gt;25-'Assumption Setting'!$E$201)*'Capital Expenditure'!$C$6:$BN$6)/'Assumption Setting'!$E$201</f>
        <v>1714.35629898981</v>
      </c>
      <c r="AD6" s="60" t="n">
        <f aca="false">SUMPRODUCT(('Capital Expenditure'!$C$3:$BN$3&lt;=26)*('Capital Expenditure'!$C$3:$BN$3&gt;26-'Assumption Setting'!$E$201)*'Capital Expenditure'!$C$6:$BN$6)/'Assumption Setting'!$E$201</f>
        <v>1714.35629898981</v>
      </c>
      <c r="AE6" s="60" t="n">
        <f aca="false">SUMPRODUCT(('Capital Expenditure'!$C$3:$BN$3&lt;=27)*('Capital Expenditure'!$C$3:$BN$3&gt;27-'Assumption Setting'!$E$201)*'Capital Expenditure'!$C$6:$BN$6)/'Assumption Setting'!$E$201</f>
        <v>1714.35629898981</v>
      </c>
      <c r="AF6" s="60" t="n">
        <f aca="false">SUMPRODUCT(('Capital Expenditure'!$C$3:$BN$3&lt;=28)*('Capital Expenditure'!$C$3:$BN$3&gt;28-'Assumption Setting'!$E$201)*'Capital Expenditure'!$C$6:$BN$6)/'Assumption Setting'!$E$201</f>
        <v>1738.29511077513</v>
      </c>
      <c r="AG6" s="60" t="n">
        <f aca="false">SUMPRODUCT(('Capital Expenditure'!$C$3:$BN$3&lt;=29)*('Capital Expenditure'!$C$3:$BN$3&gt;29-'Assumption Setting'!$E$201)*'Capital Expenditure'!$C$6:$BN$6)/'Assumption Setting'!$E$201</f>
        <v>1762.11796361963</v>
      </c>
      <c r="AH6" s="60" t="n">
        <f aca="false">SUMPRODUCT(('Capital Expenditure'!$C$3:$BN$3&lt;=30)*('Capital Expenditure'!$C$3:$BN$3&gt;30-'Assumption Setting'!$E$201)*'Capital Expenditure'!$C$6:$BN$6)/'Assumption Setting'!$E$201</f>
        <v>1762.11796361963</v>
      </c>
      <c r="AI6" s="60" t="n">
        <f aca="false">SUMPRODUCT(('Capital Expenditure'!$C$3:$BN$3&lt;=31)*('Capital Expenditure'!$C$3:$BN$3&gt;31-'Assumption Setting'!$E$201)*'Capital Expenditure'!$C$6:$BN$6)/'Assumption Setting'!$E$201</f>
        <v>1809.30319831493</v>
      </c>
      <c r="AJ6" s="60" t="n">
        <f aca="false">SUMPRODUCT(('Capital Expenditure'!$C$3:$BN$3&lt;=32)*('Capital Expenditure'!$C$3:$BN$3&gt;32-'Assumption Setting'!$E$201)*'Capital Expenditure'!$C$6:$BN$6)/'Assumption Setting'!$E$201</f>
        <v>1809.30319831493</v>
      </c>
      <c r="AK6" s="60" t="n">
        <f aca="false">SUMPRODUCT(('Capital Expenditure'!$C$3:$BN$3&lt;=33)*('Capital Expenditure'!$C$3:$BN$3&gt;33-'Assumption Setting'!$E$201)*'Capital Expenditure'!$C$6:$BN$6)/'Assumption Setting'!$E$201</f>
        <v>1832.66780527221</v>
      </c>
      <c r="AL6" s="60" t="n">
        <f aca="false">SUMPRODUCT(('Capital Expenditure'!$C$3:$BN$3&lt;=34)*('Capital Expenditure'!$C$3:$BN$3&gt;34-'Assumption Setting'!$E$201)*'Capital Expenditure'!$C$6:$BN$6)/'Assumption Setting'!$E$201</f>
        <v>1855.91923472093</v>
      </c>
      <c r="AM6" s="60" t="n">
        <f aca="false">SUMPRODUCT(('Capital Expenditure'!$C$3:$BN$3&lt;=35)*('Capital Expenditure'!$C$3:$BN$3&gt;35-'Assumption Setting'!$E$201)*'Capital Expenditure'!$C$6:$BN$6)/'Assumption Setting'!$E$201</f>
        <v>1855.91923472093</v>
      </c>
      <c r="AN6" s="60" t="n">
        <f aca="false">SUMPRODUCT(('Capital Expenditure'!$C$3:$BN$3&lt;=36)*('Capital Expenditure'!$C$3:$BN$3&gt;36-'Assumption Setting'!$E$201)*'Capital Expenditure'!$C$6:$BN$6)/'Assumption Setting'!$E$201</f>
        <v>1855.91923472093</v>
      </c>
      <c r="AO6" s="59" t="n">
        <f aca="false">SUM(AP6:BA6)</f>
        <v>18319.3378153489</v>
      </c>
      <c r="AP6" s="60" t="n">
        <f aca="false">SUMPRODUCT(('Capital Expenditure'!$C$3:$BN$3&lt;=37)*('Capital Expenditure'!$C$3:$BN$3&gt;37-'Assumption Setting'!$E$201)*'Capital Expenditure'!$C$6:$BN$6)/'Assumption Setting'!$E$201</f>
        <v>1393.87345362723</v>
      </c>
      <c r="AQ6" s="60" t="n">
        <f aca="false">SUMPRODUCT(('Capital Expenditure'!$C$3:$BN$3&lt;=38)*('Capital Expenditure'!$C$3:$BN$3&gt;38-'Assumption Setting'!$E$201)*'Capital Expenditure'!$C$6:$BN$6)/'Assumption Setting'!$E$201</f>
        <v>1416.67762883707</v>
      </c>
      <c r="AR6" s="60" t="n">
        <f aca="false">SUMPRODUCT(('Capital Expenditure'!$C$3:$BN$3&lt;=39)*('Capital Expenditure'!$C$3:$BN$3&gt;39-'Assumption Setting'!$E$201)*'Capital Expenditure'!$C$6:$BN$6)/'Assumption Setting'!$E$201</f>
        <v>1439.37134125421</v>
      </c>
      <c r="AS6" s="60" t="n">
        <f aca="false">SUMPRODUCT(('Capital Expenditure'!$C$3:$BN$3&lt;=40)*('Capital Expenditure'!$C$3:$BN$3&gt;40-'Assumption Setting'!$E$201)*'Capital Expenditure'!$C$6:$BN$6)/'Assumption Setting'!$E$201</f>
        <v>1461.95512595735</v>
      </c>
      <c r="AT6" s="60" t="n">
        <f aca="false">SUMPRODUCT(('Capital Expenditure'!$C$3:$BN$3&lt;=41)*('Capital Expenditure'!$C$3:$BN$3&gt;41-'Assumption Setting'!$E$201)*'Capital Expenditure'!$C$6:$BN$6)/'Assumption Setting'!$E$201</f>
        <v>1484.42951543329</v>
      </c>
      <c r="AU6" s="60" t="n">
        <f aca="false">SUMPRODUCT(('Capital Expenditure'!$C$3:$BN$3&lt;=42)*('Capital Expenditure'!$C$3:$BN$3&gt;42-'Assumption Setting'!$E$201)*'Capital Expenditure'!$C$6:$BN$6)/'Assumption Setting'!$E$201</f>
        <v>1506.79503958948</v>
      </c>
      <c r="AV6" s="60" t="n">
        <f aca="false">SUMPRODUCT(('Capital Expenditure'!$C$3:$BN$3&lt;=43)*('Capital Expenditure'!$C$3:$BN$3&gt;43-'Assumption Setting'!$E$201)*'Capital Expenditure'!$C$6:$BN$6)/'Assumption Setting'!$E$201</f>
        <v>1551.30941194354</v>
      </c>
      <c r="AW6" s="60" t="n">
        <f aca="false">SUMPRODUCT(('Capital Expenditure'!$C$3:$BN$3&lt;=44)*('Capital Expenditure'!$C$3:$BN$3&gt;44-'Assumption Setting'!$E$201)*'Capital Expenditure'!$C$6:$BN$6)/'Assumption Setting'!$E$201</f>
        <v>1573.45878492758</v>
      </c>
      <c r="AX6" s="60" t="n">
        <f aca="false">SUMPRODUCT(('Capital Expenditure'!$C$3:$BN$3&lt;=45)*('Capital Expenditure'!$C$3:$BN$3&gt;45-'Assumption Setting'!$E$201)*'Capital Expenditure'!$C$6:$BN$6)/'Assumption Setting'!$E$201</f>
        <v>1595.50086696274</v>
      </c>
      <c r="AY6" s="60" t="n">
        <f aca="false">SUMPRODUCT(('Capital Expenditure'!$C$3:$BN$3&lt;=46)*('Capital Expenditure'!$C$3:$BN$3&gt;46-'Assumption Setting'!$E$201)*'Capital Expenditure'!$C$6:$BN$6)/'Assumption Setting'!$E$201</f>
        <v>1617.43617776342</v>
      </c>
      <c r="AZ6" s="60" t="n">
        <f aca="false">SUMPRODUCT(('Capital Expenditure'!$C$3:$BN$3&lt;=47)*('Capital Expenditure'!$C$3:$BN$3&gt;47-'Assumption Setting'!$E$201)*'Capital Expenditure'!$C$6:$BN$6)/'Assumption Setting'!$E$201</f>
        <v>1639.26523452652</v>
      </c>
      <c r="BA6" s="60" t="n">
        <f aca="false">SUMPRODUCT(('Capital Expenditure'!$C$3:$BN$3&lt;=48)*('Capital Expenditure'!$C$3:$BN$3&gt;48-'Assumption Setting'!$E$201)*'Capital Expenditure'!$C$6:$BN$6)/'Assumption Setting'!$E$201</f>
        <v>1639.26523452652</v>
      </c>
      <c r="BB6" s="59" t="n">
        <f aca="false">SUM(BC6:BN6)</f>
        <v>21609.0008210975</v>
      </c>
      <c r="BC6" s="60" t="n">
        <f aca="false">SUMPRODUCT(('Capital Expenditure'!$C$3:$BN$3&lt;=49)*('Capital Expenditure'!$C$3:$BN$3&gt;49-'Assumption Setting'!$E$201)*'Capital Expenditure'!$C$6:$BN$6)/'Assumption Setting'!$E$201</f>
        <v>1660.26932591645</v>
      </c>
      <c r="BD6" s="60" t="n">
        <f aca="false">SUMPRODUCT(('Capital Expenditure'!$C$3:$BN$3&lt;=50)*('Capital Expenditure'!$C$3:$BN$3&gt;50-'Assumption Setting'!$E$201)*'Capital Expenditure'!$C$6:$BN$6)/'Assumption Setting'!$E$201</f>
        <v>1703.2960715954</v>
      </c>
      <c r="BE6" s="60" t="n">
        <f aca="false">SUMPRODUCT(('Capital Expenditure'!$C$3:$BN$3&lt;=51)*('Capital Expenditure'!$C$3:$BN$3&gt;51-'Assumption Setting'!$E$201)*'Capital Expenditure'!$C$6:$BN$6)/'Assumption Setting'!$E$201</f>
        <v>1746.11439691075</v>
      </c>
      <c r="BF6" s="60" t="n">
        <f aca="false">SUMPRODUCT(('Capital Expenditure'!$C$3:$BN$3&lt;=52)*('Capital Expenditure'!$C$3:$BN$3&gt;52-'Assumption Setting'!$E$201)*'Capital Expenditure'!$C$6:$BN$6)/'Assumption Setting'!$E$201</f>
        <v>1746.11439691075</v>
      </c>
      <c r="BG6" s="60" t="n">
        <f aca="false">SUMPRODUCT(('Capital Expenditure'!$C$3:$BN$3&lt;=53)*('Capital Expenditure'!$C$3:$BN$3&gt;53-'Assumption Setting'!$E$201)*'Capital Expenditure'!$C$6:$BN$6)/'Assumption Setting'!$E$201</f>
        <v>1763.26668134076</v>
      </c>
      <c r="BH6" s="60" t="n">
        <f aca="false">SUMPRODUCT(('Capital Expenditure'!$C$3:$BN$3&lt;=54)*('Capital Expenditure'!$C$3:$BN$3&gt;54-'Assumption Setting'!$E$201)*'Capital Expenditure'!$C$6:$BN$6)/'Assumption Setting'!$E$201</f>
        <v>1805.46578352225</v>
      </c>
      <c r="BI6" s="60" t="n">
        <f aca="false">SUMPRODUCT(('Capital Expenditure'!$C$3:$BN$3&lt;=55)*('Capital Expenditure'!$C$3:$BN$3&gt;55-'Assumption Setting'!$E$201)*'Capital Expenditure'!$C$6:$BN$6)/'Assumption Setting'!$E$201</f>
        <v>1818.44147109531</v>
      </c>
      <c r="BJ6" s="60" t="n">
        <f aca="false">SUMPRODUCT(('Capital Expenditure'!$C$3:$BN$3&lt;=56)*('Capital Expenditure'!$C$3:$BN$3&gt;56-'Assumption Setting'!$E$201)*'Capital Expenditure'!$C$6:$BN$6)/'Assumption Setting'!$E$201</f>
        <v>1818.44147109531</v>
      </c>
      <c r="BK6" s="60" t="n">
        <f aca="false">SUMPRODUCT(('Capital Expenditure'!$C$3:$BN$3&lt;=57)*('Capital Expenditure'!$C$3:$BN$3&gt;57-'Assumption Setting'!$E$201)*'Capital Expenditure'!$C$6:$BN$6)/'Assumption Setting'!$E$201</f>
        <v>1835.26382174921</v>
      </c>
      <c r="BL6" s="60" t="n">
        <f aca="false">SUMPRODUCT(('Capital Expenditure'!$C$3:$BN$3&lt;=58)*('Capital Expenditure'!$C$3:$BN$3&gt;58-'Assumption Setting'!$E$201)*'Capital Expenditure'!$C$6:$BN$6)/'Assumption Setting'!$E$201</f>
        <v>1876.65120061842</v>
      </c>
      <c r="BM6" s="60" t="n">
        <f aca="false">SUMPRODUCT(('Capital Expenditure'!$C$3:$BN$3&lt;=59)*('Capital Expenditure'!$C$3:$BN$3&gt;59-'Assumption Setting'!$E$201)*'Capital Expenditure'!$C$6:$BN$6)/'Assumption Setting'!$E$201</f>
        <v>1917.83810017142</v>
      </c>
      <c r="BN6" s="60" t="n">
        <f aca="false">SUMPRODUCT(('Capital Expenditure'!$C$3:$BN$3&lt;=60)*('Capital Expenditure'!$C$3:$BN$3&gt;60-'Assumption Setting'!$E$201)*'Capital Expenditure'!$C$6:$BN$6)/'Assumption Setting'!$E$201</f>
        <v>1917.83810017142</v>
      </c>
    </row>
    <row r="7" customFormat="false" ht="15" hidden="false" customHeight="false" outlineLevel="0" collapsed="false">
      <c r="A7" s="4" t="s">
        <v>550</v>
      </c>
      <c r="B7" s="59" t="n">
        <f aca="false">SUM(C7:N7)</f>
        <v>1359.22330097087</v>
      </c>
      <c r="C7" s="60" t="n">
        <f aca="false">SUMPRODUCT(('Capital Expenditure'!$C$3:$BN$3&lt;=1)*('Capital Expenditure'!$C$3:$BN$3&gt;1-'Assumption Setting'!$E$205)*'Capital Expenditure'!$C$7:$BN$7)/'Assumption Setting'!$E$205</f>
        <v>113.268608414239</v>
      </c>
      <c r="D7" s="60" t="n">
        <f aca="false">SUMPRODUCT(('Capital Expenditure'!$C$3:$BN$3&lt;=2)*('Capital Expenditure'!$C$3:$BN$3&gt;2-'Assumption Setting'!$E$205)*'Capital Expenditure'!$C$7:$BN$7)/'Assumption Setting'!$E$205</f>
        <v>113.268608414239</v>
      </c>
      <c r="E7" s="60" t="n">
        <f aca="false">SUMPRODUCT(('Capital Expenditure'!$C$3:$BN$3&lt;=3)*('Capital Expenditure'!$C$3:$BN$3&gt;3-'Assumption Setting'!$E$205)*'Capital Expenditure'!$C$7:$BN$7)/'Assumption Setting'!$E$205</f>
        <v>113.268608414239</v>
      </c>
      <c r="F7" s="60" t="n">
        <f aca="false">SUMPRODUCT(('Capital Expenditure'!$C$3:$BN$3&lt;=4)*('Capital Expenditure'!$C$3:$BN$3&gt;4-'Assumption Setting'!$E$205)*'Capital Expenditure'!$C$7:$BN$7)/'Assumption Setting'!$E$205</f>
        <v>113.268608414239</v>
      </c>
      <c r="G7" s="60" t="n">
        <f aca="false">SUMPRODUCT(('Capital Expenditure'!$C$3:$BN$3&lt;=5)*('Capital Expenditure'!$C$3:$BN$3&gt;5-'Assumption Setting'!$E$205)*'Capital Expenditure'!$C$7:$BN$7)/'Assumption Setting'!$E$205</f>
        <v>113.268608414239</v>
      </c>
      <c r="H7" s="60" t="n">
        <f aca="false">SUMPRODUCT(('Capital Expenditure'!$C$3:$BN$3&lt;=6)*('Capital Expenditure'!$C$3:$BN$3&gt;6-'Assumption Setting'!$E$205)*'Capital Expenditure'!$C$7:$BN$7)/'Assumption Setting'!$E$205</f>
        <v>113.268608414239</v>
      </c>
      <c r="I7" s="60" t="n">
        <f aca="false">SUMPRODUCT(('Capital Expenditure'!$C$3:$BN$3&lt;=7)*('Capital Expenditure'!$C$3:$BN$3&gt;7-'Assumption Setting'!$E$205)*'Capital Expenditure'!$C$7:$BN$7)/'Assumption Setting'!$E$205</f>
        <v>113.268608414239</v>
      </c>
      <c r="J7" s="60" t="n">
        <f aca="false">SUMPRODUCT(('Capital Expenditure'!$C$3:$BN$3&lt;=8)*('Capital Expenditure'!$C$3:$BN$3&gt;8-'Assumption Setting'!$E$205)*'Capital Expenditure'!$C$7:$BN$7)/'Assumption Setting'!$E$205</f>
        <v>113.268608414239</v>
      </c>
      <c r="K7" s="60" t="n">
        <f aca="false">SUMPRODUCT(('Capital Expenditure'!$C$3:$BN$3&lt;=9)*('Capital Expenditure'!$C$3:$BN$3&gt;9-'Assumption Setting'!$E$205)*'Capital Expenditure'!$C$7:$BN$7)/'Assumption Setting'!$E$205</f>
        <v>113.268608414239</v>
      </c>
      <c r="L7" s="60" t="n">
        <f aca="false">SUMPRODUCT(('Capital Expenditure'!$C$3:$BN$3&lt;=10)*('Capital Expenditure'!$C$3:$BN$3&gt;10-'Assumption Setting'!$E$205)*'Capital Expenditure'!$C$7:$BN$7)/'Assumption Setting'!$E$205</f>
        <v>113.268608414239</v>
      </c>
      <c r="M7" s="60" t="n">
        <f aca="false">SUMPRODUCT(('Capital Expenditure'!$C$3:$BN$3&lt;=11)*('Capital Expenditure'!$C$3:$BN$3&gt;11-'Assumption Setting'!$E$205)*'Capital Expenditure'!$C$7:$BN$7)/'Assumption Setting'!$E$205</f>
        <v>113.268608414239</v>
      </c>
      <c r="N7" s="60" t="n">
        <f aca="false">SUMPRODUCT(('Capital Expenditure'!$C$3:$BN$3&lt;=12)*('Capital Expenditure'!$C$3:$BN$3&gt;12-'Assumption Setting'!$E$205)*'Capital Expenditure'!$C$7:$BN$7)/'Assumption Setting'!$E$205</f>
        <v>113.268608414239</v>
      </c>
      <c r="O7" s="59" t="n">
        <f aca="false">SUM(P7:AA7)</f>
        <v>1359.22330097087</v>
      </c>
      <c r="P7" s="60" t="n">
        <f aca="false">SUMPRODUCT(('Capital Expenditure'!$C$3:$BN$3&lt;=13)*('Capital Expenditure'!$C$3:$BN$3&gt;13-'Assumption Setting'!$E$205)*'Capital Expenditure'!$C$7:$BN$7)/'Assumption Setting'!$E$205</f>
        <v>113.268608414239</v>
      </c>
      <c r="Q7" s="60" t="n">
        <f aca="false">SUMPRODUCT(('Capital Expenditure'!$C$3:$BN$3&lt;=14)*('Capital Expenditure'!$C$3:$BN$3&gt;14-'Assumption Setting'!$E$205)*'Capital Expenditure'!$C$7:$BN$7)/'Assumption Setting'!$E$205</f>
        <v>113.268608414239</v>
      </c>
      <c r="R7" s="60" t="n">
        <f aca="false">SUMPRODUCT(('Capital Expenditure'!$C$3:$BN$3&lt;=15)*('Capital Expenditure'!$C$3:$BN$3&gt;15-'Assumption Setting'!$E$205)*'Capital Expenditure'!$C$7:$BN$7)/'Assumption Setting'!$E$205</f>
        <v>113.268608414239</v>
      </c>
      <c r="S7" s="60" t="n">
        <f aca="false">SUMPRODUCT(('Capital Expenditure'!$C$3:$BN$3&lt;=16)*('Capital Expenditure'!$C$3:$BN$3&gt;16-'Assumption Setting'!$E$205)*'Capital Expenditure'!$C$7:$BN$7)/'Assumption Setting'!$E$205</f>
        <v>113.268608414239</v>
      </c>
      <c r="T7" s="60" t="n">
        <f aca="false">SUMPRODUCT(('Capital Expenditure'!$C$3:$BN$3&lt;=17)*('Capital Expenditure'!$C$3:$BN$3&gt;17-'Assumption Setting'!$E$205)*'Capital Expenditure'!$C$7:$BN$7)/'Assumption Setting'!$E$205</f>
        <v>113.268608414239</v>
      </c>
      <c r="U7" s="60" t="n">
        <f aca="false">SUMPRODUCT(('Capital Expenditure'!$C$3:$BN$3&lt;=18)*('Capital Expenditure'!$C$3:$BN$3&gt;18-'Assumption Setting'!$E$205)*'Capital Expenditure'!$C$7:$BN$7)/'Assumption Setting'!$E$205</f>
        <v>113.268608414239</v>
      </c>
      <c r="V7" s="60" t="n">
        <f aca="false">SUMPRODUCT(('Capital Expenditure'!$C$3:$BN$3&lt;=19)*('Capital Expenditure'!$C$3:$BN$3&gt;19-'Assumption Setting'!$E$205)*'Capital Expenditure'!$C$7:$BN$7)/'Assumption Setting'!$E$205</f>
        <v>113.268608414239</v>
      </c>
      <c r="W7" s="60" t="n">
        <f aca="false">SUMPRODUCT(('Capital Expenditure'!$C$3:$BN$3&lt;=20)*('Capital Expenditure'!$C$3:$BN$3&gt;20-'Assumption Setting'!$E$205)*'Capital Expenditure'!$C$7:$BN$7)/'Assumption Setting'!$E$205</f>
        <v>113.268608414239</v>
      </c>
      <c r="X7" s="60" t="n">
        <f aca="false">SUMPRODUCT(('Capital Expenditure'!$C$3:$BN$3&lt;=21)*('Capital Expenditure'!$C$3:$BN$3&gt;21-'Assumption Setting'!$E$205)*'Capital Expenditure'!$C$7:$BN$7)/'Assumption Setting'!$E$205</f>
        <v>113.268608414239</v>
      </c>
      <c r="Y7" s="60" t="n">
        <f aca="false">SUMPRODUCT(('Capital Expenditure'!$C$3:$BN$3&lt;=22)*('Capital Expenditure'!$C$3:$BN$3&gt;22-'Assumption Setting'!$E$205)*'Capital Expenditure'!$C$7:$BN$7)/'Assumption Setting'!$E$205</f>
        <v>113.268608414239</v>
      </c>
      <c r="Z7" s="60" t="n">
        <f aca="false">SUMPRODUCT(('Capital Expenditure'!$C$3:$BN$3&lt;=23)*('Capital Expenditure'!$C$3:$BN$3&gt;23-'Assumption Setting'!$E$205)*'Capital Expenditure'!$C$7:$BN$7)/'Assumption Setting'!$E$205</f>
        <v>113.268608414239</v>
      </c>
      <c r="AA7" s="60" t="n">
        <f aca="false">SUMPRODUCT(('Capital Expenditure'!$C$3:$BN$3&lt;=24)*('Capital Expenditure'!$C$3:$BN$3&gt;24-'Assumption Setting'!$E$205)*'Capital Expenditure'!$C$7:$BN$7)/'Assumption Setting'!$E$205</f>
        <v>113.268608414239</v>
      </c>
      <c r="AB7" s="59" t="n">
        <f aca="false">SUM(AC7:AN7)</f>
        <v>1359.22330097087</v>
      </c>
      <c r="AC7" s="60" t="n">
        <f aca="false">SUMPRODUCT(('Capital Expenditure'!$C$3:$BN$3&lt;=25)*('Capital Expenditure'!$C$3:$BN$3&gt;25-'Assumption Setting'!$E$205)*'Capital Expenditure'!$C$7:$BN$7)/'Assumption Setting'!$E$205</f>
        <v>113.268608414239</v>
      </c>
      <c r="AD7" s="60" t="n">
        <f aca="false">SUMPRODUCT(('Capital Expenditure'!$C$3:$BN$3&lt;=26)*('Capital Expenditure'!$C$3:$BN$3&gt;26-'Assumption Setting'!$E$205)*'Capital Expenditure'!$C$7:$BN$7)/'Assumption Setting'!$E$205</f>
        <v>113.268608414239</v>
      </c>
      <c r="AE7" s="60" t="n">
        <f aca="false">SUMPRODUCT(('Capital Expenditure'!$C$3:$BN$3&lt;=27)*('Capital Expenditure'!$C$3:$BN$3&gt;27-'Assumption Setting'!$E$205)*'Capital Expenditure'!$C$7:$BN$7)/'Assumption Setting'!$E$205</f>
        <v>113.268608414239</v>
      </c>
      <c r="AF7" s="60" t="n">
        <f aca="false">SUMPRODUCT(('Capital Expenditure'!$C$3:$BN$3&lt;=28)*('Capital Expenditure'!$C$3:$BN$3&gt;28-'Assumption Setting'!$E$205)*'Capital Expenditure'!$C$7:$BN$7)/'Assumption Setting'!$E$205</f>
        <v>113.268608414239</v>
      </c>
      <c r="AG7" s="60" t="n">
        <f aca="false">SUMPRODUCT(('Capital Expenditure'!$C$3:$BN$3&lt;=29)*('Capital Expenditure'!$C$3:$BN$3&gt;29-'Assumption Setting'!$E$205)*'Capital Expenditure'!$C$7:$BN$7)/'Assumption Setting'!$E$205</f>
        <v>113.268608414239</v>
      </c>
      <c r="AH7" s="60" t="n">
        <f aca="false">SUMPRODUCT(('Capital Expenditure'!$C$3:$BN$3&lt;=30)*('Capital Expenditure'!$C$3:$BN$3&gt;30-'Assumption Setting'!$E$205)*'Capital Expenditure'!$C$7:$BN$7)/'Assumption Setting'!$E$205</f>
        <v>113.268608414239</v>
      </c>
      <c r="AI7" s="60" t="n">
        <f aca="false">SUMPRODUCT(('Capital Expenditure'!$C$3:$BN$3&lt;=31)*('Capital Expenditure'!$C$3:$BN$3&gt;31-'Assumption Setting'!$E$205)*'Capital Expenditure'!$C$7:$BN$7)/'Assumption Setting'!$E$205</f>
        <v>113.268608414239</v>
      </c>
      <c r="AJ7" s="60" t="n">
        <f aca="false">SUMPRODUCT(('Capital Expenditure'!$C$3:$BN$3&lt;=32)*('Capital Expenditure'!$C$3:$BN$3&gt;32-'Assumption Setting'!$E$205)*'Capital Expenditure'!$C$7:$BN$7)/'Assumption Setting'!$E$205</f>
        <v>113.268608414239</v>
      </c>
      <c r="AK7" s="60" t="n">
        <f aca="false">SUMPRODUCT(('Capital Expenditure'!$C$3:$BN$3&lt;=33)*('Capital Expenditure'!$C$3:$BN$3&gt;33-'Assumption Setting'!$E$205)*'Capital Expenditure'!$C$7:$BN$7)/'Assumption Setting'!$E$205</f>
        <v>113.268608414239</v>
      </c>
      <c r="AL7" s="60" t="n">
        <f aca="false">SUMPRODUCT(('Capital Expenditure'!$C$3:$BN$3&lt;=34)*('Capital Expenditure'!$C$3:$BN$3&gt;34-'Assumption Setting'!$E$205)*'Capital Expenditure'!$C$7:$BN$7)/'Assumption Setting'!$E$205</f>
        <v>113.268608414239</v>
      </c>
      <c r="AM7" s="60" t="n">
        <f aca="false">SUMPRODUCT(('Capital Expenditure'!$C$3:$BN$3&lt;=35)*('Capital Expenditure'!$C$3:$BN$3&gt;35-'Assumption Setting'!$E$205)*'Capital Expenditure'!$C$7:$BN$7)/'Assumption Setting'!$E$205</f>
        <v>113.268608414239</v>
      </c>
      <c r="AN7" s="60" t="n">
        <f aca="false">SUMPRODUCT(('Capital Expenditure'!$C$3:$BN$3&lt;=36)*('Capital Expenditure'!$C$3:$BN$3&gt;36-'Assumption Setting'!$E$205)*'Capital Expenditure'!$C$7:$BN$7)/'Assumption Setting'!$E$205</f>
        <v>113.268608414239</v>
      </c>
      <c r="AO7" s="59" t="n">
        <f aca="false">SUM(AP7:BA7)</f>
        <v>1359.22330097087</v>
      </c>
      <c r="AP7" s="60" t="n">
        <f aca="false">SUMPRODUCT(('Capital Expenditure'!$C$3:$BN$3&lt;=37)*('Capital Expenditure'!$C$3:$BN$3&gt;37-'Assumption Setting'!$E$205)*'Capital Expenditure'!$C$7:$BN$7)/'Assumption Setting'!$E$205</f>
        <v>113.268608414239</v>
      </c>
      <c r="AQ7" s="60" t="n">
        <f aca="false">SUMPRODUCT(('Capital Expenditure'!$C$3:$BN$3&lt;=38)*('Capital Expenditure'!$C$3:$BN$3&gt;38-'Assumption Setting'!$E$205)*'Capital Expenditure'!$C$7:$BN$7)/'Assumption Setting'!$E$205</f>
        <v>113.268608414239</v>
      </c>
      <c r="AR7" s="60" t="n">
        <f aca="false">SUMPRODUCT(('Capital Expenditure'!$C$3:$BN$3&lt;=39)*('Capital Expenditure'!$C$3:$BN$3&gt;39-'Assumption Setting'!$E$205)*'Capital Expenditure'!$C$7:$BN$7)/'Assumption Setting'!$E$205</f>
        <v>113.268608414239</v>
      </c>
      <c r="AS7" s="60" t="n">
        <f aca="false">SUMPRODUCT(('Capital Expenditure'!$C$3:$BN$3&lt;=40)*('Capital Expenditure'!$C$3:$BN$3&gt;40-'Assumption Setting'!$E$205)*'Capital Expenditure'!$C$7:$BN$7)/'Assumption Setting'!$E$205</f>
        <v>113.268608414239</v>
      </c>
      <c r="AT7" s="60" t="n">
        <f aca="false">SUMPRODUCT(('Capital Expenditure'!$C$3:$BN$3&lt;=41)*('Capital Expenditure'!$C$3:$BN$3&gt;41-'Assumption Setting'!$E$205)*'Capital Expenditure'!$C$7:$BN$7)/'Assumption Setting'!$E$205</f>
        <v>113.268608414239</v>
      </c>
      <c r="AU7" s="60" t="n">
        <f aca="false">SUMPRODUCT(('Capital Expenditure'!$C$3:$BN$3&lt;=42)*('Capital Expenditure'!$C$3:$BN$3&gt;42-'Assumption Setting'!$E$205)*'Capital Expenditure'!$C$7:$BN$7)/'Assumption Setting'!$E$205</f>
        <v>113.268608414239</v>
      </c>
      <c r="AV7" s="60" t="n">
        <f aca="false">SUMPRODUCT(('Capital Expenditure'!$C$3:$BN$3&lt;=43)*('Capital Expenditure'!$C$3:$BN$3&gt;43-'Assumption Setting'!$E$205)*'Capital Expenditure'!$C$7:$BN$7)/'Assumption Setting'!$E$205</f>
        <v>113.268608414239</v>
      </c>
      <c r="AW7" s="60" t="n">
        <f aca="false">SUMPRODUCT(('Capital Expenditure'!$C$3:$BN$3&lt;=44)*('Capital Expenditure'!$C$3:$BN$3&gt;44-'Assumption Setting'!$E$205)*'Capital Expenditure'!$C$7:$BN$7)/'Assumption Setting'!$E$205</f>
        <v>113.268608414239</v>
      </c>
      <c r="AX7" s="60" t="n">
        <f aca="false">SUMPRODUCT(('Capital Expenditure'!$C$3:$BN$3&lt;=45)*('Capital Expenditure'!$C$3:$BN$3&gt;45-'Assumption Setting'!$E$205)*'Capital Expenditure'!$C$7:$BN$7)/'Assumption Setting'!$E$205</f>
        <v>113.268608414239</v>
      </c>
      <c r="AY7" s="60" t="n">
        <f aca="false">SUMPRODUCT(('Capital Expenditure'!$C$3:$BN$3&lt;=46)*('Capital Expenditure'!$C$3:$BN$3&gt;46-'Assumption Setting'!$E$205)*'Capital Expenditure'!$C$7:$BN$7)/'Assumption Setting'!$E$205</f>
        <v>113.268608414239</v>
      </c>
      <c r="AZ7" s="60" t="n">
        <f aca="false">SUMPRODUCT(('Capital Expenditure'!$C$3:$BN$3&lt;=47)*('Capital Expenditure'!$C$3:$BN$3&gt;47-'Assumption Setting'!$E$205)*'Capital Expenditure'!$C$7:$BN$7)/'Assumption Setting'!$E$205</f>
        <v>113.268608414239</v>
      </c>
      <c r="BA7" s="60" t="n">
        <f aca="false">SUMPRODUCT(('Capital Expenditure'!$C$3:$BN$3&lt;=48)*('Capital Expenditure'!$C$3:$BN$3&gt;48-'Assumption Setting'!$E$205)*'Capital Expenditure'!$C$7:$BN$7)/'Assumption Setting'!$E$205</f>
        <v>113.268608414239</v>
      </c>
      <c r="BB7" s="59" t="n">
        <f aca="false">SUM(BC7:BN7)</f>
        <v>1359.22330097087</v>
      </c>
      <c r="BC7" s="60" t="n">
        <f aca="false">SUMPRODUCT(('Capital Expenditure'!$C$3:$BN$3&lt;=49)*('Capital Expenditure'!$C$3:$BN$3&gt;49-'Assumption Setting'!$E$205)*'Capital Expenditure'!$C$7:$BN$7)/'Assumption Setting'!$E$205</f>
        <v>113.268608414239</v>
      </c>
      <c r="BD7" s="60" t="n">
        <f aca="false">SUMPRODUCT(('Capital Expenditure'!$C$3:$BN$3&lt;=50)*('Capital Expenditure'!$C$3:$BN$3&gt;50-'Assumption Setting'!$E$205)*'Capital Expenditure'!$C$7:$BN$7)/'Assumption Setting'!$E$205</f>
        <v>113.268608414239</v>
      </c>
      <c r="BE7" s="60" t="n">
        <f aca="false">SUMPRODUCT(('Capital Expenditure'!$C$3:$BN$3&lt;=51)*('Capital Expenditure'!$C$3:$BN$3&gt;51-'Assumption Setting'!$E$205)*'Capital Expenditure'!$C$7:$BN$7)/'Assumption Setting'!$E$205</f>
        <v>113.268608414239</v>
      </c>
      <c r="BF7" s="60" t="n">
        <f aca="false">SUMPRODUCT(('Capital Expenditure'!$C$3:$BN$3&lt;=52)*('Capital Expenditure'!$C$3:$BN$3&gt;52-'Assumption Setting'!$E$205)*'Capital Expenditure'!$C$7:$BN$7)/'Assumption Setting'!$E$205</f>
        <v>113.268608414239</v>
      </c>
      <c r="BG7" s="60" t="n">
        <f aca="false">SUMPRODUCT(('Capital Expenditure'!$C$3:$BN$3&lt;=53)*('Capital Expenditure'!$C$3:$BN$3&gt;53-'Assumption Setting'!$E$205)*'Capital Expenditure'!$C$7:$BN$7)/'Assumption Setting'!$E$205</f>
        <v>113.268608414239</v>
      </c>
      <c r="BH7" s="60" t="n">
        <f aca="false">SUMPRODUCT(('Capital Expenditure'!$C$3:$BN$3&lt;=54)*('Capital Expenditure'!$C$3:$BN$3&gt;54-'Assumption Setting'!$E$205)*'Capital Expenditure'!$C$7:$BN$7)/'Assumption Setting'!$E$205</f>
        <v>113.268608414239</v>
      </c>
      <c r="BI7" s="60" t="n">
        <f aca="false">SUMPRODUCT(('Capital Expenditure'!$C$3:$BN$3&lt;=55)*('Capital Expenditure'!$C$3:$BN$3&gt;55-'Assumption Setting'!$E$205)*'Capital Expenditure'!$C$7:$BN$7)/'Assumption Setting'!$E$205</f>
        <v>113.268608414239</v>
      </c>
      <c r="BJ7" s="60" t="n">
        <f aca="false">SUMPRODUCT(('Capital Expenditure'!$C$3:$BN$3&lt;=56)*('Capital Expenditure'!$C$3:$BN$3&gt;56-'Assumption Setting'!$E$205)*'Capital Expenditure'!$C$7:$BN$7)/'Assumption Setting'!$E$205</f>
        <v>113.268608414239</v>
      </c>
      <c r="BK7" s="60" t="n">
        <f aca="false">SUMPRODUCT(('Capital Expenditure'!$C$3:$BN$3&lt;=57)*('Capital Expenditure'!$C$3:$BN$3&gt;57-'Assumption Setting'!$E$205)*'Capital Expenditure'!$C$7:$BN$7)/'Assumption Setting'!$E$205</f>
        <v>113.268608414239</v>
      </c>
      <c r="BL7" s="60" t="n">
        <f aca="false">SUMPRODUCT(('Capital Expenditure'!$C$3:$BN$3&lt;=58)*('Capital Expenditure'!$C$3:$BN$3&gt;58-'Assumption Setting'!$E$205)*'Capital Expenditure'!$C$7:$BN$7)/'Assumption Setting'!$E$205</f>
        <v>113.268608414239</v>
      </c>
      <c r="BM7" s="60" t="n">
        <f aca="false">SUMPRODUCT(('Capital Expenditure'!$C$3:$BN$3&lt;=59)*('Capital Expenditure'!$C$3:$BN$3&gt;59-'Assumption Setting'!$E$205)*'Capital Expenditure'!$C$7:$BN$7)/'Assumption Setting'!$E$205</f>
        <v>113.268608414239</v>
      </c>
      <c r="BN7" s="60" t="n">
        <f aca="false">SUMPRODUCT(('Capital Expenditure'!$C$3:$BN$3&lt;=60)*('Capital Expenditure'!$C$3:$BN$3&gt;60-'Assumption Setting'!$E$205)*'Capital Expenditure'!$C$7:$BN$7)/'Assumption Setting'!$E$205</f>
        <v>113.268608414239</v>
      </c>
    </row>
    <row r="8" customFormat="false" ht="15" hidden="false" customHeight="false" outlineLevel="0" collapsed="false">
      <c r="A8" s="4" t="s">
        <v>551</v>
      </c>
      <c r="B8" s="59" t="n">
        <f aca="false">SUM(C8:N8)</f>
        <v>728.155339805825</v>
      </c>
      <c r="C8" s="60" t="n">
        <f aca="false">SUMPRODUCT(('Capital Expenditure'!$C$3:$BN$3&lt;=1)*('Capital Expenditure'!$C$3:$BN$3&gt;1-'Assumption Setting'!$E$206)*'Capital Expenditure'!$C$8:$BN$8)/'Assumption Setting'!$E$206</f>
        <v>60.6796116504854</v>
      </c>
      <c r="D8" s="60" t="n">
        <f aca="false">SUMPRODUCT(('Capital Expenditure'!$C$3:$BN$3&lt;=2)*('Capital Expenditure'!$C$3:$BN$3&gt;2-'Assumption Setting'!$E$206)*'Capital Expenditure'!$C$8:$BN$8)/'Assumption Setting'!$E$206</f>
        <v>60.6796116504854</v>
      </c>
      <c r="E8" s="60" t="n">
        <f aca="false">SUMPRODUCT(('Capital Expenditure'!$C$3:$BN$3&lt;=3)*('Capital Expenditure'!$C$3:$BN$3&gt;3-'Assumption Setting'!$E$206)*'Capital Expenditure'!$C$8:$BN$8)/'Assumption Setting'!$E$206</f>
        <v>60.6796116504854</v>
      </c>
      <c r="F8" s="60" t="n">
        <f aca="false">SUMPRODUCT(('Capital Expenditure'!$C$3:$BN$3&lt;=4)*('Capital Expenditure'!$C$3:$BN$3&gt;4-'Assumption Setting'!$E$206)*'Capital Expenditure'!$C$8:$BN$8)/'Assumption Setting'!$E$206</f>
        <v>60.6796116504854</v>
      </c>
      <c r="G8" s="60" t="n">
        <f aca="false">SUMPRODUCT(('Capital Expenditure'!$C$3:$BN$3&lt;=5)*('Capital Expenditure'!$C$3:$BN$3&gt;5-'Assumption Setting'!$E$206)*'Capital Expenditure'!$C$8:$BN$8)/'Assumption Setting'!$E$206</f>
        <v>60.6796116504854</v>
      </c>
      <c r="H8" s="60" t="n">
        <f aca="false">SUMPRODUCT(('Capital Expenditure'!$C$3:$BN$3&lt;=6)*('Capital Expenditure'!$C$3:$BN$3&gt;6-'Assumption Setting'!$E$206)*'Capital Expenditure'!$C$8:$BN$8)/'Assumption Setting'!$E$206</f>
        <v>60.6796116504854</v>
      </c>
      <c r="I8" s="60" t="n">
        <f aca="false">SUMPRODUCT(('Capital Expenditure'!$C$3:$BN$3&lt;=7)*('Capital Expenditure'!$C$3:$BN$3&gt;7-'Assumption Setting'!$E$206)*'Capital Expenditure'!$C$8:$BN$8)/'Assumption Setting'!$E$206</f>
        <v>60.6796116504854</v>
      </c>
      <c r="J8" s="60" t="n">
        <f aca="false">SUMPRODUCT(('Capital Expenditure'!$C$3:$BN$3&lt;=8)*('Capital Expenditure'!$C$3:$BN$3&gt;8-'Assumption Setting'!$E$206)*'Capital Expenditure'!$C$8:$BN$8)/'Assumption Setting'!$E$206</f>
        <v>60.6796116504854</v>
      </c>
      <c r="K8" s="60" t="n">
        <f aca="false">SUMPRODUCT(('Capital Expenditure'!$C$3:$BN$3&lt;=9)*('Capital Expenditure'!$C$3:$BN$3&gt;9-'Assumption Setting'!$E$206)*'Capital Expenditure'!$C$8:$BN$8)/'Assumption Setting'!$E$206</f>
        <v>60.6796116504854</v>
      </c>
      <c r="L8" s="60" t="n">
        <f aca="false">SUMPRODUCT(('Capital Expenditure'!$C$3:$BN$3&lt;=10)*('Capital Expenditure'!$C$3:$BN$3&gt;10-'Assumption Setting'!$E$206)*'Capital Expenditure'!$C$8:$BN$8)/'Assumption Setting'!$E$206</f>
        <v>60.6796116504854</v>
      </c>
      <c r="M8" s="60" t="n">
        <f aca="false">SUMPRODUCT(('Capital Expenditure'!$C$3:$BN$3&lt;=11)*('Capital Expenditure'!$C$3:$BN$3&gt;11-'Assumption Setting'!$E$206)*'Capital Expenditure'!$C$8:$BN$8)/'Assumption Setting'!$E$206</f>
        <v>60.6796116504854</v>
      </c>
      <c r="N8" s="60" t="n">
        <f aca="false">SUMPRODUCT(('Capital Expenditure'!$C$3:$BN$3&lt;=12)*('Capital Expenditure'!$C$3:$BN$3&gt;12-'Assumption Setting'!$E$206)*'Capital Expenditure'!$C$8:$BN$8)/'Assumption Setting'!$E$206</f>
        <v>60.6796116504854</v>
      </c>
      <c r="O8" s="59" t="n">
        <f aca="false">SUM(P8:AA8)</f>
        <v>728.155339805825</v>
      </c>
      <c r="P8" s="60" t="n">
        <f aca="false">SUMPRODUCT(('Capital Expenditure'!$C$3:$BN$3&lt;=13)*('Capital Expenditure'!$C$3:$BN$3&gt;13-'Assumption Setting'!$E$206)*'Capital Expenditure'!$C$8:$BN$8)/'Assumption Setting'!$E$206</f>
        <v>60.6796116504854</v>
      </c>
      <c r="Q8" s="60" t="n">
        <f aca="false">SUMPRODUCT(('Capital Expenditure'!$C$3:$BN$3&lt;=14)*('Capital Expenditure'!$C$3:$BN$3&gt;14-'Assumption Setting'!$E$206)*'Capital Expenditure'!$C$8:$BN$8)/'Assumption Setting'!$E$206</f>
        <v>60.6796116504854</v>
      </c>
      <c r="R8" s="60" t="n">
        <f aca="false">SUMPRODUCT(('Capital Expenditure'!$C$3:$BN$3&lt;=15)*('Capital Expenditure'!$C$3:$BN$3&gt;15-'Assumption Setting'!$E$206)*'Capital Expenditure'!$C$8:$BN$8)/'Assumption Setting'!$E$206</f>
        <v>60.6796116504854</v>
      </c>
      <c r="S8" s="60" t="n">
        <f aca="false">SUMPRODUCT(('Capital Expenditure'!$C$3:$BN$3&lt;=16)*('Capital Expenditure'!$C$3:$BN$3&gt;16-'Assumption Setting'!$E$206)*'Capital Expenditure'!$C$8:$BN$8)/'Assumption Setting'!$E$206</f>
        <v>60.6796116504854</v>
      </c>
      <c r="T8" s="60" t="n">
        <f aca="false">SUMPRODUCT(('Capital Expenditure'!$C$3:$BN$3&lt;=17)*('Capital Expenditure'!$C$3:$BN$3&gt;17-'Assumption Setting'!$E$206)*'Capital Expenditure'!$C$8:$BN$8)/'Assumption Setting'!$E$206</f>
        <v>60.6796116504854</v>
      </c>
      <c r="U8" s="60" t="n">
        <f aca="false">SUMPRODUCT(('Capital Expenditure'!$C$3:$BN$3&lt;=18)*('Capital Expenditure'!$C$3:$BN$3&gt;18-'Assumption Setting'!$E$206)*'Capital Expenditure'!$C$8:$BN$8)/'Assumption Setting'!$E$206</f>
        <v>60.6796116504854</v>
      </c>
      <c r="V8" s="60" t="n">
        <f aca="false">SUMPRODUCT(('Capital Expenditure'!$C$3:$BN$3&lt;=19)*('Capital Expenditure'!$C$3:$BN$3&gt;19-'Assumption Setting'!$E$206)*'Capital Expenditure'!$C$8:$BN$8)/'Assumption Setting'!$E$206</f>
        <v>60.6796116504854</v>
      </c>
      <c r="W8" s="60" t="n">
        <f aca="false">SUMPRODUCT(('Capital Expenditure'!$C$3:$BN$3&lt;=20)*('Capital Expenditure'!$C$3:$BN$3&gt;20-'Assumption Setting'!$E$206)*'Capital Expenditure'!$C$8:$BN$8)/'Assumption Setting'!$E$206</f>
        <v>60.6796116504854</v>
      </c>
      <c r="X8" s="60" t="n">
        <f aca="false">SUMPRODUCT(('Capital Expenditure'!$C$3:$BN$3&lt;=21)*('Capital Expenditure'!$C$3:$BN$3&gt;21-'Assumption Setting'!$E$206)*'Capital Expenditure'!$C$8:$BN$8)/'Assumption Setting'!$E$206</f>
        <v>60.6796116504854</v>
      </c>
      <c r="Y8" s="60" t="n">
        <f aca="false">SUMPRODUCT(('Capital Expenditure'!$C$3:$BN$3&lt;=22)*('Capital Expenditure'!$C$3:$BN$3&gt;22-'Assumption Setting'!$E$206)*'Capital Expenditure'!$C$8:$BN$8)/'Assumption Setting'!$E$206</f>
        <v>60.6796116504854</v>
      </c>
      <c r="Z8" s="60" t="n">
        <f aca="false">SUMPRODUCT(('Capital Expenditure'!$C$3:$BN$3&lt;=23)*('Capital Expenditure'!$C$3:$BN$3&gt;23-'Assumption Setting'!$E$206)*'Capital Expenditure'!$C$8:$BN$8)/'Assumption Setting'!$E$206</f>
        <v>60.6796116504854</v>
      </c>
      <c r="AA8" s="60" t="n">
        <f aca="false">SUMPRODUCT(('Capital Expenditure'!$C$3:$BN$3&lt;=24)*('Capital Expenditure'!$C$3:$BN$3&gt;24-'Assumption Setting'!$E$206)*'Capital Expenditure'!$C$8:$BN$8)/'Assumption Setting'!$E$206</f>
        <v>60.6796116504854</v>
      </c>
      <c r="AB8" s="59" t="n">
        <f aca="false">SUM(AC8:AN8)</f>
        <v>728.155339805825</v>
      </c>
      <c r="AC8" s="60" t="n">
        <f aca="false">SUMPRODUCT(('Capital Expenditure'!$C$3:$BN$3&lt;=25)*('Capital Expenditure'!$C$3:$BN$3&gt;25-'Assumption Setting'!$E$206)*'Capital Expenditure'!$C$8:$BN$8)/'Assumption Setting'!$E$206</f>
        <v>60.6796116504854</v>
      </c>
      <c r="AD8" s="60" t="n">
        <f aca="false">SUMPRODUCT(('Capital Expenditure'!$C$3:$BN$3&lt;=26)*('Capital Expenditure'!$C$3:$BN$3&gt;26-'Assumption Setting'!$E$206)*'Capital Expenditure'!$C$8:$BN$8)/'Assumption Setting'!$E$206</f>
        <v>60.6796116504854</v>
      </c>
      <c r="AE8" s="60" t="n">
        <f aca="false">SUMPRODUCT(('Capital Expenditure'!$C$3:$BN$3&lt;=27)*('Capital Expenditure'!$C$3:$BN$3&gt;27-'Assumption Setting'!$E$206)*'Capital Expenditure'!$C$8:$BN$8)/'Assumption Setting'!$E$206</f>
        <v>60.6796116504854</v>
      </c>
      <c r="AF8" s="60" t="n">
        <f aca="false">SUMPRODUCT(('Capital Expenditure'!$C$3:$BN$3&lt;=28)*('Capital Expenditure'!$C$3:$BN$3&gt;28-'Assumption Setting'!$E$206)*'Capital Expenditure'!$C$8:$BN$8)/'Assumption Setting'!$E$206</f>
        <v>60.6796116504854</v>
      </c>
      <c r="AG8" s="60" t="n">
        <f aca="false">SUMPRODUCT(('Capital Expenditure'!$C$3:$BN$3&lt;=29)*('Capital Expenditure'!$C$3:$BN$3&gt;29-'Assumption Setting'!$E$206)*'Capital Expenditure'!$C$8:$BN$8)/'Assumption Setting'!$E$206</f>
        <v>60.6796116504854</v>
      </c>
      <c r="AH8" s="60" t="n">
        <f aca="false">SUMPRODUCT(('Capital Expenditure'!$C$3:$BN$3&lt;=30)*('Capital Expenditure'!$C$3:$BN$3&gt;30-'Assumption Setting'!$E$206)*'Capital Expenditure'!$C$8:$BN$8)/'Assumption Setting'!$E$206</f>
        <v>60.6796116504854</v>
      </c>
      <c r="AI8" s="60" t="n">
        <f aca="false">SUMPRODUCT(('Capital Expenditure'!$C$3:$BN$3&lt;=31)*('Capital Expenditure'!$C$3:$BN$3&gt;31-'Assumption Setting'!$E$206)*'Capital Expenditure'!$C$8:$BN$8)/'Assumption Setting'!$E$206</f>
        <v>60.6796116504854</v>
      </c>
      <c r="AJ8" s="60" t="n">
        <f aca="false">SUMPRODUCT(('Capital Expenditure'!$C$3:$BN$3&lt;=32)*('Capital Expenditure'!$C$3:$BN$3&gt;32-'Assumption Setting'!$E$206)*'Capital Expenditure'!$C$8:$BN$8)/'Assumption Setting'!$E$206</f>
        <v>60.6796116504854</v>
      </c>
      <c r="AK8" s="60" t="n">
        <f aca="false">SUMPRODUCT(('Capital Expenditure'!$C$3:$BN$3&lt;=33)*('Capital Expenditure'!$C$3:$BN$3&gt;33-'Assumption Setting'!$E$206)*'Capital Expenditure'!$C$8:$BN$8)/'Assumption Setting'!$E$206</f>
        <v>60.6796116504854</v>
      </c>
      <c r="AL8" s="60" t="n">
        <f aca="false">SUMPRODUCT(('Capital Expenditure'!$C$3:$BN$3&lt;=34)*('Capital Expenditure'!$C$3:$BN$3&gt;34-'Assumption Setting'!$E$206)*'Capital Expenditure'!$C$8:$BN$8)/'Assumption Setting'!$E$206</f>
        <v>60.6796116504854</v>
      </c>
      <c r="AM8" s="60" t="n">
        <f aca="false">SUMPRODUCT(('Capital Expenditure'!$C$3:$BN$3&lt;=35)*('Capital Expenditure'!$C$3:$BN$3&gt;35-'Assumption Setting'!$E$206)*'Capital Expenditure'!$C$8:$BN$8)/'Assumption Setting'!$E$206</f>
        <v>60.6796116504854</v>
      </c>
      <c r="AN8" s="60" t="n">
        <f aca="false">SUMPRODUCT(('Capital Expenditure'!$C$3:$BN$3&lt;=36)*('Capital Expenditure'!$C$3:$BN$3&gt;36-'Assumption Setting'!$E$206)*'Capital Expenditure'!$C$8:$BN$8)/'Assumption Setting'!$E$206</f>
        <v>60.6796116504854</v>
      </c>
      <c r="AO8" s="59" t="n">
        <f aca="false">SUM(AP8:BA8)</f>
        <v>728.155339805825</v>
      </c>
      <c r="AP8" s="60" t="n">
        <f aca="false">SUMPRODUCT(('Capital Expenditure'!$C$3:$BN$3&lt;=37)*('Capital Expenditure'!$C$3:$BN$3&gt;37-'Assumption Setting'!$E$206)*'Capital Expenditure'!$C$8:$BN$8)/'Assumption Setting'!$E$206</f>
        <v>60.6796116504854</v>
      </c>
      <c r="AQ8" s="60" t="n">
        <f aca="false">SUMPRODUCT(('Capital Expenditure'!$C$3:$BN$3&lt;=38)*('Capital Expenditure'!$C$3:$BN$3&gt;38-'Assumption Setting'!$E$206)*'Capital Expenditure'!$C$8:$BN$8)/'Assumption Setting'!$E$206</f>
        <v>60.6796116504854</v>
      </c>
      <c r="AR8" s="60" t="n">
        <f aca="false">SUMPRODUCT(('Capital Expenditure'!$C$3:$BN$3&lt;=39)*('Capital Expenditure'!$C$3:$BN$3&gt;39-'Assumption Setting'!$E$206)*'Capital Expenditure'!$C$8:$BN$8)/'Assumption Setting'!$E$206</f>
        <v>60.6796116504854</v>
      </c>
      <c r="AS8" s="60" t="n">
        <f aca="false">SUMPRODUCT(('Capital Expenditure'!$C$3:$BN$3&lt;=40)*('Capital Expenditure'!$C$3:$BN$3&gt;40-'Assumption Setting'!$E$206)*'Capital Expenditure'!$C$8:$BN$8)/'Assumption Setting'!$E$206</f>
        <v>60.6796116504854</v>
      </c>
      <c r="AT8" s="60" t="n">
        <f aca="false">SUMPRODUCT(('Capital Expenditure'!$C$3:$BN$3&lt;=41)*('Capital Expenditure'!$C$3:$BN$3&gt;41-'Assumption Setting'!$E$206)*'Capital Expenditure'!$C$8:$BN$8)/'Assumption Setting'!$E$206</f>
        <v>60.6796116504854</v>
      </c>
      <c r="AU8" s="60" t="n">
        <f aca="false">SUMPRODUCT(('Capital Expenditure'!$C$3:$BN$3&lt;=42)*('Capital Expenditure'!$C$3:$BN$3&gt;42-'Assumption Setting'!$E$206)*'Capital Expenditure'!$C$8:$BN$8)/'Assumption Setting'!$E$206</f>
        <v>60.6796116504854</v>
      </c>
      <c r="AV8" s="60" t="n">
        <f aca="false">SUMPRODUCT(('Capital Expenditure'!$C$3:$BN$3&lt;=43)*('Capital Expenditure'!$C$3:$BN$3&gt;43-'Assumption Setting'!$E$206)*'Capital Expenditure'!$C$8:$BN$8)/'Assumption Setting'!$E$206</f>
        <v>60.6796116504854</v>
      </c>
      <c r="AW8" s="60" t="n">
        <f aca="false">SUMPRODUCT(('Capital Expenditure'!$C$3:$BN$3&lt;=44)*('Capital Expenditure'!$C$3:$BN$3&gt;44-'Assumption Setting'!$E$206)*'Capital Expenditure'!$C$8:$BN$8)/'Assumption Setting'!$E$206</f>
        <v>60.6796116504854</v>
      </c>
      <c r="AX8" s="60" t="n">
        <f aca="false">SUMPRODUCT(('Capital Expenditure'!$C$3:$BN$3&lt;=45)*('Capital Expenditure'!$C$3:$BN$3&gt;45-'Assumption Setting'!$E$206)*'Capital Expenditure'!$C$8:$BN$8)/'Assumption Setting'!$E$206</f>
        <v>60.6796116504854</v>
      </c>
      <c r="AY8" s="60" t="n">
        <f aca="false">SUMPRODUCT(('Capital Expenditure'!$C$3:$BN$3&lt;=46)*('Capital Expenditure'!$C$3:$BN$3&gt;46-'Assumption Setting'!$E$206)*'Capital Expenditure'!$C$8:$BN$8)/'Assumption Setting'!$E$206</f>
        <v>60.6796116504854</v>
      </c>
      <c r="AZ8" s="60" t="n">
        <f aca="false">SUMPRODUCT(('Capital Expenditure'!$C$3:$BN$3&lt;=47)*('Capital Expenditure'!$C$3:$BN$3&gt;47-'Assumption Setting'!$E$206)*'Capital Expenditure'!$C$8:$BN$8)/'Assumption Setting'!$E$206</f>
        <v>60.6796116504854</v>
      </c>
      <c r="BA8" s="60" t="n">
        <f aca="false">SUMPRODUCT(('Capital Expenditure'!$C$3:$BN$3&lt;=48)*('Capital Expenditure'!$C$3:$BN$3&gt;48-'Assumption Setting'!$E$206)*'Capital Expenditure'!$C$8:$BN$8)/'Assumption Setting'!$E$206</f>
        <v>60.6796116504854</v>
      </c>
      <c r="BB8" s="59" t="n">
        <f aca="false">SUM(BC8:BN8)</f>
        <v>0</v>
      </c>
      <c r="BC8" s="60" t="n">
        <f aca="false">SUMPRODUCT(('Capital Expenditure'!$C$3:$BN$3&lt;=49)*('Capital Expenditure'!$C$3:$BN$3&gt;49-'Assumption Setting'!$E$206)*'Capital Expenditure'!$C$8:$BN$8)/'Assumption Setting'!$E$206</f>
        <v>0</v>
      </c>
      <c r="BD8" s="60" t="n">
        <f aca="false">SUMPRODUCT(('Capital Expenditure'!$C$3:$BN$3&lt;=50)*('Capital Expenditure'!$C$3:$BN$3&gt;50-'Assumption Setting'!$E$206)*'Capital Expenditure'!$C$8:$BN$8)/'Assumption Setting'!$E$206</f>
        <v>0</v>
      </c>
      <c r="BE8" s="60" t="n">
        <f aca="false">SUMPRODUCT(('Capital Expenditure'!$C$3:$BN$3&lt;=51)*('Capital Expenditure'!$C$3:$BN$3&gt;51-'Assumption Setting'!$E$206)*'Capital Expenditure'!$C$8:$BN$8)/'Assumption Setting'!$E$206</f>
        <v>0</v>
      </c>
      <c r="BF8" s="60" t="n">
        <f aca="false">SUMPRODUCT(('Capital Expenditure'!$C$3:$BN$3&lt;=52)*('Capital Expenditure'!$C$3:$BN$3&gt;52-'Assumption Setting'!$E$206)*'Capital Expenditure'!$C$8:$BN$8)/'Assumption Setting'!$E$206</f>
        <v>0</v>
      </c>
      <c r="BG8" s="60" t="n">
        <f aca="false">SUMPRODUCT(('Capital Expenditure'!$C$3:$BN$3&lt;=53)*('Capital Expenditure'!$C$3:$BN$3&gt;53-'Assumption Setting'!$E$206)*'Capital Expenditure'!$C$8:$BN$8)/'Assumption Setting'!$E$206</f>
        <v>0</v>
      </c>
      <c r="BH8" s="60" t="n">
        <f aca="false">SUMPRODUCT(('Capital Expenditure'!$C$3:$BN$3&lt;=54)*('Capital Expenditure'!$C$3:$BN$3&gt;54-'Assumption Setting'!$E$206)*'Capital Expenditure'!$C$8:$BN$8)/'Assumption Setting'!$E$206</f>
        <v>0</v>
      </c>
      <c r="BI8" s="60" t="n">
        <f aca="false">SUMPRODUCT(('Capital Expenditure'!$C$3:$BN$3&lt;=55)*('Capital Expenditure'!$C$3:$BN$3&gt;55-'Assumption Setting'!$E$206)*'Capital Expenditure'!$C$8:$BN$8)/'Assumption Setting'!$E$206</f>
        <v>0</v>
      </c>
      <c r="BJ8" s="60" t="n">
        <f aca="false">SUMPRODUCT(('Capital Expenditure'!$C$3:$BN$3&lt;=56)*('Capital Expenditure'!$C$3:$BN$3&gt;56-'Assumption Setting'!$E$206)*'Capital Expenditure'!$C$8:$BN$8)/'Assumption Setting'!$E$206</f>
        <v>0</v>
      </c>
      <c r="BK8" s="60" t="n">
        <f aca="false">SUMPRODUCT(('Capital Expenditure'!$C$3:$BN$3&lt;=57)*('Capital Expenditure'!$C$3:$BN$3&gt;57-'Assumption Setting'!$E$206)*'Capital Expenditure'!$C$8:$BN$8)/'Assumption Setting'!$E$206</f>
        <v>0</v>
      </c>
      <c r="BL8" s="60" t="n">
        <f aca="false">SUMPRODUCT(('Capital Expenditure'!$C$3:$BN$3&lt;=58)*('Capital Expenditure'!$C$3:$BN$3&gt;58-'Assumption Setting'!$E$206)*'Capital Expenditure'!$C$8:$BN$8)/'Assumption Setting'!$E$206</f>
        <v>0</v>
      </c>
      <c r="BM8" s="60" t="n">
        <f aca="false">SUMPRODUCT(('Capital Expenditure'!$C$3:$BN$3&lt;=59)*('Capital Expenditure'!$C$3:$BN$3&gt;59-'Assumption Setting'!$E$206)*'Capital Expenditure'!$C$8:$BN$8)/'Assumption Setting'!$E$206</f>
        <v>0</v>
      </c>
      <c r="BN8" s="60" t="n">
        <f aca="false">SUMPRODUCT(('Capital Expenditure'!$C$3:$BN$3&lt;=60)*('Capital Expenditure'!$C$3:$BN$3&gt;60-'Assumption Setting'!$E$206)*'Capital Expenditure'!$C$8:$BN$8)/'Assumption Setting'!$E$206</f>
        <v>0</v>
      </c>
    </row>
    <row r="9" customFormat="false" ht="15" hidden="false" customHeight="false" outlineLevel="0" collapsed="false">
      <c r="A9" s="4" t="s">
        <v>553</v>
      </c>
      <c r="B9" s="59" t="n">
        <f aca="false">SUM(C9:N9)</f>
        <v>1165.04854368932</v>
      </c>
      <c r="C9" s="60" t="n">
        <f aca="false">SUMPRODUCT(('Capital Expenditure'!$C$3:$BN$3&lt;=1)*('Capital Expenditure'!$C$3:$BN$3&gt;1-'Assumption Setting'!$E$208)*'Capital Expenditure'!$C$9:$BN$9)/'Assumption Setting'!$E$208</f>
        <v>97.0873786407767</v>
      </c>
      <c r="D9" s="60" t="n">
        <f aca="false">SUMPRODUCT(('Capital Expenditure'!$C$3:$BN$3&lt;=2)*('Capital Expenditure'!$C$3:$BN$3&gt;2-'Assumption Setting'!$E$208)*'Capital Expenditure'!$C$9:$BN$9)/'Assumption Setting'!$E$208</f>
        <v>97.0873786407767</v>
      </c>
      <c r="E9" s="60" t="n">
        <f aca="false">SUMPRODUCT(('Capital Expenditure'!$C$3:$BN$3&lt;=3)*('Capital Expenditure'!$C$3:$BN$3&gt;3-'Assumption Setting'!$E$208)*'Capital Expenditure'!$C$9:$BN$9)/'Assumption Setting'!$E$208</f>
        <v>97.0873786407767</v>
      </c>
      <c r="F9" s="60" t="n">
        <f aca="false">SUMPRODUCT(('Capital Expenditure'!$C$3:$BN$3&lt;=4)*('Capital Expenditure'!$C$3:$BN$3&gt;4-'Assumption Setting'!$E$208)*'Capital Expenditure'!$C$9:$BN$9)/'Assumption Setting'!$E$208</f>
        <v>97.0873786407767</v>
      </c>
      <c r="G9" s="60" t="n">
        <f aca="false">SUMPRODUCT(('Capital Expenditure'!$C$3:$BN$3&lt;=5)*('Capital Expenditure'!$C$3:$BN$3&gt;5-'Assumption Setting'!$E$208)*'Capital Expenditure'!$C$9:$BN$9)/'Assumption Setting'!$E$208</f>
        <v>97.0873786407767</v>
      </c>
      <c r="H9" s="60" t="n">
        <f aca="false">SUMPRODUCT(('Capital Expenditure'!$C$3:$BN$3&lt;=6)*('Capital Expenditure'!$C$3:$BN$3&gt;6-'Assumption Setting'!$E$208)*'Capital Expenditure'!$C$9:$BN$9)/'Assumption Setting'!$E$208</f>
        <v>97.0873786407767</v>
      </c>
      <c r="I9" s="60" t="n">
        <f aca="false">SUMPRODUCT(('Capital Expenditure'!$C$3:$BN$3&lt;=7)*('Capital Expenditure'!$C$3:$BN$3&gt;7-'Assumption Setting'!$E$208)*'Capital Expenditure'!$C$9:$BN$9)/'Assumption Setting'!$E$208</f>
        <v>97.0873786407767</v>
      </c>
      <c r="J9" s="60" t="n">
        <f aca="false">SUMPRODUCT(('Capital Expenditure'!$C$3:$BN$3&lt;=8)*('Capital Expenditure'!$C$3:$BN$3&gt;8-'Assumption Setting'!$E$208)*'Capital Expenditure'!$C$9:$BN$9)/'Assumption Setting'!$E$208</f>
        <v>97.0873786407767</v>
      </c>
      <c r="K9" s="60" t="n">
        <f aca="false">SUMPRODUCT(('Capital Expenditure'!$C$3:$BN$3&lt;=9)*('Capital Expenditure'!$C$3:$BN$3&gt;9-'Assumption Setting'!$E$208)*'Capital Expenditure'!$C$9:$BN$9)/'Assumption Setting'!$E$208</f>
        <v>97.0873786407767</v>
      </c>
      <c r="L9" s="60" t="n">
        <f aca="false">SUMPRODUCT(('Capital Expenditure'!$C$3:$BN$3&lt;=10)*('Capital Expenditure'!$C$3:$BN$3&gt;10-'Assumption Setting'!$E$208)*'Capital Expenditure'!$C$9:$BN$9)/'Assumption Setting'!$E$208</f>
        <v>97.0873786407767</v>
      </c>
      <c r="M9" s="60" t="n">
        <f aca="false">SUMPRODUCT(('Capital Expenditure'!$C$3:$BN$3&lt;=11)*('Capital Expenditure'!$C$3:$BN$3&gt;11-'Assumption Setting'!$E$208)*'Capital Expenditure'!$C$9:$BN$9)/'Assumption Setting'!$E$208</f>
        <v>97.0873786407767</v>
      </c>
      <c r="N9" s="60" t="n">
        <f aca="false">SUMPRODUCT(('Capital Expenditure'!$C$3:$BN$3&lt;=12)*('Capital Expenditure'!$C$3:$BN$3&gt;12-'Assumption Setting'!$E$208)*'Capital Expenditure'!$C$9:$BN$9)/'Assumption Setting'!$E$208</f>
        <v>97.0873786407767</v>
      </c>
      <c r="O9" s="59" t="n">
        <f aca="false">SUM(P9:AA9)</f>
        <v>1165.04854368932</v>
      </c>
      <c r="P9" s="60" t="n">
        <f aca="false">SUMPRODUCT(('Capital Expenditure'!$C$3:$BN$3&lt;=13)*('Capital Expenditure'!$C$3:$BN$3&gt;13-'Assumption Setting'!$E$208)*'Capital Expenditure'!$C$9:$BN$9)/'Assumption Setting'!$E$208</f>
        <v>97.0873786407767</v>
      </c>
      <c r="Q9" s="60" t="n">
        <f aca="false">SUMPRODUCT(('Capital Expenditure'!$C$3:$BN$3&lt;=14)*('Capital Expenditure'!$C$3:$BN$3&gt;14-'Assumption Setting'!$E$208)*'Capital Expenditure'!$C$9:$BN$9)/'Assumption Setting'!$E$208</f>
        <v>97.0873786407767</v>
      </c>
      <c r="R9" s="60" t="n">
        <f aca="false">SUMPRODUCT(('Capital Expenditure'!$C$3:$BN$3&lt;=15)*('Capital Expenditure'!$C$3:$BN$3&gt;15-'Assumption Setting'!$E$208)*'Capital Expenditure'!$C$9:$BN$9)/'Assumption Setting'!$E$208</f>
        <v>97.0873786407767</v>
      </c>
      <c r="S9" s="60" t="n">
        <f aca="false">SUMPRODUCT(('Capital Expenditure'!$C$3:$BN$3&lt;=16)*('Capital Expenditure'!$C$3:$BN$3&gt;16-'Assumption Setting'!$E$208)*'Capital Expenditure'!$C$9:$BN$9)/'Assumption Setting'!$E$208</f>
        <v>97.0873786407767</v>
      </c>
      <c r="T9" s="60" t="n">
        <f aca="false">SUMPRODUCT(('Capital Expenditure'!$C$3:$BN$3&lt;=17)*('Capital Expenditure'!$C$3:$BN$3&gt;17-'Assumption Setting'!$E$208)*'Capital Expenditure'!$C$9:$BN$9)/'Assumption Setting'!$E$208</f>
        <v>97.0873786407767</v>
      </c>
      <c r="U9" s="60" t="n">
        <f aca="false">SUMPRODUCT(('Capital Expenditure'!$C$3:$BN$3&lt;=18)*('Capital Expenditure'!$C$3:$BN$3&gt;18-'Assumption Setting'!$E$208)*'Capital Expenditure'!$C$9:$BN$9)/'Assumption Setting'!$E$208</f>
        <v>97.0873786407767</v>
      </c>
      <c r="V9" s="60" t="n">
        <f aca="false">SUMPRODUCT(('Capital Expenditure'!$C$3:$BN$3&lt;=19)*('Capital Expenditure'!$C$3:$BN$3&gt;19-'Assumption Setting'!$E$208)*'Capital Expenditure'!$C$9:$BN$9)/'Assumption Setting'!$E$208</f>
        <v>97.0873786407767</v>
      </c>
      <c r="W9" s="60" t="n">
        <f aca="false">SUMPRODUCT(('Capital Expenditure'!$C$3:$BN$3&lt;=20)*('Capital Expenditure'!$C$3:$BN$3&gt;20-'Assumption Setting'!$E$208)*'Capital Expenditure'!$C$9:$BN$9)/'Assumption Setting'!$E$208</f>
        <v>97.0873786407767</v>
      </c>
      <c r="X9" s="60" t="n">
        <f aca="false">SUMPRODUCT(('Capital Expenditure'!$C$3:$BN$3&lt;=21)*('Capital Expenditure'!$C$3:$BN$3&gt;21-'Assumption Setting'!$E$208)*'Capital Expenditure'!$C$9:$BN$9)/'Assumption Setting'!$E$208</f>
        <v>97.0873786407767</v>
      </c>
      <c r="Y9" s="60" t="n">
        <f aca="false">SUMPRODUCT(('Capital Expenditure'!$C$3:$BN$3&lt;=22)*('Capital Expenditure'!$C$3:$BN$3&gt;22-'Assumption Setting'!$E$208)*'Capital Expenditure'!$C$9:$BN$9)/'Assumption Setting'!$E$208</f>
        <v>97.0873786407767</v>
      </c>
      <c r="Z9" s="60" t="n">
        <f aca="false">SUMPRODUCT(('Capital Expenditure'!$C$3:$BN$3&lt;=23)*('Capital Expenditure'!$C$3:$BN$3&gt;23-'Assumption Setting'!$E$208)*'Capital Expenditure'!$C$9:$BN$9)/'Assumption Setting'!$E$208</f>
        <v>97.0873786407767</v>
      </c>
      <c r="AA9" s="60" t="n">
        <f aca="false">SUMPRODUCT(('Capital Expenditure'!$C$3:$BN$3&lt;=24)*('Capital Expenditure'!$C$3:$BN$3&gt;24-'Assumption Setting'!$E$208)*'Capital Expenditure'!$C$9:$BN$9)/'Assumption Setting'!$E$208</f>
        <v>97.0873786407767</v>
      </c>
      <c r="AB9" s="59" t="n">
        <f aca="false">SUM(AC9:AN9)</f>
        <v>1165.04854368932</v>
      </c>
      <c r="AC9" s="60" t="n">
        <f aca="false">SUMPRODUCT(('Capital Expenditure'!$C$3:$BN$3&lt;=25)*('Capital Expenditure'!$C$3:$BN$3&gt;25-'Assumption Setting'!$E$208)*'Capital Expenditure'!$C$9:$BN$9)/'Assumption Setting'!$E$208</f>
        <v>97.0873786407767</v>
      </c>
      <c r="AD9" s="60" t="n">
        <f aca="false">SUMPRODUCT(('Capital Expenditure'!$C$3:$BN$3&lt;=26)*('Capital Expenditure'!$C$3:$BN$3&gt;26-'Assumption Setting'!$E$208)*'Capital Expenditure'!$C$9:$BN$9)/'Assumption Setting'!$E$208</f>
        <v>97.0873786407767</v>
      </c>
      <c r="AE9" s="60" t="n">
        <f aca="false">SUMPRODUCT(('Capital Expenditure'!$C$3:$BN$3&lt;=27)*('Capital Expenditure'!$C$3:$BN$3&gt;27-'Assumption Setting'!$E$208)*'Capital Expenditure'!$C$9:$BN$9)/'Assumption Setting'!$E$208</f>
        <v>97.0873786407767</v>
      </c>
      <c r="AF9" s="60" t="n">
        <f aca="false">SUMPRODUCT(('Capital Expenditure'!$C$3:$BN$3&lt;=28)*('Capital Expenditure'!$C$3:$BN$3&gt;28-'Assumption Setting'!$E$208)*'Capital Expenditure'!$C$9:$BN$9)/'Assumption Setting'!$E$208</f>
        <v>97.0873786407767</v>
      </c>
      <c r="AG9" s="60" t="n">
        <f aca="false">SUMPRODUCT(('Capital Expenditure'!$C$3:$BN$3&lt;=29)*('Capital Expenditure'!$C$3:$BN$3&gt;29-'Assumption Setting'!$E$208)*'Capital Expenditure'!$C$9:$BN$9)/'Assumption Setting'!$E$208</f>
        <v>97.0873786407767</v>
      </c>
      <c r="AH9" s="60" t="n">
        <f aca="false">SUMPRODUCT(('Capital Expenditure'!$C$3:$BN$3&lt;=30)*('Capital Expenditure'!$C$3:$BN$3&gt;30-'Assumption Setting'!$E$208)*'Capital Expenditure'!$C$9:$BN$9)/'Assumption Setting'!$E$208</f>
        <v>97.0873786407767</v>
      </c>
      <c r="AI9" s="60" t="n">
        <f aca="false">SUMPRODUCT(('Capital Expenditure'!$C$3:$BN$3&lt;=31)*('Capital Expenditure'!$C$3:$BN$3&gt;31-'Assumption Setting'!$E$208)*'Capital Expenditure'!$C$9:$BN$9)/'Assumption Setting'!$E$208</f>
        <v>97.0873786407767</v>
      </c>
      <c r="AJ9" s="60" t="n">
        <f aca="false">SUMPRODUCT(('Capital Expenditure'!$C$3:$BN$3&lt;=32)*('Capital Expenditure'!$C$3:$BN$3&gt;32-'Assumption Setting'!$E$208)*'Capital Expenditure'!$C$9:$BN$9)/'Assumption Setting'!$E$208</f>
        <v>97.0873786407767</v>
      </c>
      <c r="AK9" s="60" t="n">
        <f aca="false">SUMPRODUCT(('Capital Expenditure'!$C$3:$BN$3&lt;=33)*('Capital Expenditure'!$C$3:$BN$3&gt;33-'Assumption Setting'!$E$208)*'Capital Expenditure'!$C$9:$BN$9)/'Assumption Setting'!$E$208</f>
        <v>97.0873786407767</v>
      </c>
      <c r="AL9" s="60" t="n">
        <f aca="false">SUMPRODUCT(('Capital Expenditure'!$C$3:$BN$3&lt;=34)*('Capital Expenditure'!$C$3:$BN$3&gt;34-'Assumption Setting'!$E$208)*'Capital Expenditure'!$C$9:$BN$9)/'Assumption Setting'!$E$208</f>
        <v>97.0873786407767</v>
      </c>
      <c r="AM9" s="60" t="n">
        <f aca="false">SUMPRODUCT(('Capital Expenditure'!$C$3:$BN$3&lt;=35)*('Capital Expenditure'!$C$3:$BN$3&gt;35-'Assumption Setting'!$E$208)*'Capital Expenditure'!$C$9:$BN$9)/'Assumption Setting'!$E$208</f>
        <v>97.0873786407767</v>
      </c>
      <c r="AN9" s="60" t="n">
        <f aca="false">SUMPRODUCT(('Capital Expenditure'!$C$3:$BN$3&lt;=36)*('Capital Expenditure'!$C$3:$BN$3&gt;36-'Assumption Setting'!$E$208)*'Capital Expenditure'!$C$9:$BN$9)/'Assumption Setting'!$E$208</f>
        <v>97.0873786407767</v>
      </c>
      <c r="AO9" s="59" t="n">
        <f aca="false">SUM(AP9:BA9)</f>
        <v>0</v>
      </c>
      <c r="AP9" s="60" t="n">
        <f aca="false">SUMPRODUCT(('Capital Expenditure'!$C$3:$BN$3&lt;=37)*('Capital Expenditure'!$C$3:$BN$3&gt;37-'Assumption Setting'!$E$208)*'Capital Expenditure'!$C$9:$BN$9)/'Assumption Setting'!$E$208</f>
        <v>0</v>
      </c>
      <c r="AQ9" s="60" t="n">
        <f aca="false">SUMPRODUCT(('Capital Expenditure'!$C$3:$BN$3&lt;=38)*('Capital Expenditure'!$C$3:$BN$3&gt;38-'Assumption Setting'!$E$208)*'Capital Expenditure'!$C$9:$BN$9)/'Assumption Setting'!$E$208</f>
        <v>0</v>
      </c>
      <c r="AR9" s="60" t="n">
        <f aca="false">SUMPRODUCT(('Capital Expenditure'!$C$3:$BN$3&lt;=39)*('Capital Expenditure'!$C$3:$BN$3&gt;39-'Assumption Setting'!$E$208)*'Capital Expenditure'!$C$9:$BN$9)/'Assumption Setting'!$E$208</f>
        <v>0</v>
      </c>
      <c r="AS9" s="60" t="n">
        <f aca="false">SUMPRODUCT(('Capital Expenditure'!$C$3:$BN$3&lt;=40)*('Capital Expenditure'!$C$3:$BN$3&gt;40-'Assumption Setting'!$E$208)*'Capital Expenditure'!$C$9:$BN$9)/'Assumption Setting'!$E$208</f>
        <v>0</v>
      </c>
      <c r="AT9" s="60" t="n">
        <f aca="false">SUMPRODUCT(('Capital Expenditure'!$C$3:$BN$3&lt;=41)*('Capital Expenditure'!$C$3:$BN$3&gt;41-'Assumption Setting'!$E$208)*'Capital Expenditure'!$C$9:$BN$9)/'Assumption Setting'!$E$208</f>
        <v>0</v>
      </c>
      <c r="AU9" s="60" t="n">
        <f aca="false">SUMPRODUCT(('Capital Expenditure'!$C$3:$BN$3&lt;=42)*('Capital Expenditure'!$C$3:$BN$3&gt;42-'Assumption Setting'!$E$208)*'Capital Expenditure'!$C$9:$BN$9)/'Assumption Setting'!$E$208</f>
        <v>0</v>
      </c>
      <c r="AV9" s="60" t="n">
        <f aca="false">SUMPRODUCT(('Capital Expenditure'!$C$3:$BN$3&lt;=43)*('Capital Expenditure'!$C$3:$BN$3&gt;43-'Assumption Setting'!$E$208)*'Capital Expenditure'!$C$9:$BN$9)/'Assumption Setting'!$E$208</f>
        <v>0</v>
      </c>
      <c r="AW9" s="60" t="n">
        <f aca="false">SUMPRODUCT(('Capital Expenditure'!$C$3:$BN$3&lt;=44)*('Capital Expenditure'!$C$3:$BN$3&gt;44-'Assumption Setting'!$E$208)*'Capital Expenditure'!$C$9:$BN$9)/'Assumption Setting'!$E$208</f>
        <v>0</v>
      </c>
      <c r="AX9" s="60" t="n">
        <f aca="false">SUMPRODUCT(('Capital Expenditure'!$C$3:$BN$3&lt;=45)*('Capital Expenditure'!$C$3:$BN$3&gt;45-'Assumption Setting'!$E$208)*'Capital Expenditure'!$C$9:$BN$9)/'Assumption Setting'!$E$208</f>
        <v>0</v>
      </c>
      <c r="AY9" s="60" t="n">
        <f aca="false">SUMPRODUCT(('Capital Expenditure'!$C$3:$BN$3&lt;=46)*('Capital Expenditure'!$C$3:$BN$3&gt;46-'Assumption Setting'!$E$208)*'Capital Expenditure'!$C$9:$BN$9)/'Assumption Setting'!$E$208</f>
        <v>0</v>
      </c>
      <c r="AZ9" s="60" t="n">
        <f aca="false">SUMPRODUCT(('Capital Expenditure'!$C$3:$BN$3&lt;=47)*('Capital Expenditure'!$C$3:$BN$3&gt;47-'Assumption Setting'!$E$208)*'Capital Expenditure'!$C$9:$BN$9)/'Assumption Setting'!$E$208</f>
        <v>0</v>
      </c>
      <c r="BA9" s="60" t="n">
        <f aca="false">SUMPRODUCT(('Capital Expenditure'!$C$3:$BN$3&lt;=48)*('Capital Expenditure'!$C$3:$BN$3&gt;48-'Assumption Setting'!$E$208)*'Capital Expenditure'!$C$9:$BN$9)/'Assumption Setting'!$E$208</f>
        <v>0</v>
      </c>
      <c r="BB9" s="59" t="n">
        <f aca="false">SUM(BC9:BN9)</f>
        <v>0</v>
      </c>
      <c r="BC9" s="60" t="n">
        <f aca="false">SUMPRODUCT(('Capital Expenditure'!$C$3:$BN$3&lt;=49)*('Capital Expenditure'!$C$3:$BN$3&gt;49-'Assumption Setting'!$E$208)*'Capital Expenditure'!$C$9:$BN$9)/'Assumption Setting'!$E$208</f>
        <v>0</v>
      </c>
      <c r="BD9" s="60" t="n">
        <f aca="false">SUMPRODUCT(('Capital Expenditure'!$C$3:$BN$3&lt;=50)*('Capital Expenditure'!$C$3:$BN$3&gt;50-'Assumption Setting'!$E$208)*'Capital Expenditure'!$C$9:$BN$9)/'Assumption Setting'!$E$208</f>
        <v>0</v>
      </c>
      <c r="BE9" s="60" t="n">
        <f aca="false">SUMPRODUCT(('Capital Expenditure'!$C$3:$BN$3&lt;=51)*('Capital Expenditure'!$C$3:$BN$3&gt;51-'Assumption Setting'!$E$208)*'Capital Expenditure'!$C$9:$BN$9)/'Assumption Setting'!$E$208</f>
        <v>0</v>
      </c>
      <c r="BF9" s="60" t="n">
        <f aca="false">SUMPRODUCT(('Capital Expenditure'!$C$3:$BN$3&lt;=52)*('Capital Expenditure'!$C$3:$BN$3&gt;52-'Assumption Setting'!$E$208)*'Capital Expenditure'!$C$9:$BN$9)/'Assumption Setting'!$E$208</f>
        <v>0</v>
      </c>
      <c r="BG9" s="60" t="n">
        <f aca="false">SUMPRODUCT(('Capital Expenditure'!$C$3:$BN$3&lt;=53)*('Capital Expenditure'!$C$3:$BN$3&gt;53-'Assumption Setting'!$E$208)*'Capital Expenditure'!$C$9:$BN$9)/'Assumption Setting'!$E$208</f>
        <v>0</v>
      </c>
      <c r="BH9" s="60" t="n">
        <f aca="false">SUMPRODUCT(('Capital Expenditure'!$C$3:$BN$3&lt;=54)*('Capital Expenditure'!$C$3:$BN$3&gt;54-'Assumption Setting'!$E$208)*'Capital Expenditure'!$C$9:$BN$9)/'Assumption Setting'!$E$208</f>
        <v>0</v>
      </c>
      <c r="BI9" s="60" t="n">
        <f aca="false">SUMPRODUCT(('Capital Expenditure'!$C$3:$BN$3&lt;=55)*('Capital Expenditure'!$C$3:$BN$3&gt;55-'Assumption Setting'!$E$208)*'Capital Expenditure'!$C$9:$BN$9)/'Assumption Setting'!$E$208</f>
        <v>0</v>
      </c>
      <c r="BJ9" s="60" t="n">
        <f aca="false">SUMPRODUCT(('Capital Expenditure'!$C$3:$BN$3&lt;=56)*('Capital Expenditure'!$C$3:$BN$3&gt;56-'Assumption Setting'!$E$208)*'Capital Expenditure'!$C$9:$BN$9)/'Assumption Setting'!$E$208</f>
        <v>0</v>
      </c>
      <c r="BK9" s="60" t="n">
        <f aca="false">SUMPRODUCT(('Capital Expenditure'!$C$3:$BN$3&lt;=57)*('Capital Expenditure'!$C$3:$BN$3&gt;57-'Assumption Setting'!$E$208)*'Capital Expenditure'!$C$9:$BN$9)/'Assumption Setting'!$E$208</f>
        <v>0</v>
      </c>
      <c r="BL9" s="60" t="n">
        <f aca="false">SUMPRODUCT(('Capital Expenditure'!$C$3:$BN$3&lt;=58)*('Capital Expenditure'!$C$3:$BN$3&gt;58-'Assumption Setting'!$E$208)*'Capital Expenditure'!$C$9:$BN$9)/'Assumption Setting'!$E$208</f>
        <v>0</v>
      </c>
      <c r="BM9" s="60" t="n">
        <f aca="false">SUMPRODUCT(('Capital Expenditure'!$C$3:$BN$3&lt;=59)*('Capital Expenditure'!$C$3:$BN$3&gt;59-'Assumption Setting'!$E$208)*'Capital Expenditure'!$C$9:$BN$9)/'Assumption Setting'!$E$208</f>
        <v>0</v>
      </c>
      <c r="BN9" s="60" t="n">
        <f aca="false">SUMPRODUCT(('Capital Expenditure'!$C$3:$BN$3&lt;=60)*('Capital Expenditure'!$C$3:$BN$3&gt;60-'Assumption Setting'!$E$208)*'Capital Expenditure'!$C$9:$BN$9)/'Assumption Setting'!$E$208</f>
        <v>0</v>
      </c>
    </row>
    <row r="10" customFormat="false" ht="15" hidden="false" customHeight="false" outlineLevel="0" collapsed="false">
      <c r="A10" s="4" t="s">
        <v>554</v>
      </c>
      <c r="B10" s="59" t="n">
        <f aca="false">SUM(C10:N10)</f>
        <v>427.329242501353</v>
      </c>
      <c r="C10" s="60" t="n">
        <f aca="false">SUMPRODUCT(('Capital Expenditure'!$C$3:$BN$3&lt;=1)*('Capital Expenditure'!$C$3:$BN$3&gt;1-'Assumption Setting'!$E$209)*'Capital Expenditure'!$C$10:$BN$10)/'Assumption Setting'!$E$209</f>
        <v>0</v>
      </c>
      <c r="D10" s="60" t="n">
        <f aca="false">SUMPRODUCT(('Capital Expenditure'!$C$3:$BN$3&lt;=2)*('Capital Expenditure'!$C$3:$BN$3&gt;2-'Assumption Setting'!$E$209)*'Capital Expenditure'!$C$10:$BN$10)/'Assumption Setting'!$E$209</f>
        <v>0</v>
      </c>
      <c r="E10" s="60" t="n">
        <f aca="false">SUMPRODUCT(('Capital Expenditure'!$C$3:$BN$3&lt;=3)*('Capital Expenditure'!$C$3:$BN$3&gt;3-'Assumption Setting'!$E$209)*'Capital Expenditure'!$C$10:$BN$10)/'Assumption Setting'!$E$209</f>
        <v>42.7329242501353</v>
      </c>
      <c r="F10" s="60" t="n">
        <f aca="false">SUMPRODUCT(('Capital Expenditure'!$C$3:$BN$3&lt;=4)*('Capital Expenditure'!$C$3:$BN$3&gt;4-'Assumption Setting'!$E$209)*'Capital Expenditure'!$C$10:$BN$10)/'Assumption Setting'!$E$209</f>
        <v>42.7329242501353</v>
      </c>
      <c r="G10" s="60" t="n">
        <f aca="false">SUMPRODUCT(('Capital Expenditure'!$C$3:$BN$3&lt;=5)*('Capital Expenditure'!$C$3:$BN$3&gt;5-'Assumption Setting'!$E$209)*'Capital Expenditure'!$C$10:$BN$10)/'Assumption Setting'!$E$209</f>
        <v>42.7329242501353</v>
      </c>
      <c r="H10" s="60" t="n">
        <f aca="false">SUMPRODUCT(('Capital Expenditure'!$C$3:$BN$3&lt;=6)*('Capital Expenditure'!$C$3:$BN$3&gt;6-'Assumption Setting'!$E$209)*'Capital Expenditure'!$C$10:$BN$10)/'Assumption Setting'!$E$209</f>
        <v>42.7329242501353</v>
      </c>
      <c r="I10" s="60" t="n">
        <f aca="false">SUMPRODUCT(('Capital Expenditure'!$C$3:$BN$3&lt;=7)*('Capital Expenditure'!$C$3:$BN$3&gt;7-'Assumption Setting'!$E$209)*'Capital Expenditure'!$C$10:$BN$10)/'Assumption Setting'!$E$209</f>
        <v>42.7329242501353</v>
      </c>
      <c r="J10" s="60" t="n">
        <f aca="false">SUMPRODUCT(('Capital Expenditure'!$C$3:$BN$3&lt;=8)*('Capital Expenditure'!$C$3:$BN$3&gt;8-'Assumption Setting'!$E$209)*'Capital Expenditure'!$C$10:$BN$10)/'Assumption Setting'!$E$209</f>
        <v>42.7329242501353</v>
      </c>
      <c r="K10" s="60" t="n">
        <f aca="false">SUMPRODUCT(('Capital Expenditure'!$C$3:$BN$3&lt;=9)*('Capital Expenditure'!$C$3:$BN$3&gt;9-'Assumption Setting'!$E$209)*'Capital Expenditure'!$C$10:$BN$10)/'Assumption Setting'!$E$209</f>
        <v>42.7329242501353</v>
      </c>
      <c r="L10" s="60" t="n">
        <f aca="false">SUMPRODUCT(('Capital Expenditure'!$C$3:$BN$3&lt;=10)*('Capital Expenditure'!$C$3:$BN$3&gt;10-'Assumption Setting'!$E$209)*'Capital Expenditure'!$C$10:$BN$10)/'Assumption Setting'!$E$209</f>
        <v>42.7329242501353</v>
      </c>
      <c r="M10" s="60" t="n">
        <f aca="false">SUMPRODUCT(('Capital Expenditure'!$C$3:$BN$3&lt;=11)*('Capital Expenditure'!$C$3:$BN$3&gt;11-'Assumption Setting'!$E$209)*'Capital Expenditure'!$C$10:$BN$10)/'Assumption Setting'!$E$209</f>
        <v>42.7329242501353</v>
      </c>
      <c r="N10" s="60" t="n">
        <f aca="false">SUMPRODUCT(('Capital Expenditure'!$C$3:$BN$3&lt;=12)*('Capital Expenditure'!$C$3:$BN$3&gt;12-'Assumption Setting'!$E$209)*'Capital Expenditure'!$C$10:$BN$10)/'Assumption Setting'!$E$209</f>
        <v>42.7329242501353</v>
      </c>
      <c r="O10" s="59" t="n">
        <f aca="false">SUM(P10:AA10)</f>
        <v>512.795091001624</v>
      </c>
      <c r="P10" s="60" t="n">
        <f aca="false">SUMPRODUCT(('Capital Expenditure'!$C$3:$BN$3&lt;=13)*('Capital Expenditure'!$C$3:$BN$3&gt;13-'Assumption Setting'!$E$209)*'Capital Expenditure'!$C$10:$BN$10)/'Assumption Setting'!$E$209</f>
        <v>42.7329242501353</v>
      </c>
      <c r="Q10" s="60" t="n">
        <f aca="false">SUMPRODUCT(('Capital Expenditure'!$C$3:$BN$3&lt;=14)*('Capital Expenditure'!$C$3:$BN$3&gt;14-'Assumption Setting'!$E$209)*'Capital Expenditure'!$C$10:$BN$10)/'Assumption Setting'!$E$209</f>
        <v>42.7329242501353</v>
      </c>
      <c r="R10" s="60" t="n">
        <f aca="false">SUMPRODUCT(('Capital Expenditure'!$C$3:$BN$3&lt;=15)*('Capital Expenditure'!$C$3:$BN$3&gt;15-'Assumption Setting'!$E$209)*'Capital Expenditure'!$C$10:$BN$10)/'Assumption Setting'!$E$209</f>
        <v>42.7329242501353</v>
      </c>
      <c r="S10" s="60" t="n">
        <f aca="false">SUMPRODUCT(('Capital Expenditure'!$C$3:$BN$3&lt;=16)*('Capital Expenditure'!$C$3:$BN$3&gt;16-'Assumption Setting'!$E$209)*'Capital Expenditure'!$C$10:$BN$10)/'Assumption Setting'!$E$209</f>
        <v>42.7329242501353</v>
      </c>
      <c r="T10" s="60" t="n">
        <f aca="false">SUMPRODUCT(('Capital Expenditure'!$C$3:$BN$3&lt;=17)*('Capital Expenditure'!$C$3:$BN$3&gt;17-'Assumption Setting'!$E$209)*'Capital Expenditure'!$C$10:$BN$10)/'Assumption Setting'!$E$209</f>
        <v>42.7329242501353</v>
      </c>
      <c r="U10" s="60" t="n">
        <f aca="false">SUMPRODUCT(('Capital Expenditure'!$C$3:$BN$3&lt;=18)*('Capital Expenditure'!$C$3:$BN$3&gt;18-'Assumption Setting'!$E$209)*'Capital Expenditure'!$C$10:$BN$10)/'Assumption Setting'!$E$209</f>
        <v>42.7329242501353</v>
      </c>
      <c r="V10" s="60" t="n">
        <f aca="false">SUMPRODUCT(('Capital Expenditure'!$C$3:$BN$3&lt;=19)*('Capital Expenditure'!$C$3:$BN$3&gt;19-'Assumption Setting'!$E$209)*'Capital Expenditure'!$C$10:$BN$10)/'Assumption Setting'!$E$209</f>
        <v>42.7329242501353</v>
      </c>
      <c r="W10" s="60" t="n">
        <f aca="false">SUMPRODUCT(('Capital Expenditure'!$C$3:$BN$3&lt;=20)*('Capital Expenditure'!$C$3:$BN$3&gt;20-'Assumption Setting'!$E$209)*'Capital Expenditure'!$C$10:$BN$10)/'Assumption Setting'!$E$209</f>
        <v>42.7329242501353</v>
      </c>
      <c r="X10" s="60" t="n">
        <f aca="false">SUMPRODUCT(('Capital Expenditure'!$C$3:$BN$3&lt;=21)*('Capital Expenditure'!$C$3:$BN$3&gt;21-'Assumption Setting'!$E$209)*'Capital Expenditure'!$C$10:$BN$10)/'Assumption Setting'!$E$209</f>
        <v>42.7329242501353</v>
      </c>
      <c r="Y10" s="60" t="n">
        <f aca="false">SUMPRODUCT(('Capital Expenditure'!$C$3:$BN$3&lt;=22)*('Capital Expenditure'!$C$3:$BN$3&gt;22-'Assumption Setting'!$E$209)*'Capital Expenditure'!$C$10:$BN$10)/'Assumption Setting'!$E$209</f>
        <v>42.7329242501353</v>
      </c>
      <c r="Z10" s="60" t="n">
        <f aca="false">SUMPRODUCT(('Capital Expenditure'!$C$3:$BN$3&lt;=23)*('Capital Expenditure'!$C$3:$BN$3&gt;23-'Assumption Setting'!$E$209)*'Capital Expenditure'!$C$10:$BN$10)/'Assumption Setting'!$E$209</f>
        <v>42.7329242501353</v>
      </c>
      <c r="AA10" s="60" t="n">
        <f aca="false">SUMPRODUCT(('Capital Expenditure'!$C$3:$BN$3&lt;=24)*('Capital Expenditure'!$C$3:$BN$3&gt;24-'Assumption Setting'!$E$209)*'Capital Expenditure'!$C$10:$BN$10)/'Assumption Setting'!$E$209</f>
        <v>42.7329242501353</v>
      </c>
      <c r="AB10" s="59" t="n">
        <f aca="false">SUM(AC10:AN10)</f>
        <v>512.795091001624</v>
      </c>
      <c r="AC10" s="60" t="n">
        <f aca="false">SUMPRODUCT(('Capital Expenditure'!$C$3:$BN$3&lt;=25)*('Capital Expenditure'!$C$3:$BN$3&gt;25-'Assumption Setting'!$E$209)*'Capital Expenditure'!$C$10:$BN$10)/'Assumption Setting'!$E$209</f>
        <v>42.7329242501353</v>
      </c>
      <c r="AD10" s="60" t="n">
        <f aca="false">SUMPRODUCT(('Capital Expenditure'!$C$3:$BN$3&lt;=26)*('Capital Expenditure'!$C$3:$BN$3&gt;26-'Assumption Setting'!$E$209)*'Capital Expenditure'!$C$10:$BN$10)/'Assumption Setting'!$E$209</f>
        <v>42.7329242501353</v>
      </c>
      <c r="AE10" s="60" t="n">
        <f aca="false">SUMPRODUCT(('Capital Expenditure'!$C$3:$BN$3&lt;=27)*('Capital Expenditure'!$C$3:$BN$3&gt;27-'Assumption Setting'!$E$209)*'Capital Expenditure'!$C$10:$BN$10)/'Assumption Setting'!$E$209</f>
        <v>42.7329242501353</v>
      </c>
      <c r="AF10" s="60" t="n">
        <f aca="false">SUMPRODUCT(('Capital Expenditure'!$C$3:$BN$3&lt;=28)*('Capital Expenditure'!$C$3:$BN$3&gt;28-'Assumption Setting'!$E$209)*'Capital Expenditure'!$C$10:$BN$10)/'Assumption Setting'!$E$209</f>
        <v>42.7329242501353</v>
      </c>
      <c r="AG10" s="60" t="n">
        <f aca="false">SUMPRODUCT(('Capital Expenditure'!$C$3:$BN$3&lt;=29)*('Capital Expenditure'!$C$3:$BN$3&gt;29-'Assumption Setting'!$E$209)*'Capital Expenditure'!$C$10:$BN$10)/'Assumption Setting'!$E$209</f>
        <v>42.7329242501353</v>
      </c>
      <c r="AH10" s="60" t="n">
        <f aca="false">SUMPRODUCT(('Capital Expenditure'!$C$3:$BN$3&lt;=30)*('Capital Expenditure'!$C$3:$BN$3&gt;30-'Assumption Setting'!$E$209)*'Capital Expenditure'!$C$10:$BN$10)/'Assumption Setting'!$E$209</f>
        <v>42.7329242501353</v>
      </c>
      <c r="AI10" s="60" t="n">
        <f aca="false">SUMPRODUCT(('Capital Expenditure'!$C$3:$BN$3&lt;=31)*('Capital Expenditure'!$C$3:$BN$3&gt;31-'Assumption Setting'!$E$209)*'Capital Expenditure'!$C$10:$BN$10)/'Assumption Setting'!$E$209</f>
        <v>42.7329242501353</v>
      </c>
      <c r="AJ10" s="60" t="n">
        <f aca="false">SUMPRODUCT(('Capital Expenditure'!$C$3:$BN$3&lt;=32)*('Capital Expenditure'!$C$3:$BN$3&gt;32-'Assumption Setting'!$E$209)*'Capital Expenditure'!$C$10:$BN$10)/'Assumption Setting'!$E$209</f>
        <v>42.7329242501353</v>
      </c>
      <c r="AK10" s="60" t="n">
        <f aca="false">SUMPRODUCT(('Capital Expenditure'!$C$3:$BN$3&lt;=33)*('Capital Expenditure'!$C$3:$BN$3&gt;33-'Assumption Setting'!$E$209)*'Capital Expenditure'!$C$10:$BN$10)/'Assumption Setting'!$E$209</f>
        <v>42.7329242501353</v>
      </c>
      <c r="AL10" s="60" t="n">
        <f aca="false">SUMPRODUCT(('Capital Expenditure'!$C$3:$BN$3&lt;=34)*('Capital Expenditure'!$C$3:$BN$3&gt;34-'Assumption Setting'!$E$209)*'Capital Expenditure'!$C$10:$BN$10)/'Assumption Setting'!$E$209</f>
        <v>42.7329242501353</v>
      </c>
      <c r="AM10" s="60" t="n">
        <f aca="false">SUMPRODUCT(('Capital Expenditure'!$C$3:$BN$3&lt;=35)*('Capital Expenditure'!$C$3:$BN$3&gt;35-'Assumption Setting'!$E$209)*'Capital Expenditure'!$C$10:$BN$10)/'Assumption Setting'!$E$209</f>
        <v>42.7329242501353</v>
      </c>
      <c r="AN10" s="60" t="n">
        <f aca="false">SUMPRODUCT(('Capital Expenditure'!$C$3:$BN$3&lt;=36)*('Capital Expenditure'!$C$3:$BN$3&gt;36-'Assumption Setting'!$E$209)*'Capital Expenditure'!$C$10:$BN$10)/'Assumption Setting'!$E$209</f>
        <v>42.7329242501353</v>
      </c>
      <c r="AO10" s="59" t="n">
        <f aca="false">SUM(AP10:BA10)</f>
        <v>85.4658485002707</v>
      </c>
      <c r="AP10" s="60" t="n">
        <f aca="false">SUMPRODUCT(('Capital Expenditure'!$C$3:$BN$3&lt;=37)*('Capital Expenditure'!$C$3:$BN$3&gt;37-'Assumption Setting'!$E$209)*'Capital Expenditure'!$C$10:$BN$10)/'Assumption Setting'!$E$209</f>
        <v>42.7329242501353</v>
      </c>
      <c r="AQ10" s="60" t="n">
        <f aca="false">SUMPRODUCT(('Capital Expenditure'!$C$3:$BN$3&lt;=38)*('Capital Expenditure'!$C$3:$BN$3&gt;38-'Assumption Setting'!$E$209)*'Capital Expenditure'!$C$10:$BN$10)/'Assumption Setting'!$E$209</f>
        <v>42.7329242501353</v>
      </c>
      <c r="AR10" s="60" t="n">
        <f aca="false">SUMPRODUCT(('Capital Expenditure'!$C$3:$BN$3&lt;=39)*('Capital Expenditure'!$C$3:$BN$3&gt;39-'Assumption Setting'!$E$209)*'Capital Expenditure'!$C$10:$BN$10)/'Assumption Setting'!$E$209</f>
        <v>0</v>
      </c>
      <c r="AS10" s="60" t="n">
        <f aca="false">SUMPRODUCT(('Capital Expenditure'!$C$3:$BN$3&lt;=40)*('Capital Expenditure'!$C$3:$BN$3&gt;40-'Assumption Setting'!$E$209)*'Capital Expenditure'!$C$10:$BN$10)/'Assumption Setting'!$E$209</f>
        <v>0</v>
      </c>
      <c r="AT10" s="60" t="n">
        <f aca="false">SUMPRODUCT(('Capital Expenditure'!$C$3:$BN$3&lt;=41)*('Capital Expenditure'!$C$3:$BN$3&gt;41-'Assumption Setting'!$E$209)*'Capital Expenditure'!$C$10:$BN$10)/'Assumption Setting'!$E$209</f>
        <v>0</v>
      </c>
      <c r="AU10" s="60" t="n">
        <f aca="false">SUMPRODUCT(('Capital Expenditure'!$C$3:$BN$3&lt;=42)*('Capital Expenditure'!$C$3:$BN$3&gt;42-'Assumption Setting'!$E$209)*'Capital Expenditure'!$C$10:$BN$10)/'Assumption Setting'!$E$209</f>
        <v>0</v>
      </c>
      <c r="AV10" s="60" t="n">
        <f aca="false">SUMPRODUCT(('Capital Expenditure'!$C$3:$BN$3&lt;=43)*('Capital Expenditure'!$C$3:$BN$3&gt;43-'Assumption Setting'!$E$209)*'Capital Expenditure'!$C$10:$BN$10)/'Assumption Setting'!$E$209</f>
        <v>0</v>
      </c>
      <c r="AW10" s="60" t="n">
        <f aca="false">SUMPRODUCT(('Capital Expenditure'!$C$3:$BN$3&lt;=44)*('Capital Expenditure'!$C$3:$BN$3&gt;44-'Assumption Setting'!$E$209)*'Capital Expenditure'!$C$10:$BN$10)/'Assumption Setting'!$E$209</f>
        <v>0</v>
      </c>
      <c r="AX10" s="60" t="n">
        <f aca="false">SUMPRODUCT(('Capital Expenditure'!$C$3:$BN$3&lt;=45)*('Capital Expenditure'!$C$3:$BN$3&gt;45-'Assumption Setting'!$E$209)*'Capital Expenditure'!$C$10:$BN$10)/'Assumption Setting'!$E$209</f>
        <v>0</v>
      </c>
      <c r="AY10" s="60" t="n">
        <f aca="false">SUMPRODUCT(('Capital Expenditure'!$C$3:$BN$3&lt;=46)*('Capital Expenditure'!$C$3:$BN$3&gt;46-'Assumption Setting'!$E$209)*'Capital Expenditure'!$C$10:$BN$10)/'Assumption Setting'!$E$209</f>
        <v>0</v>
      </c>
      <c r="AZ10" s="60" t="n">
        <f aca="false">SUMPRODUCT(('Capital Expenditure'!$C$3:$BN$3&lt;=47)*('Capital Expenditure'!$C$3:$BN$3&gt;47-'Assumption Setting'!$E$209)*'Capital Expenditure'!$C$10:$BN$10)/'Assumption Setting'!$E$209</f>
        <v>0</v>
      </c>
      <c r="BA10" s="60" t="n">
        <f aca="false">SUMPRODUCT(('Capital Expenditure'!$C$3:$BN$3&lt;=48)*('Capital Expenditure'!$C$3:$BN$3&gt;48-'Assumption Setting'!$E$209)*'Capital Expenditure'!$C$10:$BN$10)/'Assumption Setting'!$E$209</f>
        <v>0</v>
      </c>
      <c r="BB10" s="59" t="n">
        <f aca="false">SUM(BC10:BN10)</f>
        <v>0</v>
      </c>
      <c r="BC10" s="60" t="n">
        <f aca="false">SUMPRODUCT(('Capital Expenditure'!$C$3:$BN$3&lt;=49)*('Capital Expenditure'!$C$3:$BN$3&gt;49-'Assumption Setting'!$E$209)*'Capital Expenditure'!$C$10:$BN$10)/'Assumption Setting'!$E$209</f>
        <v>0</v>
      </c>
      <c r="BD10" s="60" t="n">
        <f aca="false">SUMPRODUCT(('Capital Expenditure'!$C$3:$BN$3&lt;=50)*('Capital Expenditure'!$C$3:$BN$3&gt;50-'Assumption Setting'!$E$209)*'Capital Expenditure'!$C$10:$BN$10)/'Assumption Setting'!$E$209</f>
        <v>0</v>
      </c>
      <c r="BE10" s="60" t="n">
        <f aca="false">SUMPRODUCT(('Capital Expenditure'!$C$3:$BN$3&lt;=51)*('Capital Expenditure'!$C$3:$BN$3&gt;51-'Assumption Setting'!$E$209)*'Capital Expenditure'!$C$10:$BN$10)/'Assumption Setting'!$E$209</f>
        <v>0</v>
      </c>
      <c r="BF10" s="60" t="n">
        <f aca="false">SUMPRODUCT(('Capital Expenditure'!$C$3:$BN$3&lt;=52)*('Capital Expenditure'!$C$3:$BN$3&gt;52-'Assumption Setting'!$E$209)*'Capital Expenditure'!$C$10:$BN$10)/'Assumption Setting'!$E$209</f>
        <v>0</v>
      </c>
      <c r="BG10" s="60" t="n">
        <f aca="false">SUMPRODUCT(('Capital Expenditure'!$C$3:$BN$3&lt;=53)*('Capital Expenditure'!$C$3:$BN$3&gt;53-'Assumption Setting'!$E$209)*'Capital Expenditure'!$C$10:$BN$10)/'Assumption Setting'!$E$209</f>
        <v>0</v>
      </c>
      <c r="BH10" s="60" t="n">
        <f aca="false">SUMPRODUCT(('Capital Expenditure'!$C$3:$BN$3&lt;=54)*('Capital Expenditure'!$C$3:$BN$3&gt;54-'Assumption Setting'!$E$209)*'Capital Expenditure'!$C$10:$BN$10)/'Assumption Setting'!$E$209</f>
        <v>0</v>
      </c>
      <c r="BI10" s="60" t="n">
        <f aca="false">SUMPRODUCT(('Capital Expenditure'!$C$3:$BN$3&lt;=55)*('Capital Expenditure'!$C$3:$BN$3&gt;55-'Assumption Setting'!$E$209)*'Capital Expenditure'!$C$10:$BN$10)/'Assumption Setting'!$E$209</f>
        <v>0</v>
      </c>
      <c r="BJ10" s="60" t="n">
        <f aca="false">SUMPRODUCT(('Capital Expenditure'!$C$3:$BN$3&lt;=56)*('Capital Expenditure'!$C$3:$BN$3&gt;56-'Assumption Setting'!$E$209)*'Capital Expenditure'!$C$10:$BN$10)/'Assumption Setting'!$E$209</f>
        <v>0</v>
      </c>
      <c r="BK10" s="60" t="n">
        <f aca="false">SUMPRODUCT(('Capital Expenditure'!$C$3:$BN$3&lt;=57)*('Capital Expenditure'!$C$3:$BN$3&gt;57-'Assumption Setting'!$E$209)*'Capital Expenditure'!$C$10:$BN$10)/'Assumption Setting'!$E$209</f>
        <v>0</v>
      </c>
      <c r="BL10" s="60" t="n">
        <f aca="false">SUMPRODUCT(('Capital Expenditure'!$C$3:$BN$3&lt;=58)*('Capital Expenditure'!$C$3:$BN$3&gt;58-'Assumption Setting'!$E$209)*'Capital Expenditure'!$C$10:$BN$10)/'Assumption Setting'!$E$209</f>
        <v>0</v>
      </c>
      <c r="BM10" s="60" t="n">
        <f aca="false">SUMPRODUCT(('Capital Expenditure'!$C$3:$BN$3&lt;=59)*('Capital Expenditure'!$C$3:$BN$3&gt;59-'Assumption Setting'!$E$209)*'Capital Expenditure'!$C$10:$BN$10)/'Assumption Setting'!$E$209</f>
        <v>0</v>
      </c>
      <c r="BN10" s="60" t="n">
        <f aca="false">SUMPRODUCT(('Capital Expenditure'!$C$3:$BN$3&lt;=60)*('Capital Expenditure'!$C$3:$BN$3&gt;60-'Assumption Setting'!$E$209)*'Capital Expenditure'!$C$10:$BN$10)/'Assumption Setting'!$E$209</f>
        <v>0</v>
      </c>
    </row>
    <row r="11" customFormat="false" ht="15" hidden="false" customHeight="false" outlineLevel="0" collapsed="false">
      <c r="A11" s="4" t="s">
        <v>555</v>
      </c>
      <c r="B11" s="59" t="n">
        <f aca="false">SUM(C11:N11)</f>
        <v>0</v>
      </c>
      <c r="C11" s="60" t="n">
        <f aca="false">SUMPRODUCT(('Capital Expenditure'!$C$3:$BN$3&lt;=1)*('Capital Expenditure'!$C$3:$BN$3&gt;1-'Assumption Setting'!$E$210)*'Capital Expenditure'!$C$11:$BN$11)/'Assumption Setting'!$E$210</f>
        <v>0</v>
      </c>
      <c r="D11" s="60" t="n">
        <f aca="false">SUMPRODUCT(('Capital Expenditure'!$C$3:$BN$3&lt;=2)*('Capital Expenditure'!$C$3:$BN$3&gt;2-'Assumption Setting'!$E$210)*'Capital Expenditure'!$C$11:$BN$11)/'Assumption Setting'!$E$210</f>
        <v>0</v>
      </c>
      <c r="E11" s="60" t="n">
        <f aca="false">SUMPRODUCT(('Capital Expenditure'!$C$3:$BN$3&lt;=3)*('Capital Expenditure'!$C$3:$BN$3&gt;3-'Assumption Setting'!$E$210)*'Capital Expenditure'!$C$11:$BN$11)/'Assumption Setting'!$E$210</f>
        <v>0</v>
      </c>
      <c r="F11" s="60" t="n">
        <f aca="false">SUMPRODUCT(('Capital Expenditure'!$C$3:$BN$3&lt;=4)*('Capital Expenditure'!$C$3:$BN$3&gt;4-'Assumption Setting'!$E$210)*'Capital Expenditure'!$C$11:$BN$11)/'Assumption Setting'!$E$210</f>
        <v>0</v>
      </c>
      <c r="G11" s="60" t="n">
        <f aca="false">SUMPRODUCT(('Capital Expenditure'!$C$3:$BN$3&lt;=5)*('Capital Expenditure'!$C$3:$BN$3&gt;5-'Assumption Setting'!$E$210)*'Capital Expenditure'!$C$11:$BN$11)/'Assumption Setting'!$E$210</f>
        <v>0</v>
      </c>
      <c r="H11" s="60" t="n">
        <f aca="false">SUMPRODUCT(('Capital Expenditure'!$C$3:$BN$3&lt;=6)*('Capital Expenditure'!$C$3:$BN$3&gt;6-'Assumption Setting'!$E$210)*'Capital Expenditure'!$C$11:$BN$11)/'Assumption Setting'!$E$210</f>
        <v>0</v>
      </c>
      <c r="I11" s="60" t="n">
        <f aca="false">SUMPRODUCT(('Capital Expenditure'!$C$3:$BN$3&lt;=7)*('Capital Expenditure'!$C$3:$BN$3&gt;7-'Assumption Setting'!$E$210)*'Capital Expenditure'!$C$11:$BN$11)/'Assumption Setting'!$E$210</f>
        <v>0</v>
      </c>
      <c r="J11" s="60" t="n">
        <f aca="false">SUMPRODUCT(('Capital Expenditure'!$C$3:$BN$3&lt;=8)*('Capital Expenditure'!$C$3:$BN$3&gt;8-'Assumption Setting'!$E$210)*'Capital Expenditure'!$C$11:$BN$11)/'Assumption Setting'!$E$210</f>
        <v>0</v>
      </c>
      <c r="K11" s="60" t="n">
        <f aca="false">SUMPRODUCT(('Capital Expenditure'!$C$3:$BN$3&lt;=9)*('Capital Expenditure'!$C$3:$BN$3&gt;9-'Assumption Setting'!$E$210)*'Capital Expenditure'!$C$11:$BN$11)/'Assumption Setting'!$E$210</f>
        <v>0</v>
      </c>
      <c r="L11" s="60" t="n">
        <f aca="false">SUMPRODUCT(('Capital Expenditure'!$C$3:$BN$3&lt;=10)*('Capital Expenditure'!$C$3:$BN$3&gt;10-'Assumption Setting'!$E$210)*'Capital Expenditure'!$C$11:$BN$11)/'Assumption Setting'!$E$210</f>
        <v>0</v>
      </c>
      <c r="M11" s="60" t="n">
        <f aca="false">SUMPRODUCT(('Capital Expenditure'!$C$3:$BN$3&lt;=11)*('Capital Expenditure'!$C$3:$BN$3&gt;11-'Assumption Setting'!$E$210)*'Capital Expenditure'!$C$11:$BN$11)/'Assumption Setting'!$E$210</f>
        <v>0</v>
      </c>
      <c r="N11" s="60" t="n">
        <f aca="false">SUMPRODUCT(('Capital Expenditure'!$C$3:$BN$3&lt;=12)*('Capital Expenditure'!$C$3:$BN$3&gt;12-'Assumption Setting'!$E$210)*'Capital Expenditure'!$C$11:$BN$11)/'Assumption Setting'!$E$210</f>
        <v>0</v>
      </c>
      <c r="O11" s="59" t="n">
        <f aca="false">SUM(P11:AA11)</f>
        <v>324.962273500113</v>
      </c>
      <c r="P11" s="60" t="n">
        <f aca="false">SUMPRODUCT(('Capital Expenditure'!$C$3:$BN$3&lt;=13)*('Capital Expenditure'!$C$3:$BN$3&gt;13-'Assumption Setting'!$E$210)*'Capital Expenditure'!$C$11:$BN$11)/'Assumption Setting'!$E$210</f>
        <v>0</v>
      </c>
      <c r="Q11" s="60" t="n">
        <f aca="false">SUMPRODUCT(('Capital Expenditure'!$C$3:$BN$3&lt;=14)*('Capital Expenditure'!$C$3:$BN$3&gt;14-'Assumption Setting'!$E$210)*'Capital Expenditure'!$C$11:$BN$11)/'Assumption Setting'!$E$210</f>
        <v>0</v>
      </c>
      <c r="R11" s="60" t="n">
        <f aca="false">SUMPRODUCT(('Capital Expenditure'!$C$3:$BN$3&lt;=15)*('Capital Expenditure'!$C$3:$BN$3&gt;15-'Assumption Setting'!$E$210)*'Capital Expenditure'!$C$11:$BN$11)/'Assumption Setting'!$E$210</f>
        <v>0</v>
      </c>
      <c r="S11" s="60" t="n">
        <f aca="false">SUMPRODUCT(('Capital Expenditure'!$C$3:$BN$3&lt;=16)*('Capital Expenditure'!$C$3:$BN$3&gt;16-'Assumption Setting'!$E$210)*'Capital Expenditure'!$C$11:$BN$11)/'Assumption Setting'!$E$210</f>
        <v>36.1069192777904</v>
      </c>
      <c r="T11" s="60" t="n">
        <f aca="false">SUMPRODUCT(('Capital Expenditure'!$C$3:$BN$3&lt;=17)*('Capital Expenditure'!$C$3:$BN$3&gt;17-'Assumption Setting'!$E$210)*'Capital Expenditure'!$C$11:$BN$11)/'Assumption Setting'!$E$210</f>
        <v>36.1069192777904</v>
      </c>
      <c r="U11" s="60" t="n">
        <f aca="false">SUMPRODUCT(('Capital Expenditure'!$C$3:$BN$3&lt;=18)*('Capital Expenditure'!$C$3:$BN$3&gt;18-'Assumption Setting'!$E$210)*'Capital Expenditure'!$C$11:$BN$11)/'Assumption Setting'!$E$210</f>
        <v>36.1069192777904</v>
      </c>
      <c r="V11" s="60" t="n">
        <f aca="false">SUMPRODUCT(('Capital Expenditure'!$C$3:$BN$3&lt;=19)*('Capital Expenditure'!$C$3:$BN$3&gt;19-'Assumption Setting'!$E$210)*'Capital Expenditure'!$C$11:$BN$11)/'Assumption Setting'!$E$210</f>
        <v>36.1069192777904</v>
      </c>
      <c r="W11" s="60" t="n">
        <f aca="false">SUMPRODUCT(('Capital Expenditure'!$C$3:$BN$3&lt;=20)*('Capital Expenditure'!$C$3:$BN$3&gt;20-'Assumption Setting'!$E$210)*'Capital Expenditure'!$C$11:$BN$11)/'Assumption Setting'!$E$210</f>
        <v>36.1069192777904</v>
      </c>
      <c r="X11" s="60" t="n">
        <f aca="false">SUMPRODUCT(('Capital Expenditure'!$C$3:$BN$3&lt;=21)*('Capital Expenditure'!$C$3:$BN$3&gt;21-'Assumption Setting'!$E$210)*'Capital Expenditure'!$C$11:$BN$11)/'Assumption Setting'!$E$210</f>
        <v>36.1069192777904</v>
      </c>
      <c r="Y11" s="60" t="n">
        <f aca="false">SUMPRODUCT(('Capital Expenditure'!$C$3:$BN$3&lt;=22)*('Capital Expenditure'!$C$3:$BN$3&gt;22-'Assumption Setting'!$E$210)*'Capital Expenditure'!$C$11:$BN$11)/'Assumption Setting'!$E$210</f>
        <v>36.1069192777904</v>
      </c>
      <c r="Z11" s="60" t="n">
        <f aca="false">SUMPRODUCT(('Capital Expenditure'!$C$3:$BN$3&lt;=23)*('Capital Expenditure'!$C$3:$BN$3&gt;23-'Assumption Setting'!$E$210)*'Capital Expenditure'!$C$11:$BN$11)/'Assumption Setting'!$E$210</f>
        <v>36.1069192777904</v>
      </c>
      <c r="AA11" s="60" t="n">
        <f aca="false">SUMPRODUCT(('Capital Expenditure'!$C$3:$BN$3&lt;=24)*('Capital Expenditure'!$C$3:$BN$3&gt;24-'Assumption Setting'!$E$210)*'Capital Expenditure'!$C$11:$BN$11)/'Assumption Setting'!$E$210</f>
        <v>36.1069192777904</v>
      </c>
      <c r="AB11" s="59" t="n">
        <f aca="false">SUM(AC11:AN11)</f>
        <v>433.283031333484</v>
      </c>
      <c r="AC11" s="60" t="n">
        <f aca="false">SUMPRODUCT(('Capital Expenditure'!$C$3:$BN$3&lt;=25)*('Capital Expenditure'!$C$3:$BN$3&gt;25-'Assumption Setting'!$E$210)*'Capital Expenditure'!$C$11:$BN$11)/'Assumption Setting'!$E$210</f>
        <v>36.1069192777904</v>
      </c>
      <c r="AD11" s="60" t="n">
        <f aca="false">SUMPRODUCT(('Capital Expenditure'!$C$3:$BN$3&lt;=26)*('Capital Expenditure'!$C$3:$BN$3&gt;26-'Assumption Setting'!$E$210)*'Capital Expenditure'!$C$11:$BN$11)/'Assumption Setting'!$E$210</f>
        <v>36.1069192777904</v>
      </c>
      <c r="AE11" s="60" t="n">
        <f aca="false">SUMPRODUCT(('Capital Expenditure'!$C$3:$BN$3&lt;=27)*('Capital Expenditure'!$C$3:$BN$3&gt;27-'Assumption Setting'!$E$210)*'Capital Expenditure'!$C$11:$BN$11)/'Assumption Setting'!$E$210</f>
        <v>36.1069192777904</v>
      </c>
      <c r="AF11" s="60" t="n">
        <f aca="false">SUMPRODUCT(('Capital Expenditure'!$C$3:$BN$3&lt;=28)*('Capital Expenditure'!$C$3:$BN$3&gt;28-'Assumption Setting'!$E$210)*'Capital Expenditure'!$C$11:$BN$11)/'Assumption Setting'!$E$210</f>
        <v>36.1069192777904</v>
      </c>
      <c r="AG11" s="60" t="n">
        <f aca="false">SUMPRODUCT(('Capital Expenditure'!$C$3:$BN$3&lt;=29)*('Capital Expenditure'!$C$3:$BN$3&gt;29-'Assumption Setting'!$E$210)*'Capital Expenditure'!$C$11:$BN$11)/'Assumption Setting'!$E$210</f>
        <v>36.1069192777904</v>
      </c>
      <c r="AH11" s="60" t="n">
        <f aca="false">SUMPRODUCT(('Capital Expenditure'!$C$3:$BN$3&lt;=30)*('Capital Expenditure'!$C$3:$BN$3&gt;30-'Assumption Setting'!$E$210)*'Capital Expenditure'!$C$11:$BN$11)/'Assumption Setting'!$E$210</f>
        <v>36.1069192777904</v>
      </c>
      <c r="AI11" s="60" t="n">
        <f aca="false">SUMPRODUCT(('Capital Expenditure'!$C$3:$BN$3&lt;=31)*('Capital Expenditure'!$C$3:$BN$3&gt;31-'Assumption Setting'!$E$210)*'Capital Expenditure'!$C$11:$BN$11)/'Assumption Setting'!$E$210</f>
        <v>36.1069192777904</v>
      </c>
      <c r="AJ11" s="60" t="n">
        <f aca="false">SUMPRODUCT(('Capital Expenditure'!$C$3:$BN$3&lt;=32)*('Capital Expenditure'!$C$3:$BN$3&gt;32-'Assumption Setting'!$E$210)*'Capital Expenditure'!$C$11:$BN$11)/'Assumption Setting'!$E$210</f>
        <v>36.1069192777904</v>
      </c>
      <c r="AK11" s="60" t="n">
        <f aca="false">SUMPRODUCT(('Capital Expenditure'!$C$3:$BN$3&lt;=33)*('Capital Expenditure'!$C$3:$BN$3&gt;33-'Assumption Setting'!$E$210)*'Capital Expenditure'!$C$11:$BN$11)/'Assumption Setting'!$E$210</f>
        <v>36.1069192777904</v>
      </c>
      <c r="AL11" s="60" t="n">
        <f aca="false">SUMPRODUCT(('Capital Expenditure'!$C$3:$BN$3&lt;=34)*('Capital Expenditure'!$C$3:$BN$3&gt;34-'Assumption Setting'!$E$210)*'Capital Expenditure'!$C$11:$BN$11)/'Assumption Setting'!$E$210</f>
        <v>36.1069192777904</v>
      </c>
      <c r="AM11" s="60" t="n">
        <f aca="false">SUMPRODUCT(('Capital Expenditure'!$C$3:$BN$3&lt;=35)*('Capital Expenditure'!$C$3:$BN$3&gt;35-'Assumption Setting'!$E$210)*'Capital Expenditure'!$C$11:$BN$11)/'Assumption Setting'!$E$210</f>
        <v>36.1069192777904</v>
      </c>
      <c r="AN11" s="60" t="n">
        <f aca="false">SUMPRODUCT(('Capital Expenditure'!$C$3:$BN$3&lt;=36)*('Capital Expenditure'!$C$3:$BN$3&gt;36-'Assumption Setting'!$E$210)*'Capital Expenditure'!$C$11:$BN$11)/'Assumption Setting'!$E$210</f>
        <v>36.1069192777904</v>
      </c>
      <c r="AO11" s="59" t="n">
        <f aca="false">SUM(AP11:BA11)</f>
        <v>433.283031333484</v>
      </c>
      <c r="AP11" s="60" t="n">
        <f aca="false">SUMPRODUCT(('Capital Expenditure'!$C$3:$BN$3&lt;=37)*('Capital Expenditure'!$C$3:$BN$3&gt;37-'Assumption Setting'!$E$210)*'Capital Expenditure'!$C$11:$BN$11)/'Assumption Setting'!$E$210</f>
        <v>36.1069192777904</v>
      </c>
      <c r="AQ11" s="60" t="n">
        <f aca="false">SUMPRODUCT(('Capital Expenditure'!$C$3:$BN$3&lt;=38)*('Capital Expenditure'!$C$3:$BN$3&gt;38-'Assumption Setting'!$E$210)*'Capital Expenditure'!$C$11:$BN$11)/'Assumption Setting'!$E$210</f>
        <v>36.1069192777904</v>
      </c>
      <c r="AR11" s="60" t="n">
        <f aca="false">SUMPRODUCT(('Capital Expenditure'!$C$3:$BN$3&lt;=39)*('Capital Expenditure'!$C$3:$BN$3&gt;39-'Assumption Setting'!$E$210)*'Capital Expenditure'!$C$11:$BN$11)/'Assumption Setting'!$E$210</f>
        <v>36.1069192777904</v>
      </c>
      <c r="AS11" s="60" t="n">
        <f aca="false">SUMPRODUCT(('Capital Expenditure'!$C$3:$BN$3&lt;=40)*('Capital Expenditure'!$C$3:$BN$3&gt;40-'Assumption Setting'!$E$210)*'Capital Expenditure'!$C$11:$BN$11)/'Assumption Setting'!$E$210</f>
        <v>36.1069192777904</v>
      </c>
      <c r="AT11" s="60" t="n">
        <f aca="false">SUMPRODUCT(('Capital Expenditure'!$C$3:$BN$3&lt;=41)*('Capital Expenditure'!$C$3:$BN$3&gt;41-'Assumption Setting'!$E$210)*'Capital Expenditure'!$C$11:$BN$11)/'Assumption Setting'!$E$210</f>
        <v>36.1069192777904</v>
      </c>
      <c r="AU11" s="60" t="n">
        <f aca="false">SUMPRODUCT(('Capital Expenditure'!$C$3:$BN$3&lt;=42)*('Capital Expenditure'!$C$3:$BN$3&gt;42-'Assumption Setting'!$E$210)*'Capital Expenditure'!$C$11:$BN$11)/'Assumption Setting'!$E$210</f>
        <v>36.1069192777904</v>
      </c>
      <c r="AV11" s="60" t="n">
        <f aca="false">SUMPRODUCT(('Capital Expenditure'!$C$3:$BN$3&lt;=43)*('Capital Expenditure'!$C$3:$BN$3&gt;43-'Assumption Setting'!$E$210)*'Capital Expenditure'!$C$11:$BN$11)/'Assumption Setting'!$E$210</f>
        <v>36.1069192777904</v>
      </c>
      <c r="AW11" s="60" t="n">
        <f aca="false">SUMPRODUCT(('Capital Expenditure'!$C$3:$BN$3&lt;=44)*('Capital Expenditure'!$C$3:$BN$3&gt;44-'Assumption Setting'!$E$210)*'Capital Expenditure'!$C$11:$BN$11)/'Assumption Setting'!$E$210</f>
        <v>36.1069192777904</v>
      </c>
      <c r="AX11" s="60" t="n">
        <f aca="false">SUMPRODUCT(('Capital Expenditure'!$C$3:$BN$3&lt;=45)*('Capital Expenditure'!$C$3:$BN$3&gt;45-'Assumption Setting'!$E$210)*'Capital Expenditure'!$C$11:$BN$11)/'Assumption Setting'!$E$210</f>
        <v>36.1069192777904</v>
      </c>
      <c r="AY11" s="60" t="n">
        <f aca="false">SUMPRODUCT(('Capital Expenditure'!$C$3:$BN$3&lt;=46)*('Capital Expenditure'!$C$3:$BN$3&gt;46-'Assumption Setting'!$E$210)*'Capital Expenditure'!$C$11:$BN$11)/'Assumption Setting'!$E$210</f>
        <v>36.1069192777904</v>
      </c>
      <c r="AZ11" s="60" t="n">
        <f aca="false">SUMPRODUCT(('Capital Expenditure'!$C$3:$BN$3&lt;=47)*('Capital Expenditure'!$C$3:$BN$3&gt;47-'Assumption Setting'!$E$210)*'Capital Expenditure'!$C$11:$BN$11)/'Assumption Setting'!$E$210</f>
        <v>36.1069192777904</v>
      </c>
      <c r="BA11" s="60" t="n">
        <f aca="false">SUMPRODUCT(('Capital Expenditure'!$C$3:$BN$3&lt;=48)*('Capital Expenditure'!$C$3:$BN$3&gt;48-'Assumption Setting'!$E$210)*'Capital Expenditure'!$C$11:$BN$11)/'Assumption Setting'!$E$210</f>
        <v>36.1069192777904</v>
      </c>
      <c r="BB11" s="59" t="n">
        <f aca="false">SUM(BC11:BN11)</f>
        <v>433.283031333484</v>
      </c>
      <c r="BC11" s="60" t="n">
        <f aca="false">SUMPRODUCT(('Capital Expenditure'!$C$3:$BN$3&lt;=49)*('Capital Expenditure'!$C$3:$BN$3&gt;49-'Assumption Setting'!$E$210)*'Capital Expenditure'!$C$11:$BN$11)/'Assumption Setting'!$E$210</f>
        <v>36.1069192777904</v>
      </c>
      <c r="BD11" s="60" t="n">
        <f aca="false">SUMPRODUCT(('Capital Expenditure'!$C$3:$BN$3&lt;=50)*('Capital Expenditure'!$C$3:$BN$3&gt;50-'Assumption Setting'!$E$210)*'Capital Expenditure'!$C$11:$BN$11)/'Assumption Setting'!$E$210</f>
        <v>36.1069192777904</v>
      </c>
      <c r="BE11" s="60" t="n">
        <f aca="false">SUMPRODUCT(('Capital Expenditure'!$C$3:$BN$3&lt;=51)*('Capital Expenditure'!$C$3:$BN$3&gt;51-'Assumption Setting'!$E$210)*'Capital Expenditure'!$C$11:$BN$11)/'Assumption Setting'!$E$210</f>
        <v>36.1069192777904</v>
      </c>
      <c r="BF11" s="60" t="n">
        <f aca="false">SUMPRODUCT(('Capital Expenditure'!$C$3:$BN$3&lt;=52)*('Capital Expenditure'!$C$3:$BN$3&gt;52-'Assumption Setting'!$E$210)*'Capital Expenditure'!$C$11:$BN$11)/'Assumption Setting'!$E$210</f>
        <v>36.1069192777904</v>
      </c>
      <c r="BG11" s="60" t="n">
        <f aca="false">SUMPRODUCT(('Capital Expenditure'!$C$3:$BN$3&lt;=53)*('Capital Expenditure'!$C$3:$BN$3&gt;53-'Assumption Setting'!$E$210)*'Capital Expenditure'!$C$11:$BN$11)/'Assumption Setting'!$E$210</f>
        <v>36.1069192777904</v>
      </c>
      <c r="BH11" s="60" t="n">
        <f aca="false">SUMPRODUCT(('Capital Expenditure'!$C$3:$BN$3&lt;=54)*('Capital Expenditure'!$C$3:$BN$3&gt;54-'Assumption Setting'!$E$210)*'Capital Expenditure'!$C$11:$BN$11)/'Assumption Setting'!$E$210</f>
        <v>36.1069192777904</v>
      </c>
      <c r="BI11" s="60" t="n">
        <f aca="false">SUMPRODUCT(('Capital Expenditure'!$C$3:$BN$3&lt;=55)*('Capital Expenditure'!$C$3:$BN$3&gt;55-'Assumption Setting'!$E$210)*'Capital Expenditure'!$C$11:$BN$11)/'Assumption Setting'!$E$210</f>
        <v>36.1069192777904</v>
      </c>
      <c r="BJ11" s="60" t="n">
        <f aca="false">SUMPRODUCT(('Capital Expenditure'!$C$3:$BN$3&lt;=56)*('Capital Expenditure'!$C$3:$BN$3&gt;56-'Assumption Setting'!$E$210)*'Capital Expenditure'!$C$11:$BN$11)/'Assumption Setting'!$E$210</f>
        <v>36.1069192777904</v>
      </c>
      <c r="BK11" s="60" t="n">
        <f aca="false">SUMPRODUCT(('Capital Expenditure'!$C$3:$BN$3&lt;=57)*('Capital Expenditure'!$C$3:$BN$3&gt;57-'Assumption Setting'!$E$210)*'Capital Expenditure'!$C$11:$BN$11)/'Assumption Setting'!$E$210</f>
        <v>36.1069192777904</v>
      </c>
      <c r="BL11" s="60" t="n">
        <f aca="false">SUMPRODUCT(('Capital Expenditure'!$C$3:$BN$3&lt;=58)*('Capital Expenditure'!$C$3:$BN$3&gt;58-'Assumption Setting'!$E$210)*'Capital Expenditure'!$C$11:$BN$11)/'Assumption Setting'!$E$210</f>
        <v>36.1069192777904</v>
      </c>
      <c r="BM11" s="60" t="n">
        <f aca="false">SUMPRODUCT(('Capital Expenditure'!$C$3:$BN$3&lt;=59)*('Capital Expenditure'!$C$3:$BN$3&gt;59-'Assumption Setting'!$E$210)*'Capital Expenditure'!$C$11:$BN$11)/'Assumption Setting'!$E$210</f>
        <v>36.1069192777904</v>
      </c>
      <c r="BN11" s="60" t="n">
        <f aca="false">SUMPRODUCT(('Capital Expenditure'!$C$3:$BN$3&lt;=60)*('Capital Expenditure'!$C$3:$BN$3&gt;60-'Assumption Setting'!$E$210)*'Capital Expenditure'!$C$11:$BN$11)/'Assumption Setting'!$E$210</f>
        <v>36.1069192777904</v>
      </c>
    </row>
    <row r="12" customFormat="false" ht="15" hidden="false" customHeight="false" outlineLevel="0" collapsed="false">
      <c r="A12" s="4" t="s">
        <v>903</v>
      </c>
      <c r="B12" s="59" t="n">
        <f aca="false">SUM(C12:N12)</f>
        <v>174.757281553398</v>
      </c>
      <c r="C12" s="60" t="n">
        <f aca="false">SUMPRODUCT(('Capital Expenditure'!$C$3:$BN$3&lt;=1)*('Capital Expenditure'!$C$3:$BN$3&gt;1-'Assumption Setting'!$E$207)*'Capital Expenditure'!$C$12:$BN$12)/'Assumption Setting'!$E$207</f>
        <v>14.5631067961165</v>
      </c>
      <c r="D12" s="60" t="n">
        <f aca="false">SUMPRODUCT(('Capital Expenditure'!$C$3:$BN$3&lt;=2)*('Capital Expenditure'!$C$3:$BN$3&gt;2-'Assumption Setting'!$E$207)*'Capital Expenditure'!$C$12:$BN$12)/'Assumption Setting'!$E$207</f>
        <v>14.5631067961165</v>
      </c>
      <c r="E12" s="60" t="n">
        <f aca="false">SUMPRODUCT(('Capital Expenditure'!$C$3:$BN$3&lt;=3)*('Capital Expenditure'!$C$3:$BN$3&gt;3-'Assumption Setting'!$E$207)*'Capital Expenditure'!$C$12:$BN$12)/'Assumption Setting'!$E$207</f>
        <v>14.5631067961165</v>
      </c>
      <c r="F12" s="60" t="n">
        <f aca="false">SUMPRODUCT(('Capital Expenditure'!$C$3:$BN$3&lt;=4)*('Capital Expenditure'!$C$3:$BN$3&gt;4-'Assumption Setting'!$E$207)*'Capital Expenditure'!$C$12:$BN$12)/'Assumption Setting'!$E$207</f>
        <v>14.5631067961165</v>
      </c>
      <c r="G12" s="60" t="n">
        <f aca="false">SUMPRODUCT(('Capital Expenditure'!$C$3:$BN$3&lt;=5)*('Capital Expenditure'!$C$3:$BN$3&gt;5-'Assumption Setting'!$E$207)*'Capital Expenditure'!$C$12:$BN$12)/'Assumption Setting'!$E$207</f>
        <v>14.5631067961165</v>
      </c>
      <c r="H12" s="60" t="n">
        <f aca="false">SUMPRODUCT(('Capital Expenditure'!$C$3:$BN$3&lt;=6)*('Capital Expenditure'!$C$3:$BN$3&gt;6-'Assumption Setting'!$E$207)*'Capital Expenditure'!$C$12:$BN$12)/'Assumption Setting'!$E$207</f>
        <v>14.5631067961165</v>
      </c>
      <c r="I12" s="60" t="n">
        <f aca="false">SUMPRODUCT(('Capital Expenditure'!$C$3:$BN$3&lt;=7)*('Capital Expenditure'!$C$3:$BN$3&gt;7-'Assumption Setting'!$E$207)*'Capital Expenditure'!$C$12:$BN$12)/'Assumption Setting'!$E$207</f>
        <v>14.5631067961165</v>
      </c>
      <c r="J12" s="60" t="n">
        <f aca="false">SUMPRODUCT(('Capital Expenditure'!$C$3:$BN$3&lt;=8)*('Capital Expenditure'!$C$3:$BN$3&gt;8-'Assumption Setting'!$E$207)*'Capital Expenditure'!$C$12:$BN$12)/'Assumption Setting'!$E$207</f>
        <v>14.5631067961165</v>
      </c>
      <c r="K12" s="60" t="n">
        <f aca="false">SUMPRODUCT(('Capital Expenditure'!$C$3:$BN$3&lt;=9)*('Capital Expenditure'!$C$3:$BN$3&gt;9-'Assumption Setting'!$E$207)*'Capital Expenditure'!$C$12:$BN$12)/'Assumption Setting'!$E$207</f>
        <v>14.5631067961165</v>
      </c>
      <c r="L12" s="60" t="n">
        <f aca="false">SUMPRODUCT(('Capital Expenditure'!$C$3:$BN$3&lt;=10)*('Capital Expenditure'!$C$3:$BN$3&gt;10-'Assumption Setting'!$E$207)*'Capital Expenditure'!$C$12:$BN$12)/'Assumption Setting'!$E$207</f>
        <v>14.5631067961165</v>
      </c>
      <c r="M12" s="60" t="n">
        <f aca="false">SUMPRODUCT(('Capital Expenditure'!$C$3:$BN$3&lt;=11)*('Capital Expenditure'!$C$3:$BN$3&gt;11-'Assumption Setting'!$E$207)*'Capital Expenditure'!$C$12:$BN$12)/'Assumption Setting'!$E$207</f>
        <v>14.5631067961165</v>
      </c>
      <c r="N12" s="60" t="n">
        <f aca="false">SUMPRODUCT(('Capital Expenditure'!$C$3:$BN$3&lt;=12)*('Capital Expenditure'!$C$3:$BN$3&gt;12-'Assumption Setting'!$E$207)*'Capital Expenditure'!$C$12:$BN$12)/'Assumption Setting'!$E$207</f>
        <v>14.5631067961165</v>
      </c>
      <c r="O12" s="59" t="n">
        <f aca="false">SUM(P12:AA12)</f>
        <v>174.757281553398</v>
      </c>
      <c r="P12" s="60" t="n">
        <f aca="false">SUMPRODUCT(('Capital Expenditure'!$C$3:$BN$3&lt;=13)*('Capital Expenditure'!$C$3:$BN$3&gt;13-'Assumption Setting'!$E$207)*'Capital Expenditure'!$C$12:$BN$12)/'Assumption Setting'!$E$207</f>
        <v>14.5631067961165</v>
      </c>
      <c r="Q12" s="60" t="n">
        <f aca="false">SUMPRODUCT(('Capital Expenditure'!$C$3:$BN$3&lt;=14)*('Capital Expenditure'!$C$3:$BN$3&gt;14-'Assumption Setting'!$E$207)*'Capital Expenditure'!$C$12:$BN$12)/'Assumption Setting'!$E$207</f>
        <v>14.5631067961165</v>
      </c>
      <c r="R12" s="60" t="n">
        <f aca="false">SUMPRODUCT(('Capital Expenditure'!$C$3:$BN$3&lt;=15)*('Capital Expenditure'!$C$3:$BN$3&gt;15-'Assumption Setting'!$E$207)*'Capital Expenditure'!$C$12:$BN$12)/'Assumption Setting'!$E$207</f>
        <v>14.5631067961165</v>
      </c>
      <c r="S12" s="60" t="n">
        <f aca="false">SUMPRODUCT(('Capital Expenditure'!$C$3:$BN$3&lt;=16)*('Capital Expenditure'!$C$3:$BN$3&gt;16-'Assumption Setting'!$E$207)*'Capital Expenditure'!$C$12:$BN$12)/'Assumption Setting'!$E$207</f>
        <v>14.5631067961165</v>
      </c>
      <c r="T12" s="60" t="n">
        <f aca="false">SUMPRODUCT(('Capital Expenditure'!$C$3:$BN$3&lt;=17)*('Capital Expenditure'!$C$3:$BN$3&gt;17-'Assumption Setting'!$E$207)*'Capital Expenditure'!$C$12:$BN$12)/'Assumption Setting'!$E$207</f>
        <v>14.5631067961165</v>
      </c>
      <c r="U12" s="60" t="n">
        <f aca="false">SUMPRODUCT(('Capital Expenditure'!$C$3:$BN$3&lt;=18)*('Capital Expenditure'!$C$3:$BN$3&gt;18-'Assumption Setting'!$E$207)*'Capital Expenditure'!$C$12:$BN$12)/'Assumption Setting'!$E$207</f>
        <v>14.5631067961165</v>
      </c>
      <c r="V12" s="60" t="n">
        <f aca="false">SUMPRODUCT(('Capital Expenditure'!$C$3:$BN$3&lt;=19)*('Capital Expenditure'!$C$3:$BN$3&gt;19-'Assumption Setting'!$E$207)*'Capital Expenditure'!$C$12:$BN$12)/'Assumption Setting'!$E$207</f>
        <v>14.5631067961165</v>
      </c>
      <c r="W12" s="60" t="n">
        <f aca="false">SUMPRODUCT(('Capital Expenditure'!$C$3:$BN$3&lt;=20)*('Capital Expenditure'!$C$3:$BN$3&gt;20-'Assumption Setting'!$E$207)*'Capital Expenditure'!$C$12:$BN$12)/'Assumption Setting'!$E$207</f>
        <v>14.5631067961165</v>
      </c>
      <c r="X12" s="60" t="n">
        <f aca="false">SUMPRODUCT(('Capital Expenditure'!$C$3:$BN$3&lt;=21)*('Capital Expenditure'!$C$3:$BN$3&gt;21-'Assumption Setting'!$E$207)*'Capital Expenditure'!$C$12:$BN$12)/'Assumption Setting'!$E$207</f>
        <v>14.5631067961165</v>
      </c>
      <c r="Y12" s="60" t="n">
        <f aca="false">SUMPRODUCT(('Capital Expenditure'!$C$3:$BN$3&lt;=22)*('Capital Expenditure'!$C$3:$BN$3&gt;22-'Assumption Setting'!$E$207)*'Capital Expenditure'!$C$12:$BN$12)/'Assumption Setting'!$E$207</f>
        <v>14.5631067961165</v>
      </c>
      <c r="Z12" s="60" t="n">
        <f aca="false">SUMPRODUCT(('Capital Expenditure'!$C$3:$BN$3&lt;=23)*('Capital Expenditure'!$C$3:$BN$3&gt;23-'Assumption Setting'!$E$207)*'Capital Expenditure'!$C$12:$BN$12)/'Assumption Setting'!$E$207</f>
        <v>14.5631067961165</v>
      </c>
      <c r="AA12" s="60" t="n">
        <f aca="false">SUMPRODUCT(('Capital Expenditure'!$C$3:$BN$3&lt;=24)*('Capital Expenditure'!$C$3:$BN$3&gt;24-'Assumption Setting'!$E$207)*'Capital Expenditure'!$C$12:$BN$12)/'Assumption Setting'!$E$207</f>
        <v>14.5631067961165</v>
      </c>
      <c r="AB12" s="59" t="n">
        <f aca="false">SUM(AC12:AN12)</f>
        <v>174.757281553398</v>
      </c>
      <c r="AC12" s="60" t="n">
        <f aca="false">SUMPRODUCT(('Capital Expenditure'!$C$3:$BN$3&lt;=25)*('Capital Expenditure'!$C$3:$BN$3&gt;25-'Assumption Setting'!$E$207)*'Capital Expenditure'!$C$12:$BN$12)/'Assumption Setting'!$E$207</f>
        <v>14.5631067961165</v>
      </c>
      <c r="AD12" s="60" t="n">
        <f aca="false">SUMPRODUCT(('Capital Expenditure'!$C$3:$BN$3&lt;=26)*('Capital Expenditure'!$C$3:$BN$3&gt;26-'Assumption Setting'!$E$207)*'Capital Expenditure'!$C$12:$BN$12)/'Assumption Setting'!$E$207</f>
        <v>14.5631067961165</v>
      </c>
      <c r="AE12" s="60" t="n">
        <f aca="false">SUMPRODUCT(('Capital Expenditure'!$C$3:$BN$3&lt;=27)*('Capital Expenditure'!$C$3:$BN$3&gt;27-'Assumption Setting'!$E$207)*'Capital Expenditure'!$C$12:$BN$12)/'Assumption Setting'!$E$207</f>
        <v>14.5631067961165</v>
      </c>
      <c r="AF12" s="60" t="n">
        <f aca="false">SUMPRODUCT(('Capital Expenditure'!$C$3:$BN$3&lt;=28)*('Capital Expenditure'!$C$3:$BN$3&gt;28-'Assumption Setting'!$E$207)*'Capital Expenditure'!$C$12:$BN$12)/'Assumption Setting'!$E$207</f>
        <v>14.5631067961165</v>
      </c>
      <c r="AG12" s="60" t="n">
        <f aca="false">SUMPRODUCT(('Capital Expenditure'!$C$3:$BN$3&lt;=29)*('Capital Expenditure'!$C$3:$BN$3&gt;29-'Assumption Setting'!$E$207)*'Capital Expenditure'!$C$12:$BN$12)/'Assumption Setting'!$E$207</f>
        <v>14.5631067961165</v>
      </c>
      <c r="AH12" s="60" t="n">
        <f aca="false">SUMPRODUCT(('Capital Expenditure'!$C$3:$BN$3&lt;=30)*('Capital Expenditure'!$C$3:$BN$3&gt;30-'Assumption Setting'!$E$207)*'Capital Expenditure'!$C$12:$BN$12)/'Assumption Setting'!$E$207</f>
        <v>14.5631067961165</v>
      </c>
      <c r="AI12" s="60" t="n">
        <f aca="false">SUMPRODUCT(('Capital Expenditure'!$C$3:$BN$3&lt;=31)*('Capital Expenditure'!$C$3:$BN$3&gt;31-'Assumption Setting'!$E$207)*'Capital Expenditure'!$C$12:$BN$12)/'Assumption Setting'!$E$207</f>
        <v>14.5631067961165</v>
      </c>
      <c r="AJ12" s="60" t="n">
        <f aca="false">SUMPRODUCT(('Capital Expenditure'!$C$3:$BN$3&lt;=32)*('Capital Expenditure'!$C$3:$BN$3&gt;32-'Assumption Setting'!$E$207)*'Capital Expenditure'!$C$12:$BN$12)/'Assumption Setting'!$E$207</f>
        <v>14.5631067961165</v>
      </c>
      <c r="AK12" s="60" t="n">
        <f aca="false">SUMPRODUCT(('Capital Expenditure'!$C$3:$BN$3&lt;=33)*('Capital Expenditure'!$C$3:$BN$3&gt;33-'Assumption Setting'!$E$207)*'Capital Expenditure'!$C$12:$BN$12)/'Assumption Setting'!$E$207</f>
        <v>14.5631067961165</v>
      </c>
      <c r="AL12" s="60" t="n">
        <f aca="false">SUMPRODUCT(('Capital Expenditure'!$C$3:$BN$3&lt;=34)*('Capital Expenditure'!$C$3:$BN$3&gt;34-'Assumption Setting'!$E$207)*'Capital Expenditure'!$C$12:$BN$12)/'Assumption Setting'!$E$207</f>
        <v>14.5631067961165</v>
      </c>
      <c r="AM12" s="60" t="n">
        <f aca="false">SUMPRODUCT(('Capital Expenditure'!$C$3:$BN$3&lt;=35)*('Capital Expenditure'!$C$3:$BN$3&gt;35-'Assumption Setting'!$E$207)*'Capital Expenditure'!$C$12:$BN$12)/'Assumption Setting'!$E$207</f>
        <v>14.5631067961165</v>
      </c>
      <c r="AN12" s="60" t="n">
        <f aca="false">SUMPRODUCT(('Capital Expenditure'!$C$3:$BN$3&lt;=36)*('Capital Expenditure'!$C$3:$BN$3&gt;36-'Assumption Setting'!$E$207)*'Capital Expenditure'!$C$12:$BN$12)/'Assumption Setting'!$E$207</f>
        <v>14.5631067961165</v>
      </c>
      <c r="AO12" s="59" t="n">
        <f aca="false">SUM(AP12:BA12)</f>
        <v>174.757281553398</v>
      </c>
      <c r="AP12" s="60" t="n">
        <f aca="false">SUMPRODUCT(('Capital Expenditure'!$C$3:$BN$3&lt;=37)*('Capital Expenditure'!$C$3:$BN$3&gt;37-'Assumption Setting'!$E$207)*'Capital Expenditure'!$C$12:$BN$12)/'Assumption Setting'!$E$207</f>
        <v>14.5631067961165</v>
      </c>
      <c r="AQ12" s="60" t="n">
        <f aca="false">SUMPRODUCT(('Capital Expenditure'!$C$3:$BN$3&lt;=38)*('Capital Expenditure'!$C$3:$BN$3&gt;38-'Assumption Setting'!$E$207)*'Capital Expenditure'!$C$12:$BN$12)/'Assumption Setting'!$E$207</f>
        <v>14.5631067961165</v>
      </c>
      <c r="AR12" s="60" t="n">
        <f aca="false">SUMPRODUCT(('Capital Expenditure'!$C$3:$BN$3&lt;=39)*('Capital Expenditure'!$C$3:$BN$3&gt;39-'Assumption Setting'!$E$207)*'Capital Expenditure'!$C$12:$BN$12)/'Assumption Setting'!$E$207</f>
        <v>14.5631067961165</v>
      </c>
      <c r="AS12" s="60" t="n">
        <f aca="false">SUMPRODUCT(('Capital Expenditure'!$C$3:$BN$3&lt;=40)*('Capital Expenditure'!$C$3:$BN$3&gt;40-'Assumption Setting'!$E$207)*'Capital Expenditure'!$C$12:$BN$12)/'Assumption Setting'!$E$207</f>
        <v>14.5631067961165</v>
      </c>
      <c r="AT12" s="60" t="n">
        <f aca="false">SUMPRODUCT(('Capital Expenditure'!$C$3:$BN$3&lt;=41)*('Capital Expenditure'!$C$3:$BN$3&gt;41-'Assumption Setting'!$E$207)*'Capital Expenditure'!$C$12:$BN$12)/'Assumption Setting'!$E$207</f>
        <v>14.5631067961165</v>
      </c>
      <c r="AU12" s="60" t="n">
        <f aca="false">SUMPRODUCT(('Capital Expenditure'!$C$3:$BN$3&lt;=42)*('Capital Expenditure'!$C$3:$BN$3&gt;42-'Assumption Setting'!$E$207)*'Capital Expenditure'!$C$12:$BN$12)/'Assumption Setting'!$E$207</f>
        <v>14.5631067961165</v>
      </c>
      <c r="AV12" s="60" t="n">
        <f aca="false">SUMPRODUCT(('Capital Expenditure'!$C$3:$BN$3&lt;=43)*('Capital Expenditure'!$C$3:$BN$3&gt;43-'Assumption Setting'!$E$207)*'Capital Expenditure'!$C$12:$BN$12)/'Assumption Setting'!$E$207</f>
        <v>14.5631067961165</v>
      </c>
      <c r="AW12" s="60" t="n">
        <f aca="false">SUMPRODUCT(('Capital Expenditure'!$C$3:$BN$3&lt;=44)*('Capital Expenditure'!$C$3:$BN$3&gt;44-'Assumption Setting'!$E$207)*'Capital Expenditure'!$C$12:$BN$12)/'Assumption Setting'!$E$207</f>
        <v>14.5631067961165</v>
      </c>
      <c r="AX12" s="60" t="n">
        <f aca="false">SUMPRODUCT(('Capital Expenditure'!$C$3:$BN$3&lt;=45)*('Capital Expenditure'!$C$3:$BN$3&gt;45-'Assumption Setting'!$E$207)*'Capital Expenditure'!$C$12:$BN$12)/'Assumption Setting'!$E$207</f>
        <v>14.5631067961165</v>
      </c>
      <c r="AY12" s="60" t="n">
        <f aca="false">SUMPRODUCT(('Capital Expenditure'!$C$3:$BN$3&lt;=46)*('Capital Expenditure'!$C$3:$BN$3&gt;46-'Assumption Setting'!$E$207)*'Capital Expenditure'!$C$12:$BN$12)/'Assumption Setting'!$E$207</f>
        <v>14.5631067961165</v>
      </c>
      <c r="AZ12" s="60" t="n">
        <f aca="false">SUMPRODUCT(('Capital Expenditure'!$C$3:$BN$3&lt;=47)*('Capital Expenditure'!$C$3:$BN$3&gt;47-'Assumption Setting'!$E$207)*'Capital Expenditure'!$C$12:$BN$12)/'Assumption Setting'!$E$207</f>
        <v>14.5631067961165</v>
      </c>
      <c r="BA12" s="60" t="n">
        <f aca="false">SUMPRODUCT(('Capital Expenditure'!$C$3:$BN$3&lt;=48)*('Capital Expenditure'!$C$3:$BN$3&gt;48-'Assumption Setting'!$E$207)*'Capital Expenditure'!$C$12:$BN$12)/'Assumption Setting'!$E$207</f>
        <v>14.5631067961165</v>
      </c>
      <c r="BB12" s="59" t="n">
        <f aca="false">SUM(BC12:BN12)</f>
        <v>174.757281553398</v>
      </c>
      <c r="BC12" s="60" t="n">
        <f aca="false">SUMPRODUCT(('Capital Expenditure'!$C$3:$BN$3&lt;=49)*('Capital Expenditure'!$C$3:$BN$3&gt;49-'Assumption Setting'!$E$207)*'Capital Expenditure'!$C$12:$BN$12)/'Assumption Setting'!$E$207</f>
        <v>14.5631067961165</v>
      </c>
      <c r="BD12" s="60" t="n">
        <f aca="false">SUMPRODUCT(('Capital Expenditure'!$C$3:$BN$3&lt;=50)*('Capital Expenditure'!$C$3:$BN$3&gt;50-'Assumption Setting'!$E$207)*'Capital Expenditure'!$C$12:$BN$12)/'Assumption Setting'!$E$207</f>
        <v>14.5631067961165</v>
      </c>
      <c r="BE12" s="60" t="n">
        <f aca="false">SUMPRODUCT(('Capital Expenditure'!$C$3:$BN$3&lt;=51)*('Capital Expenditure'!$C$3:$BN$3&gt;51-'Assumption Setting'!$E$207)*'Capital Expenditure'!$C$12:$BN$12)/'Assumption Setting'!$E$207</f>
        <v>14.5631067961165</v>
      </c>
      <c r="BF12" s="60" t="n">
        <f aca="false">SUMPRODUCT(('Capital Expenditure'!$C$3:$BN$3&lt;=52)*('Capital Expenditure'!$C$3:$BN$3&gt;52-'Assumption Setting'!$E$207)*'Capital Expenditure'!$C$12:$BN$12)/'Assumption Setting'!$E$207</f>
        <v>14.5631067961165</v>
      </c>
      <c r="BG12" s="60" t="n">
        <f aca="false">SUMPRODUCT(('Capital Expenditure'!$C$3:$BN$3&lt;=53)*('Capital Expenditure'!$C$3:$BN$3&gt;53-'Assumption Setting'!$E$207)*'Capital Expenditure'!$C$12:$BN$12)/'Assumption Setting'!$E$207</f>
        <v>14.5631067961165</v>
      </c>
      <c r="BH12" s="60" t="n">
        <f aca="false">SUMPRODUCT(('Capital Expenditure'!$C$3:$BN$3&lt;=54)*('Capital Expenditure'!$C$3:$BN$3&gt;54-'Assumption Setting'!$E$207)*'Capital Expenditure'!$C$12:$BN$12)/'Assumption Setting'!$E$207</f>
        <v>14.5631067961165</v>
      </c>
      <c r="BI12" s="60" t="n">
        <f aca="false">SUMPRODUCT(('Capital Expenditure'!$C$3:$BN$3&lt;=55)*('Capital Expenditure'!$C$3:$BN$3&gt;55-'Assumption Setting'!$E$207)*'Capital Expenditure'!$C$12:$BN$12)/'Assumption Setting'!$E$207</f>
        <v>14.5631067961165</v>
      </c>
      <c r="BJ12" s="60" t="n">
        <f aca="false">SUMPRODUCT(('Capital Expenditure'!$C$3:$BN$3&lt;=56)*('Capital Expenditure'!$C$3:$BN$3&gt;56-'Assumption Setting'!$E$207)*'Capital Expenditure'!$C$12:$BN$12)/'Assumption Setting'!$E$207</f>
        <v>14.5631067961165</v>
      </c>
      <c r="BK12" s="60" t="n">
        <f aca="false">SUMPRODUCT(('Capital Expenditure'!$C$3:$BN$3&lt;=57)*('Capital Expenditure'!$C$3:$BN$3&gt;57-'Assumption Setting'!$E$207)*'Capital Expenditure'!$C$12:$BN$12)/'Assumption Setting'!$E$207</f>
        <v>14.5631067961165</v>
      </c>
      <c r="BL12" s="60" t="n">
        <f aca="false">SUMPRODUCT(('Capital Expenditure'!$C$3:$BN$3&lt;=58)*('Capital Expenditure'!$C$3:$BN$3&gt;58-'Assumption Setting'!$E$207)*'Capital Expenditure'!$C$12:$BN$12)/'Assumption Setting'!$E$207</f>
        <v>14.5631067961165</v>
      </c>
      <c r="BM12" s="60" t="n">
        <f aca="false">SUMPRODUCT(('Capital Expenditure'!$C$3:$BN$3&lt;=59)*('Capital Expenditure'!$C$3:$BN$3&gt;59-'Assumption Setting'!$E$207)*'Capital Expenditure'!$C$12:$BN$12)/'Assumption Setting'!$E$207</f>
        <v>14.5631067961165</v>
      </c>
      <c r="BN12" s="60" t="n">
        <f aca="false">SUMPRODUCT(('Capital Expenditure'!$C$3:$BN$3&lt;=60)*('Capital Expenditure'!$C$3:$BN$3&gt;60-'Assumption Setting'!$E$207)*'Capital Expenditure'!$C$12:$BN$12)/'Assumption Setting'!$E$207</f>
        <v>14.5631067961165</v>
      </c>
    </row>
    <row r="13" customFormat="false" ht="15" hidden="false" customHeight="false" outlineLevel="0" collapsed="false">
      <c r="A13" s="4" t="s">
        <v>904</v>
      </c>
      <c r="B13" s="59" t="n">
        <f aca="false">SUM(C13:N13)</f>
        <v>11650.4854368932</v>
      </c>
      <c r="C13" s="60" t="n">
        <f aca="false">IF(1&lt;='Assumption Setting'!$E$211,'Assumption Setting'!$C$20/'Assumption Setting'!$E$211,0)</f>
        <v>970.873786407767</v>
      </c>
      <c r="D13" s="60" t="n">
        <f aca="false">IF(2&lt;='Assumption Setting'!$E$211,'Assumption Setting'!$C$20/'Assumption Setting'!$E$211,0)</f>
        <v>970.873786407767</v>
      </c>
      <c r="E13" s="60" t="n">
        <f aca="false">IF(3&lt;='Assumption Setting'!$E$211,'Assumption Setting'!$C$20/'Assumption Setting'!$E$211,0)</f>
        <v>970.873786407767</v>
      </c>
      <c r="F13" s="60" t="n">
        <f aca="false">IF(4&lt;='Assumption Setting'!$E$211,'Assumption Setting'!$C$20/'Assumption Setting'!$E$211,0)</f>
        <v>970.873786407767</v>
      </c>
      <c r="G13" s="60" t="n">
        <f aca="false">IF(5&lt;='Assumption Setting'!$E$211,'Assumption Setting'!$C$20/'Assumption Setting'!$E$211,0)</f>
        <v>970.873786407767</v>
      </c>
      <c r="H13" s="60" t="n">
        <f aca="false">IF(6&lt;='Assumption Setting'!$E$211,'Assumption Setting'!$C$20/'Assumption Setting'!$E$211,0)</f>
        <v>970.873786407767</v>
      </c>
      <c r="I13" s="60" t="n">
        <f aca="false">IF(7&lt;='Assumption Setting'!$E$211,'Assumption Setting'!$C$20/'Assumption Setting'!$E$211,0)</f>
        <v>970.873786407767</v>
      </c>
      <c r="J13" s="60" t="n">
        <f aca="false">IF(8&lt;='Assumption Setting'!$E$211,'Assumption Setting'!$C$20/'Assumption Setting'!$E$211,0)</f>
        <v>970.873786407767</v>
      </c>
      <c r="K13" s="60" t="n">
        <f aca="false">IF(9&lt;='Assumption Setting'!$E$211,'Assumption Setting'!$C$20/'Assumption Setting'!$E$211,0)</f>
        <v>970.873786407767</v>
      </c>
      <c r="L13" s="60" t="n">
        <f aca="false">IF(10&lt;='Assumption Setting'!$E$211,'Assumption Setting'!$C$20/'Assumption Setting'!$E$211,0)</f>
        <v>970.873786407767</v>
      </c>
      <c r="M13" s="60" t="n">
        <f aca="false">IF(11&lt;='Assumption Setting'!$E$211,'Assumption Setting'!$C$20/'Assumption Setting'!$E$211,0)</f>
        <v>970.873786407767</v>
      </c>
      <c r="N13" s="60" t="n">
        <f aca="false">IF(12&lt;='Assumption Setting'!$E$211,'Assumption Setting'!$C$20/'Assumption Setting'!$E$211,0)</f>
        <v>970.873786407767</v>
      </c>
      <c r="O13" s="59" t="n">
        <f aca="false">SUM(P13:AA13)</f>
        <v>11650.4854368932</v>
      </c>
      <c r="P13" s="60" t="n">
        <f aca="false">IF(13&lt;='Assumption Setting'!$E$211,'Assumption Setting'!$C$20/'Assumption Setting'!$E$211,0)</f>
        <v>970.873786407767</v>
      </c>
      <c r="Q13" s="60" t="n">
        <f aca="false">IF(14&lt;='Assumption Setting'!$E$211,'Assumption Setting'!$C$20/'Assumption Setting'!$E$211,0)</f>
        <v>970.873786407767</v>
      </c>
      <c r="R13" s="60" t="n">
        <f aca="false">IF(15&lt;='Assumption Setting'!$E$211,'Assumption Setting'!$C$20/'Assumption Setting'!$E$211,0)</f>
        <v>970.873786407767</v>
      </c>
      <c r="S13" s="60" t="n">
        <f aca="false">IF(16&lt;='Assumption Setting'!$E$211,'Assumption Setting'!$C$20/'Assumption Setting'!$E$211,0)</f>
        <v>970.873786407767</v>
      </c>
      <c r="T13" s="60" t="n">
        <f aca="false">IF(17&lt;='Assumption Setting'!$E$211,'Assumption Setting'!$C$20/'Assumption Setting'!$E$211,0)</f>
        <v>970.873786407767</v>
      </c>
      <c r="U13" s="60" t="n">
        <f aca="false">IF(18&lt;='Assumption Setting'!$E$211,'Assumption Setting'!$C$20/'Assumption Setting'!$E$211,0)</f>
        <v>970.873786407767</v>
      </c>
      <c r="V13" s="60" t="n">
        <f aca="false">IF(19&lt;='Assumption Setting'!$E$211,'Assumption Setting'!$C$20/'Assumption Setting'!$E$211,0)</f>
        <v>970.873786407767</v>
      </c>
      <c r="W13" s="60" t="n">
        <f aca="false">IF(20&lt;='Assumption Setting'!$E$211,'Assumption Setting'!$C$20/'Assumption Setting'!$E$211,0)</f>
        <v>970.873786407767</v>
      </c>
      <c r="X13" s="60" t="n">
        <f aca="false">IF(21&lt;='Assumption Setting'!$E$211,'Assumption Setting'!$C$20/'Assumption Setting'!$E$211,0)</f>
        <v>970.873786407767</v>
      </c>
      <c r="Y13" s="60" t="n">
        <f aca="false">IF(22&lt;='Assumption Setting'!$E$211,'Assumption Setting'!$C$20/'Assumption Setting'!$E$211,0)</f>
        <v>970.873786407767</v>
      </c>
      <c r="Z13" s="60" t="n">
        <f aca="false">IF(23&lt;='Assumption Setting'!$E$211,'Assumption Setting'!$C$20/'Assumption Setting'!$E$211,0)</f>
        <v>970.873786407767</v>
      </c>
      <c r="AA13" s="60" t="n">
        <f aca="false">IF(24&lt;='Assumption Setting'!$E$211,'Assumption Setting'!$C$20/'Assumption Setting'!$E$211,0)</f>
        <v>970.873786407767</v>
      </c>
      <c r="AB13" s="59" t="n">
        <f aca="false">SUM(AC13:AN13)</f>
        <v>11650.4854368932</v>
      </c>
      <c r="AC13" s="60" t="n">
        <f aca="false">IF(25&lt;='Assumption Setting'!$E$211,'Assumption Setting'!$C$20/'Assumption Setting'!$E$211,0)</f>
        <v>970.873786407767</v>
      </c>
      <c r="AD13" s="60" t="n">
        <f aca="false">IF(26&lt;='Assumption Setting'!$E$211,'Assumption Setting'!$C$20/'Assumption Setting'!$E$211,0)</f>
        <v>970.873786407767</v>
      </c>
      <c r="AE13" s="60" t="n">
        <f aca="false">IF(27&lt;='Assumption Setting'!$E$211,'Assumption Setting'!$C$20/'Assumption Setting'!$E$211,0)</f>
        <v>970.873786407767</v>
      </c>
      <c r="AF13" s="60" t="n">
        <f aca="false">IF(28&lt;='Assumption Setting'!$E$211,'Assumption Setting'!$C$20/'Assumption Setting'!$E$211,0)</f>
        <v>970.873786407767</v>
      </c>
      <c r="AG13" s="60" t="n">
        <f aca="false">IF(29&lt;='Assumption Setting'!$E$211,'Assumption Setting'!$C$20/'Assumption Setting'!$E$211,0)</f>
        <v>970.873786407767</v>
      </c>
      <c r="AH13" s="60" t="n">
        <f aca="false">IF(30&lt;='Assumption Setting'!$E$211,'Assumption Setting'!$C$20/'Assumption Setting'!$E$211,0)</f>
        <v>970.873786407767</v>
      </c>
      <c r="AI13" s="60" t="n">
        <f aca="false">IF(31&lt;='Assumption Setting'!$E$211,'Assumption Setting'!$C$20/'Assumption Setting'!$E$211,0)</f>
        <v>970.873786407767</v>
      </c>
      <c r="AJ13" s="60" t="n">
        <f aca="false">IF(32&lt;='Assumption Setting'!$E$211,'Assumption Setting'!$C$20/'Assumption Setting'!$E$211,0)</f>
        <v>970.873786407767</v>
      </c>
      <c r="AK13" s="60" t="n">
        <f aca="false">IF(33&lt;='Assumption Setting'!$E$211,'Assumption Setting'!$C$20/'Assumption Setting'!$E$211,0)</f>
        <v>970.873786407767</v>
      </c>
      <c r="AL13" s="60" t="n">
        <f aca="false">IF(34&lt;='Assumption Setting'!$E$211,'Assumption Setting'!$C$20/'Assumption Setting'!$E$211,0)</f>
        <v>970.873786407767</v>
      </c>
      <c r="AM13" s="60" t="n">
        <f aca="false">IF(35&lt;='Assumption Setting'!$E$211,'Assumption Setting'!$C$20/'Assumption Setting'!$E$211,0)</f>
        <v>970.873786407767</v>
      </c>
      <c r="AN13" s="60" t="n">
        <f aca="false">IF(36&lt;='Assumption Setting'!$E$211,'Assumption Setting'!$C$20/'Assumption Setting'!$E$211,0)</f>
        <v>970.873786407767</v>
      </c>
      <c r="AO13" s="59" t="n">
        <f aca="false">SUM(AP13:BA13)</f>
        <v>11650.4854368932</v>
      </c>
      <c r="AP13" s="60" t="n">
        <f aca="false">IF(37&lt;='Assumption Setting'!$E$211,'Assumption Setting'!$C$20/'Assumption Setting'!$E$211,0)</f>
        <v>970.873786407767</v>
      </c>
      <c r="AQ13" s="60" t="n">
        <f aca="false">IF(38&lt;='Assumption Setting'!$E$211,'Assumption Setting'!$C$20/'Assumption Setting'!$E$211,0)</f>
        <v>970.873786407767</v>
      </c>
      <c r="AR13" s="60" t="n">
        <f aca="false">IF(39&lt;='Assumption Setting'!$E$211,'Assumption Setting'!$C$20/'Assumption Setting'!$E$211,0)</f>
        <v>970.873786407767</v>
      </c>
      <c r="AS13" s="60" t="n">
        <f aca="false">IF(40&lt;='Assumption Setting'!$E$211,'Assumption Setting'!$C$20/'Assumption Setting'!$E$211,0)</f>
        <v>970.873786407767</v>
      </c>
      <c r="AT13" s="60" t="n">
        <f aca="false">IF(41&lt;='Assumption Setting'!$E$211,'Assumption Setting'!$C$20/'Assumption Setting'!$E$211,0)</f>
        <v>970.873786407767</v>
      </c>
      <c r="AU13" s="60" t="n">
        <f aca="false">IF(42&lt;='Assumption Setting'!$E$211,'Assumption Setting'!$C$20/'Assumption Setting'!$E$211,0)</f>
        <v>970.873786407767</v>
      </c>
      <c r="AV13" s="60" t="n">
        <f aca="false">IF(43&lt;='Assumption Setting'!$E$211,'Assumption Setting'!$C$20/'Assumption Setting'!$E$211,0)</f>
        <v>970.873786407767</v>
      </c>
      <c r="AW13" s="60" t="n">
        <f aca="false">IF(44&lt;='Assumption Setting'!$E$211,'Assumption Setting'!$C$20/'Assumption Setting'!$E$211,0)</f>
        <v>970.873786407767</v>
      </c>
      <c r="AX13" s="60" t="n">
        <f aca="false">IF(45&lt;='Assumption Setting'!$E$211,'Assumption Setting'!$C$20/'Assumption Setting'!$E$211,0)</f>
        <v>970.873786407767</v>
      </c>
      <c r="AY13" s="60" t="n">
        <f aca="false">IF(46&lt;='Assumption Setting'!$E$211,'Assumption Setting'!$C$20/'Assumption Setting'!$E$211,0)</f>
        <v>970.873786407767</v>
      </c>
      <c r="AZ13" s="60" t="n">
        <f aca="false">IF(47&lt;='Assumption Setting'!$E$211,'Assumption Setting'!$C$20/'Assumption Setting'!$E$211,0)</f>
        <v>970.873786407767</v>
      </c>
      <c r="BA13" s="60" t="n">
        <f aca="false">IF(48&lt;='Assumption Setting'!$E$211,'Assumption Setting'!$C$20/'Assumption Setting'!$E$211,0)</f>
        <v>970.873786407767</v>
      </c>
      <c r="BB13" s="59" t="n">
        <f aca="false">SUM(BC13:BN13)</f>
        <v>11650.4854368932</v>
      </c>
      <c r="BC13" s="60" t="n">
        <f aca="false">IF(49&lt;='Assumption Setting'!$E$211,'Assumption Setting'!$C$20/'Assumption Setting'!$E$211,0)</f>
        <v>970.873786407767</v>
      </c>
      <c r="BD13" s="60" t="n">
        <f aca="false">IF(50&lt;='Assumption Setting'!$E$211,'Assumption Setting'!$C$20/'Assumption Setting'!$E$211,0)</f>
        <v>970.873786407767</v>
      </c>
      <c r="BE13" s="60" t="n">
        <f aca="false">IF(51&lt;='Assumption Setting'!$E$211,'Assumption Setting'!$C$20/'Assumption Setting'!$E$211,0)</f>
        <v>970.873786407767</v>
      </c>
      <c r="BF13" s="60" t="n">
        <f aca="false">IF(52&lt;='Assumption Setting'!$E$211,'Assumption Setting'!$C$20/'Assumption Setting'!$E$211,0)</f>
        <v>970.873786407767</v>
      </c>
      <c r="BG13" s="60" t="n">
        <f aca="false">IF(53&lt;='Assumption Setting'!$E$211,'Assumption Setting'!$C$20/'Assumption Setting'!$E$211,0)</f>
        <v>970.873786407767</v>
      </c>
      <c r="BH13" s="60" t="n">
        <f aca="false">IF(54&lt;='Assumption Setting'!$E$211,'Assumption Setting'!$C$20/'Assumption Setting'!$E$211,0)</f>
        <v>970.873786407767</v>
      </c>
      <c r="BI13" s="60" t="n">
        <f aca="false">IF(55&lt;='Assumption Setting'!$E$211,'Assumption Setting'!$C$20/'Assumption Setting'!$E$211,0)</f>
        <v>970.873786407767</v>
      </c>
      <c r="BJ13" s="60" t="n">
        <f aca="false">IF(56&lt;='Assumption Setting'!$E$211,'Assumption Setting'!$C$20/'Assumption Setting'!$E$211,0)</f>
        <v>970.873786407767</v>
      </c>
      <c r="BK13" s="60" t="n">
        <f aca="false">IF(57&lt;='Assumption Setting'!$E$211,'Assumption Setting'!$C$20/'Assumption Setting'!$E$211,0)</f>
        <v>970.873786407767</v>
      </c>
      <c r="BL13" s="60" t="n">
        <f aca="false">IF(58&lt;='Assumption Setting'!$E$211,'Assumption Setting'!$C$20/'Assumption Setting'!$E$211,0)</f>
        <v>970.873786407767</v>
      </c>
      <c r="BM13" s="60" t="n">
        <f aca="false">IF(59&lt;='Assumption Setting'!$E$211,'Assumption Setting'!$C$20/'Assumption Setting'!$E$211,0)</f>
        <v>970.873786407767</v>
      </c>
      <c r="BN13" s="60" t="n">
        <f aca="false">IF(60&lt;='Assumption Setting'!$E$211,'Assumption Setting'!$C$20/'Assumption Setting'!$E$211,0)</f>
        <v>970.873786407767</v>
      </c>
    </row>
    <row r="14" customFormat="false" ht="15" hidden="false" customHeight="false" outlineLevel="0" collapsed="false">
      <c r="A14" s="13" t="s">
        <v>905</v>
      </c>
      <c r="B14" s="59" t="n">
        <f aca="false">SUM(C14:N14)</f>
        <v>25401.4392748638</v>
      </c>
      <c r="C14" s="61" t="n">
        <f aca="false">SUM(C6:C13)</f>
        <v>2081.17583603021</v>
      </c>
      <c r="D14" s="61" t="n">
        <f aca="false">SUM(D6:D13)</f>
        <v>2081.17583603021</v>
      </c>
      <c r="E14" s="61" t="n">
        <f aca="false">SUM(E6:E13)</f>
        <v>2123.90876028034</v>
      </c>
      <c r="F14" s="61" t="n">
        <f aca="false">SUM(F6:F13)</f>
        <v>2123.90876028034</v>
      </c>
      <c r="G14" s="61" t="n">
        <f aca="false">SUM(G6:G13)</f>
        <v>2123.90876028034</v>
      </c>
      <c r="H14" s="61" t="n">
        <f aca="false">SUM(H6:H13)</f>
        <v>2123.90876028034</v>
      </c>
      <c r="I14" s="61" t="n">
        <f aca="false">SUM(I6:I13)</f>
        <v>2123.90876028034</v>
      </c>
      <c r="J14" s="61" t="n">
        <f aca="false">SUM(J6:J13)</f>
        <v>2123.90876028034</v>
      </c>
      <c r="K14" s="61" t="n">
        <f aca="false">SUM(K6:K13)</f>
        <v>2123.90876028034</v>
      </c>
      <c r="L14" s="61" t="n">
        <f aca="false">SUM(L6:L13)</f>
        <v>2123.90876028034</v>
      </c>
      <c r="M14" s="61" t="n">
        <f aca="false">SUM(M6:M13)</f>
        <v>2123.90876028034</v>
      </c>
      <c r="N14" s="61" t="n">
        <f aca="false">SUM(N6:N13)</f>
        <v>2123.90876028034</v>
      </c>
      <c r="O14" s="59" t="n">
        <f aca="false">SUM(P14:AA14)</f>
        <v>30819.2286130826</v>
      </c>
      <c r="P14" s="61" t="n">
        <f aca="false">SUM(P6:P13)</f>
        <v>2491.09037677502</v>
      </c>
      <c r="Q14" s="61" t="n">
        <f aca="false">SUM(Q6:Q13)</f>
        <v>2491.09037677502</v>
      </c>
      <c r="R14" s="61" t="n">
        <f aca="false">SUM(R6:R13)</f>
        <v>2491.09037677502</v>
      </c>
      <c r="S14" s="61" t="n">
        <f aca="false">SUM(S6:S13)</f>
        <v>2527.19729605281</v>
      </c>
      <c r="T14" s="61" t="n">
        <f aca="false">SUM(T6:T13)</f>
        <v>2552.44952006797</v>
      </c>
      <c r="U14" s="61" t="n">
        <f aca="false">SUM(U6:U13)</f>
        <v>2552.44952006797</v>
      </c>
      <c r="V14" s="61" t="n">
        <f aca="false">SUM(V6:V13)</f>
        <v>2602.465868845</v>
      </c>
      <c r="W14" s="61" t="n">
        <f aca="false">SUM(W6:W13)</f>
        <v>2602.465868845</v>
      </c>
      <c r="X14" s="61" t="n">
        <f aca="false">SUM(X6:X13)</f>
        <v>2627.23235221971</v>
      </c>
      <c r="Y14" s="61" t="n">
        <f aca="false">SUM(Y6:Y13)</f>
        <v>2627.23235221971</v>
      </c>
      <c r="Z14" s="61" t="n">
        <f aca="false">SUM(Z6:Z13)</f>
        <v>2627.23235221971</v>
      </c>
      <c r="AA14" s="61" t="n">
        <f aca="false">SUM(AA6:AA13)</f>
        <v>2627.23235221971</v>
      </c>
      <c r="AB14" s="59" t="n">
        <f aca="false">SUM(AC14:AN14)</f>
        <v>37448.3798662964</v>
      </c>
      <c r="AC14" s="61" t="n">
        <f aca="false">SUM(AC6:AC13)</f>
        <v>3049.66863442712</v>
      </c>
      <c r="AD14" s="61" t="n">
        <f aca="false">SUM(AD6:AD13)</f>
        <v>3049.66863442712</v>
      </c>
      <c r="AE14" s="61" t="n">
        <f aca="false">SUM(AE6:AE13)</f>
        <v>3049.66863442712</v>
      </c>
      <c r="AF14" s="61" t="n">
        <f aca="false">SUM(AF6:AF13)</f>
        <v>3073.60744621245</v>
      </c>
      <c r="AG14" s="61" t="n">
        <f aca="false">SUM(AG6:AG13)</f>
        <v>3097.43029905694</v>
      </c>
      <c r="AH14" s="61" t="n">
        <f aca="false">SUM(AH6:AH13)</f>
        <v>3097.43029905694</v>
      </c>
      <c r="AI14" s="61" t="n">
        <f aca="false">SUM(AI6:AI13)</f>
        <v>3144.61553375225</v>
      </c>
      <c r="AJ14" s="61" t="n">
        <f aca="false">SUM(AJ6:AJ13)</f>
        <v>3144.61553375225</v>
      </c>
      <c r="AK14" s="61" t="n">
        <f aca="false">SUM(AK6:AK13)</f>
        <v>3167.98014070952</v>
      </c>
      <c r="AL14" s="61" t="n">
        <f aca="false">SUM(AL6:AL13)</f>
        <v>3191.23157015824</v>
      </c>
      <c r="AM14" s="61" t="n">
        <f aca="false">SUM(AM6:AM13)</f>
        <v>3191.23157015824</v>
      </c>
      <c r="AN14" s="61" t="n">
        <f aca="false">SUM(AN6:AN13)</f>
        <v>3191.23157015824</v>
      </c>
      <c r="AO14" s="59" t="n">
        <f aca="false">SUM(AP14:BA14)</f>
        <v>32750.708054406</v>
      </c>
      <c r="AP14" s="61" t="n">
        <f aca="false">SUM(AP6:AP13)</f>
        <v>2632.09841042376</v>
      </c>
      <c r="AQ14" s="61" t="n">
        <f aca="false">SUM(AQ6:AQ13)</f>
        <v>2654.9025856336</v>
      </c>
      <c r="AR14" s="61" t="n">
        <f aca="false">SUM(AR6:AR13)</f>
        <v>2634.86337380061</v>
      </c>
      <c r="AS14" s="61" t="n">
        <f aca="false">SUM(AS6:AS13)</f>
        <v>2657.44715850375</v>
      </c>
      <c r="AT14" s="61" t="n">
        <f aca="false">SUM(AT6:AT13)</f>
        <v>2679.92154797969</v>
      </c>
      <c r="AU14" s="61" t="n">
        <f aca="false">SUM(AU6:AU13)</f>
        <v>2702.28707213588</v>
      </c>
      <c r="AV14" s="61" t="n">
        <f aca="false">SUM(AV6:AV13)</f>
        <v>2746.80144448994</v>
      </c>
      <c r="AW14" s="61" t="n">
        <f aca="false">SUM(AW6:AW13)</f>
        <v>2768.95081747398</v>
      </c>
      <c r="AX14" s="61" t="n">
        <f aca="false">SUM(AX6:AX13)</f>
        <v>2790.99289950914</v>
      </c>
      <c r="AY14" s="61" t="n">
        <f aca="false">SUM(AY6:AY13)</f>
        <v>2812.92821030982</v>
      </c>
      <c r="AZ14" s="61" t="n">
        <f aca="false">SUM(AZ6:AZ13)</f>
        <v>2834.75726707291</v>
      </c>
      <c r="BA14" s="61" t="n">
        <f aca="false">SUM(BA6:BA13)</f>
        <v>2834.75726707291</v>
      </c>
      <c r="BB14" s="59" t="n">
        <f aca="false">SUM(BC14:BN14)</f>
        <v>35226.7498718484</v>
      </c>
      <c r="BC14" s="61" t="n">
        <f aca="false">SUM(BC6:BC13)</f>
        <v>2795.08174681236</v>
      </c>
      <c r="BD14" s="61" t="n">
        <f aca="false">SUM(BD6:BD13)</f>
        <v>2838.10849249131</v>
      </c>
      <c r="BE14" s="61" t="n">
        <f aca="false">SUM(BE6:BE13)</f>
        <v>2880.92681780667</v>
      </c>
      <c r="BF14" s="61" t="n">
        <f aca="false">SUM(BF6:BF13)</f>
        <v>2880.92681780667</v>
      </c>
      <c r="BG14" s="61" t="n">
        <f aca="false">SUM(BG6:BG13)</f>
        <v>2898.07910223667</v>
      </c>
      <c r="BH14" s="61" t="n">
        <f aca="false">SUM(BH6:BH13)</f>
        <v>2940.27820441816</v>
      </c>
      <c r="BI14" s="61" t="n">
        <f aca="false">SUM(BI6:BI13)</f>
        <v>2953.25389199122</v>
      </c>
      <c r="BJ14" s="61" t="n">
        <f aca="false">SUM(BJ6:BJ13)</f>
        <v>2953.25389199122</v>
      </c>
      <c r="BK14" s="61" t="n">
        <f aca="false">SUM(BK6:BK13)</f>
        <v>2970.07624264513</v>
      </c>
      <c r="BL14" s="61" t="n">
        <f aca="false">SUM(BL6:BL13)</f>
        <v>3011.46362151433</v>
      </c>
      <c r="BM14" s="61" t="n">
        <f aca="false">SUM(BM6:BM13)</f>
        <v>3052.65052106734</v>
      </c>
      <c r="BN14" s="61" t="n">
        <f aca="false">SUM(BN6:BN13)</f>
        <v>3052.65052106734</v>
      </c>
    </row>
    <row r="15" customFormat="false" ht="15" hidden="false" customHeight="false" outlineLevel="0" collapsed="false">
      <c r="A15" s="4" t="s">
        <v>624</v>
      </c>
      <c r="B15" s="59" t="n">
        <f aca="false">SUM(C15:N15)</f>
        <v>13576.1965564172</v>
      </c>
      <c r="C15" s="60" t="n">
        <f aca="false">SUM(C6:C11)</f>
        <v>1095.73894282632</v>
      </c>
      <c r="D15" s="60" t="n">
        <f aca="false">SUM(D6:D11)</f>
        <v>1095.73894282632</v>
      </c>
      <c r="E15" s="60" t="n">
        <f aca="false">SUM(E6:E11)</f>
        <v>1138.47186707646</v>
      </c>
      <c r="F15" s="60" t="n">
        <f aca="false">SUM(F6:F11)</f>
        <v>1138.47186707646</v>
      </c>
      <c r="G15" s="60" t="n">
        <f aca="false">SUM(G6:G11)</f>
        <v>1138.47186707646</v>
      </c>
      <c r="H15" s="60" t="n">
        <f aca="false">SUM(H6:H11)</f>
        <v>1138.47186707646</v>
      </c>
      <c r="I15" s="60" t="n">
        <f aca="false">SUM(I6:I11)</f>
        <v>1138.47186707646</v>
      </c>
      <c r="J15" s="60" t="n">
        <f aca="false">SUM(J6:J11)</f>
        <v>1138.47186707646</v>
      </c>
      <c r="K15" s="60" t="n">
        <f aca="false">SUM(K6:K11)</f>
        <v>1138.47186707646</v>
      </c>
      <c r="L15" s="60" t="n">
        <f aca="false">SUM(L6:L11)</f>
        <v>1138.47186707646</v>
      </c>
      <c r="M15" s="60" t="n">
        <f aca="false">SUM(M6:M11)</f>
        <v>1138.47186707646</v>
      </c>
      <c r="N15" s="60" t="n">
        <f aca="false">SUM(N6:N11)</f>
        <v>1138.47186707646</v>
      </c>
      <c r="O15" s="59" t="n">
        <f aca="false">SUM(P15:AA15)</f>
        <v>18993.985894636</v>
      </c>
      <c r="P15" s="60" t="n">
        <f aca="false">SUM(P6:P11)</f>
        <v>1505.65348357113</v>
      </c>
      <c r="Q15" s="60" t="n">
        <f aca="false">SUM(Q6:Q11)</f>
        <v>1505.65348357113</v>
      </c>
      <c r="R15" s="60" t="n">
        <f aca="false">SUM(R6:R11)</f>
        <v>1505.65348357113</v>
      </c>
      <c r="S15" s="60" t="n">
        <f aca="false">SUM(S6:S11)</f>
        <v>1541.76040284892</v>
      </c>
      <c r="T15" s="60" t="n">
        <f aca="false">SUM(T6:T11)</f>
        <v>1567.01262686409</v>
      </c>
      <c r="U15" s="60" t="n">
        <f aca="false">SUM(U6:U11)</f>
        <v>1567.01262686409</v>
      </c>
      <c r="V15" s="60" t="n">
        <f aca="false">SUM(V6:V11)</f>
        <v>1617.02897564111</v>
      </c>
      <c r="W15" s="60" t="n">
        <f aca="false">SUM(W6:W11)</f>
        <v>1617.02897564111</v>
      </c>
      <c r="X15" s="60" t="n">
        <f aca="false">SUM(X6:X11)</f>
        <v>1641.79545901583</v>
      </c>
      <c r="Y15" s="60" t="n">
        <f aca="false">SUM(Y6:Y11)</f>
        <v>1641.79545901583</v>
      </c>
      <c r="Z15" s="60" t="n">
        <f aca="false">SUM(Z6:Z11)</f>
        <v>1641.79545901583</v>
      </c>
      <c r="AA15" s="60" t="n">
        <f aca="false">SUM(AA6:AA11)</f>
        <v>1641.79545901583</v>
      </c>
      <c r="AB15" s="59" t="n">
        <f aca="false">SUM(AC15:AN15)</f>
        <v>25623.1371478498</v>
      </c>
      <c r="AC15" s="60" t="n">
        <f aca="false">SUM(AC6:AC11)</f>
        <v>2064.23174122323</v>
      </c>
      <c r="AD15" s="60" t="n">
        <f aca="false">SUM(AD6:AD11)</f>
        <v>2064.23174122323</v>
      </c>
      <c r="AE15" s="60" t="n">
        <f aca="false">SUM(AE6:AE11)</f>
        <v>2064.23174122323</v>
      </c>
      <c r="AF15" s="60" t="n">
        <f aca="false">SUM(AF6:AF11)</f>
        <v>2088.17055300856</v>
      </c>
      <c r="AG15" s="60" t="n">
        <f aca="false">SUM(AG6:AG11)</f>
        <v>2111.99340585306</v>
      </c>
      <c r="AH15" s="60" t="n">
        <f aca="false">SUM(AH6:AH11)</f>
        <v>2111.99340585306</v>
      </c>
      <c r="AI15" s="60" t="n">
        <f aca="false">SUM(AI6:AI11)</f>
        <v>2159.17864054836</v>
      </c>
      <c r="AJ15" s="60" t="n">
        <f aca="false">SUM(AJ6:AJ11)</f>
        <v>2159.17864054836</v>
      </c>
      <c r="AK15" s="60" t="n">
        <f aca="false">SUM(AK6:AK11)</f>
        <v>2182.54324750564</v>
      </c>
      <c r="AL15" s="60" t="n">
        <f aca="false">SUM(AL6:AL11)</f>
        <v>2205.79467695436</v>
      </c>
      <c r="AM15" s="60" t="n">
        <f aca="false">SUM(AM6:AM11)</f>
        <v>2205.79467695436</v>
      </c>
      <c r="AN15" s="60" t="n">
        <f aca="false">SUM(AN6:AN11)</f>
        <v>2205.79467695436</v>
      </c>
      <c r="AO15" s="59" t="n">
        <f aca="false">SUM(AP15:BA15)</f>
        <v>20925.4653359594</v>
      </c>
      <c r="AP15" s="60" t="n">
        <f aca="false">SUM(AP6:AP11)</f>
        <v>1646.66151721988</v>
      </c>
      <c r="AQ15" s="60" t="n">
        <f aca="false">SUM(AQ6:AQ11)</f>
        <v>1669.46569242972</v>
      </c>
      <c r="AR15" s="60" t="n">
        <f aca="false">SUM(AR6:AR11)</f>
        <v>1649.42648059672</v>
      </c>
      <c r="AS15" s="60" t="n">
        <f aca="false">SUM(AS6:AS11)</f>
        <v>1672.01026529986</v>
      </c>
      <c r="AT15" s="60" t="n">
        <f aca="false">SUM(AT6:AT11)</f>
        <v>1694.4846547758</v>
      </c>
      <c r="AU15" s="60" t="n">
        <f aca="false">SUM(AU6:AU11)</f>
        <v>1716.85017893199</v>
      </c>
      <c r="AV15" s="60" t="n">
        <f aca="false">SUM(AV6:AV11)</f>
        <v>1761.36455128605</v>
      </c>
      <c r="AW15" s="60" t="n">
        <f aca="false">SUM(AW6:AW11)</f>
        <v>1783.51392427009</v>
      </c>
      <c r="AX15" s="60" t="n">
        <f aca="false">SUM(AX6:AX11)</f>
        <v>1805.55600630526</v>
      </c>
      <c r="AY15" s="60" t="n">
        <f aca="false">SUM(AY6:AY11)</f>
        <v>1827.49131710594</v>
      </c>
      <c r="AZ15" s="60" t="n">
        <f aca="false">SUM(AZ6:AZ11)</f>
        <v>1849.32037386903</v>
      </c>
      <c r="BA15" s="60" t="n">
        <f aca="false">SUM(BA6:BA11)</f>
        <v>1849.32037386903</v>
      </c>
      <c r="BB15" s="59" t="n">
        <f aca="false">SUM(BC15:BN15)</f>
        <v>23401.5071534018</v>
      </c>
      <c r="BC15" s="60" t="n">
        <f aca="false">SUM(BC6:BC11)</f>
        <v>1809.64485360848</v>
      </c>
      <c r="BD15" s="60" t="n">
        <f aca="false">SUM(BD6:BD11)</f>
        <v>1852.67159928743</v>
      </c>
      <c r="BE15" s="60" t="n">
        <f aca="false">SUM(BE6:BE11)</f>
        <v>1895.48992460278</v>
      </c>
      <c r="BF15" s="60" t="n">
        <f aca="false">SUM(BF6:BF11)</f>
        <v>1895.48992460278</v>
      </c>
      <c r="BG15" s="60" t="n">
        <f aca="false">SUM(BG6:BG11)</f>
        <v>1912.64220903279</v>
      </c>
      <c r="BH15" s="60" t="n">
        <f aca="false">SUM(BH6:BH11)</f>
        <v>1954.84131121428</v>
      </c>
      <c r="BI15" s="60" t="n">
        <f aca="false">SUM(BI6:BI11)</f>
        <v>1967.81699878734</v>
      </c>
      <c r="BJ15" s="60" t="n">
        <f aca="false">SUM(BJ6:BJ11)</f>
        <v>1967.81699878734</v>
      </c>
      <c r="BK15" s="60" t="n">
        <f aca="false">SUM(BK6:BK11)</f>
        <v>1984.63934944124</v>
      </c>
      <c r="BL15" s="60" t="n">
        <f aca="false">SUM(BL6:BL11)</f>
        <v>2026.02672831045</v>
      </c>
      <c r="BM15" s="60" t="n">
        <f aca="false">SUM(BM6:BM11)</f>
        <v>2067.21362786345</v>
      </c>
      <c r="BN15" s="60" t="n">
        <f aca="false">SUM(BN6:BN11)</f>
        <v>2067.21362786345</v>
      </c>
    </row>
    <row r="16" customFormat="false" ht="15" hidden="false" customHeight="false" outlineLevel="0" collapsed="false">
      <c r="A16" s="4" t="s">
        <v>625</v>
      </c>
      <c r="B16" s="59" t="n">
        <f aca="false">SUM(C16:N16)</f>
        <v>11825.2427184466</v>
      </c>
      <c r="C16" s="60" t="n">
        <f aca="false">C12+C13</f>
        <v>985.436893203883</v>
      </c>
      <c r="D16" s="60" t="n">
        <f aca="false">D12+D13</f>
        <v>985.436893203883</v>
      </c>
      <c r="E16" s="60" t="n">
        <f aca="false">E12+E13</f>
        <v>985.436893203883</v>
      </c>
      <c r="F16" s="60" t="n">
        <f aca="false">F12+F13</f>
        <v>985.436893203883</v>
      </c>
      <c r="G16" s="60" t="n">
        <f aca="false">G12+G13</f>
        <v>985.436893203883</v>
      </c>
      <c r="H16" s="60" t="n">
        <f aca="false">H12+H13</f>
        <v>985.436893203883</v>
      </c>
      <c r="I16" s="60" t="n">
        <f aca="false">I12+I13</f>
        <v>985.436893203883</v>
      </c>
      <c r="J16" s="60" t="n">
        <f aca="false">J12+J13</f>
        <v>985.436893203883</v>
      </c>
      <c r="K16" s="60" t="n">
        <f aca="false">K12+K13</f>
        <v>985.436893203883</v>
      </c>
      <c r="L16" s="60" t="n">
        <f aca="false">L12+L13</f>
        <v>985.436893203883</v>
      </c>
      <c r="M16" s="60" t="n">
        <f aca="false">M12+M13</f>
        <v>985.436893203883</v>
      </c>
      <c r="N16" s="60" t="n">
        <f aca="false">N12+N13</f>
        <v>985.436893203883</v>
      </c>
      <c r="O16" s="59" t="n">
        <f aca="false">SUM(P16:AA16)</f>
        <v>11825.2427184466</v>
      </c>
      <c r="P16" s="60" t="n">
        <f aca="false">P12+P13</f>
        <v>985.436893203883</v>
      </c>
      <c r="Q16" s="60" t="n">
        <f aca="false">Q12+Q13</f>
        <v>985.436893203883</v>
      </c>
      <c r="R16" s="60" t="n">
        <f aca="false">R12+R13</f>
        <v>985.436893203883</v>
      </c>
      <c r="S16" s="60" t="n">
        <f aca="false">S12+S13</f>
        <v>985.436893203883</v>
      </c>
      <c r="T16" s="60" t="n">
        <f aca="false">T12+T13</f>
        <v>985.436893203883</v>
      </c>
      <c r="U16" s="60" t="n">
        <f aca="false">U12+U13</f>
        <v>985.436893203883</v>
      </c>
      <c r="V16" s="60" t="n">
        <f aca="false">V12+V13</f>
        <v>985.436893203883</v>
      </c>
      <c r="W16" s="60" t="n">
        <f aca="false">W12+W13</f>
        <v>985.436893203883</v>
      </c>
      <c r="X16" s="60" t="n">
        <f aca="false">X12+X13</f>
        <v>985.436893203883</v>
      </c>
      <c r="Y16" s="60" t="n">
        <f aca="false">Y12+Y13</f>
        <v>985.436893203883</v>
      </c>
      <c r="Z16" s="60" t="n">
        <f aca="false">Z12+Z13</f>
        <v>985.436893203883</v>
      </c>
      <c r="AA16" s="60" t="n">
        <f aca="false">AA12+AA13</f>
        <v>985.436893203883</v>
      </c>
      <c r="AB16" s="59" t="n">
        <f aca="false">SUM(AC16:AN16)</f>
        <v>11825.2427184466</v>
      </c>
      <c r="AC16" s="60" t="n">
        <f aca="false">AC12+AC13</f>
        <v>985.436893203883</v>
      </c>
      <c r="AD16" s="60" t="n">
        <f aca="false">AD12+AD13</f>
        <v>985.436893203883</v>
      </c>
      <c r="AE16" s="60" t="n">
        <f aca="false">AE12+AE13</f>
        <v>985.436893203883</v>
      </c>
      <c r="AF16" s="60" t="n">
        <f aca="false">AF12+AF13</f>
        <v>985.436893203883</v>
      </c>
      <c r="AG16" s="60" t="n">
        <f aca="false">AG12+AG13</f>
        <v>985.436893203883</v>
      </c>
      <c r="AH16" s="60" t="n">
        <f aca="false">AH12+AH13</f>
        <v>985.436893203883</v>
      </c>
      <c r="AI16" s="60" t="n">
        <f aca="false">AI12+AI13</f>
        <v>985.436893203883</v>
      </c>
      <c r="AJ16" s="60" t="n">
        <f aca="false">AJ12+AJ13</f>
        <v>985.436893203883</v>
      </c>
      <c r="AK16" s="60" t="n">
        <f aca="false">AK12+AK13</f>
        <v>985.436893203883</v>
      </c>
      <c r="AL16" s="60" t="n">
        <f aca="false">AL12+AL13</f>
        <v>985.436893203883</v>
      </c>
      <c r="AM16" s="60" t="n">
        <f aca="false">AM12+AM13</f>
        <v>985.436893203883</v>
      </c>
      <c r="AN16" s="60" t="n">
        <f aca="false">AN12+AN13</f>
        <v>985.436893203883</v>
      </c>
      <c r="AO16" s="59" t="n">
        <f aca="false">SUM(AP16:BA16)</f>
        <v>11825.2427184466</v>
      </c>
      <c r="AP16" s="60" t="n">
        <f aca="false">AP12+AP13</f>
        <v>985.436893203883</v>
      </c>
      <c r="AQ16" s="60" t="n">
        <f aca="false">AQ12+AQ13</f>
        <v>985.436893203883</v>
      </c>
      <c r="AR16" s="60" t="n">
        <f aca="false">AR12+AR13</f>
        <v>985.436893203883</v>
      </c>
      <c r="AS16" s="60" t="n">
        <f aca="false">AS12+AS13</f>
        <v>985.436893203883</v>
      </c>
      <c r="AT16" s="60" t="n">
        <f aca="false">AT12+AT13</f>
        <v>985.436893203883</v>
      </c>
      <c r="AU16" s="60" t="n">
        <f aca="false">AU12+AU13</f>
        <v>985.436893203883</v>
      </c>
      <c r="AV16" s="60" t="n">
        <f aca="false">AV12+AV13</f>
        <v>985.436893203883</v>
      </c>
      <c r="AW16" s="60" t="n">
        <f aca="false">AW12+AW13</f>
        <v>985.436893203883</v>
      </c>
      <c r="AX16" s="60" t="n">
        <f aca="false">AX12+AX13</f>
        <v>985.436893203883</v>
      </c>
      <c r="AY16" s="60" t="n">
        <f aca="false">AY12+AY13</f>
        <v>985.436893203883</v>
      </c>
      <c r="AZ16" s="60" t="n">
        <f aca="false">AZ12+AZ13</f>
        <v>985.436893203883</v>
      </c>
      <c r="BA16" s="60" t="n">
        <f aca="false">BA12+BA13</f>
        <v>985.436893203883</v>
      </c>
      <c r="BB16" s="59" t="n">
        <f aca="false">SUM(BC16:BN16)</f>
        <v>11825.2427184466</v>
      </c>
      <c r="BC16" s="60" t="n">
        <f aca="false">BC12+BC13</f>
        <v>985.436893203883</v>
      </c>
      <c r="BD16" s="60" t="n">
        <f aca="false">BD12+BD13</f>
        <v>985.436893203883</v>
      </c>
      <c r="BE16" s="60" t="n">
        <f aca="false">BE12+BE13</f>
        <v>985.436893203883</v>
      </c>
      <c r="BF16" s="60" t="n">
        <f aca="false">BF12+BF13</f>
        <v>985.436893203883</v>
      </c>
      <c r="BG16" s="60" t="n">
        <f aca="false">BG12+BG13</f>
        <v>985.436893203883</v>
      </c>
      <c r="BH16" s="60" t="n">
        <f aca="false">BH12+BH13</f>
        <v>985.436893203883</v>
      </c>
      <c r="BI16" s="60" t="n">
        <f aca="false">BI12+BI13</f>
        <v>985.436893203883</v>
      </c>
      <c r="BJ16" s="60" t="n">
        <f aca="false">BJ12+BJ13</f>
        <v>985.436893203883</v>
      </c>
      <c r="BK16" s="60" t="n">
        <f aca="false">BK12+BK13</f>
        <v>985.436893203883</v>
      </c>
      <c r="BL16" s="60" t="n">
        <f aca="false">BL12+BL13</f>
        <v>985.436893203883</v>
      </c>
      <c r="BM16" s="60" t="n">
        <f aca="false">BM12+BM13</f>
        <v>985.436893203883</v>
      </c>
      <c r="BN16" s="60" t="n">
        <f aca="false">BN12+BN13</f>
        <v>985.436893203883</v>
      </c>
    </row>
    <row r="18" customFormat="false" ht="15" hidden="false" customHeight="false" outlineLevel="0" collapsed="false">
      <c r="A18" s="9" t="s">
        <v>906</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row>
    <row r="19" customFormat="false" ht="15" hidden="false" customHeight="false" outlineLevel="0" collapsed="false">
      <c r="A19" s="56" t="s">
        <v>632</v>
      </c>
      <c r="B19" s="57" t="s">
        <v>87</v>
      </c>
      <c r="C19" s="58" t="s">
        <v>562</v>
      </c>
      <c r="D19" s="58" t="s">
        <v>563</v>
      </c>
      <c r="E19" s="58" t="s">
        <v>564</v>
      </c>
      <c r="F19" s="58" t="s">
        <v>565</v>
      </c>
      <c r="G19" s="58" t="s">
        <v>566</v>
      </c>
      <c r="H19" s="58" t="s">
        <v>567</v>
      </c>
      <c r="I19" s="58" t="s">
        <v>568</v>
      </c>
      <c r="J19" s="58" t="s">
        <v>569</v>
      </c>
      <c r="K19" s="58" t="s">
        <v>570</v>
      </c>
      <c r="L19" s="58" t="s">
        <v>571</v>
      </c>
      <c r="M19" s="58" t="s">
        <v>572</v>
      </c>
      <c r="N19" s="58" t="s">
        <v>573</v>
      </c>
      <c r="O19" s="57" t="s">
        <v>88</v>
      </c>
      <c r="P19" s="58" t="s">
        <v>574</v>
      </c>
      <c r="Q19" s="58" t="s">
        <v>575</v>
      </c>
      <c r="R19" s="58" t="s">
        <v>576</v>
      </c>
      <c r="S19" s="58" t="s">
        <v>577</v>
      </c>
      <c r="T19" s="58" t="s">
        <v>578</v>
      </c>
      <c r="U19" s="58" t="s">
        <v>579</v>
      </c>
      <c r="V19" s="58" t="s">
        <v>580</v>
      </c>
      <c r="W19" s="58" t="s">
        <v>581</v>
      </c>
      <c r="X19" s="58" t="s">
        <v>582</v>
      </c>
      <c r="Y19" s="58" t="s">
        <v>583</v>
      </c>
      <c r="Z19" s="58" t="s">
        <v>584</v>
      </c>
      <c r="AA19" s="58" t="s">
        <v>585</v>
      </c>
      <c r="AB19" s="57" t="s">
        <v>89</v>
      </c>
      <c r="AC19" s="58" t="s">
        <v>586</v>
      </c>
      <c r="AD19" s="58" t="s">
        <v>587</v>
      </c>
      <c r="AE19" s="58" t="s">
        <v>588</v>
      </c>
      <c r="AF19" s="58" t="s">
        <v>589</v>
      </c>
      <c r="AG19" s="58" t="s">
        <v>590</v>
      </c>
      <c r="AH19" s="58" t="s">
        <v>591</v>
      </c>
      <c r="AI19" s="58" t="s">
        <v>592</v>
      </c>
      <c r="AJ19" s="58" t="s">
        <v>593</v>
      </c>
      <c r="AK19" s="58" t="s">
        <v>594</v>
      </c>
      <c r="AL19" s="58" t="s">
        <v>595</v>
      </c>
      <c r="AM19" s="58" t="s">
        <v>596</v>
      </c>
      <c r="AN19" s="58" t="s">
        <v>597</v>
      </c>
      <c r="AO19" s="57" t="s">
        <v>90</v>
      </c>
      <c r="AP19" s="58" t="s">
        <v>598</v>
      </c>
      <c r="AQ19" s="58" t="s">
        <v>599</v>
      </c>
      <c r="AR19" s="58" t="s">
        <v>600</v>
      </c>
      <c r="AS19" s="58" t="s">
        <v>601</v>
      </c>
      <c r="AT19" s="58" t="s">
        <v>602</v>
      </c>
      <c r="AU19" s="58" t="s">
        <v>603</v>
      </c>
      <c r="AV19" s="58" t="s">
        <v>604</v>
      </c>
      <c r="AW19" s="58" t="s">
        <v>605</v>
      </c>
      <c r="AX19" s="58" t="s">
        <v>606</v>
      </c>
      <c r="AY19" s="58" t="s">
        <v>607</v>
      </c>
      <c r="AZ19" s="58" t="s">
        <v>608</v>
      </c>
      <c r="BA19" s="58" t="s">
        <v>609</v>
      </c>
      <c r="BB19" s="57" t="s">
        <v>91</v>
      </c>
      <c r="BC19" s="58" t="s">
        <v>610</v>
      </c>
      <c r="BD19" s="58" t="s">
        <v>611</v>
      </c>
      <c r="BE19" s="58" t="s">
        <v>612</v>
      </c>
      <c r="BF19" s="58" t="s">
        <v>613</v>
      </c>
      <c r="BG19" s="58" t="s">
        <v>614</v>
      </c>
      <c r="BH19" s="58" t="s">
        <v>615</v>
      </c>
      <c r="BI19" s="58" t="s">
        <v>616</v>
      </c>
      <c r="BJ19" s="58" t="s">
        <v>617</v>
      </c>
      <c r="BK19" s="58" t="s">
        <v>618</v>
      </c>
      <c r="BL19" s="58" t="s">
        <v>619</v>
      </c>
      <c r="BM19" s="58" t="s">
        <v>620</v>
      </c>
      <c r="BN19" s="58" t="s">
        <v>621</v>
      </c>
    </row>
    <row r="20" customFormat="false" ht="15" hidden="false" customHeight="false" outlineLevel="0" collapsed="false">
      <c r="A20" s="13" t="s">
        <v>907</v>
      </c>
      <c r="B20" s="59" t="n">
        <f aca="false">N20</f>
        <v>30855.3926000828</v>
      </c>
      <c r="C20" s="61" t="n">
        <f aca="false">'Capital Expenditure'!C14-C15</f>
        <v>41797.4649406688</v>
      </c>
      <c r="D20" s="61" t="n">
        <f aca="false">C20+'Capital Expenditure'!D14-D15</f>
        <v>40701.7259978425</v>
      </c>
      <c r="E20" s="61" t="n">
        <f aca="false">D20+'Capital Expenditure'!E14-E15</f>
        <v>41101.6394037709</v>
      </c>
      <c r="F20" s="61" t="n">
        <f aca="false">E20+'Capital Expenditure'!F14-F15</f>
        <v>39963.1675366945</v>
      </c>
      <c r="G20" s="61" t="n">
        <f aca="false">F20+'Capital Expenditure'!G14-G15</f>
        <v>38824.695669618</v>
      </c>
      <c r="H20" s="61" t="n">
        <f aca="false">G20+'Capital Expenditure'!H14-H15</f>
        <v>37686.2238025416</v>
      </c>
      <c r="I20" s="61" t="n">
        <f aca="false">H20+'Capital Expenditure'!I14-I15</f>
        <v>36547.7519354651</v>
      </c>
      <c r="J20" s="61" t="n">
        <f aca="false">I20+'Capital Expenditure'!J14-J15</f>
        <v>35409.2800683887</v>
      </c>
      <c r="K20" s="61" t="n">
        <f aca="false">J20+'Capital Expenditure'!K14-K15</f>
        <v>34270.8082013122</v>
      </c>
      <c r="L20" s="61" t="n">
        <f aca="false">K20+'Capital Expenditure'!L14-L15</f>
        <v>33132.3363342357</v>
      </c>
      <c r="M20" s="61" t="n">
        <f aca="false">L20+'Capital Expenditure'!M14-M15</f>
        <v>31993.8644671593</v>
      </c>
      <c r="N20" s="61" t="n">
        <f aca="false">M20+'Capital Expenditure'!N14-N15</f>
        <v>30855.3926000828</v>
      </c>
      <c r="O20" s="59" t="n">
        <f aca="false">AA20</f>
        <v>30847.6220779311</v>
      </c>
      <c r="P20" s="61" t="n">
        <f aca="false">N20+'Capital Expenditure'!P14-P15</f>
        <v>42568.2773103201</v>
      </c>
      <c r="Q20" s="61" t="n">
        <f aca="false">P20+'Capital Expenditure'!Q14-Q15</f>
        <v>41062.623826749</v>
      </c>
      <c r="R20" s="61" t="n">
        <f aca="false">Q20+'Capital Expenditure'!R14-R15</f>
        <v>39556.9703431778</v>
      </c>
      <c r="S20" s="61" t="n">
        <f aca="false">R20+'Capital Expenditure'!S14-S15</f>
        <v>40181.6250969963</v>
      </c>
      <c r="T20" s="61" t="n">
        <f aca="false">S20+'Capital Expenditure'!T14-T15</f>
        <v>39523.6925346782</v>
      </c>
      <c r="U20" s="61" t="n">
        <f aca="false">T20+'Capital Expenditure'!U14-U15</f>
        <v>37956.6799078141</v>
      </c>
      <c r="V20" s="61" t="n">
        <f aca="false">U20+'Capital Expenditure'!V14-V15</f>
        <v>38140.2394881458</v>
      </c>
      <c r="W20" s="61" t="n">
        <f aca="false">V20+'Capital Expenditure'!W14-W15</f>
        <v>36523.2105125047</v>
      </c>
      <c r="X20" s="61" t="n">
        <f aca="false">W20+'Capital Expenditure'!X14-X15</f>
        <v>35773.0084549786</v>
      </c>
      <c r="Y20" s="61" t="n">
        <f aca="false">X20+'Capital Expenditure'!Y14-Y15</f>
        <v>34131.2129959628</v>
      </c>
      <c r="Z20" s="61" t="n">
        <f aca="false">Y20+'Capital Expenditure'!Z14-Z15</f>
        <v>32489.4175369469</v>
      </c>
      <c r="AA20" s="61" t="n">
        <f aca="false">Z20+'Capital Expenditure'!AA14-AA15</f>
        <v>30847.6220779311</v>
      </c>
      <c r="AB20" s="59" t="n">
        <f aca="false">AN20</f>
        <v>25528.4567758684</v>
      </c>
      <c r="AC20" s="61" t="n">
        <f aca="false">AA20+'Capital Expenditure'!AC14-AC15</f>
        <v>43991.0964961745</v>
      </c>
      <c r="AD20" s="61" t="n">
        <f aca="false">AC20+'Capital Expenditure'!AD14-AD15</f>
        <v>41926.8647549513</v>
      </c>
      <c r="AE20" s="61" t="n">
        <f aca="false">AD20+'Capital Expenditure'!AE14-AE15</f>
        <v>39862.633013728</v>
      </c>
      <c r="AF20" s="61" t="n">
        <f aca="false">AE20+'Capital Expenditure'!AF14-AF15</f>
        <v>38636.2596849913</v>
      </c>
      <c r="AG20" s="61" t="n">
        <f aca="false">AF20+'Capital Expenditure'!AG14-AG15</f>
        <v>37381.8889815401</v>
      </c>
      <c r="AH20" s="61" t="n">
        <f aca="false">AG20+'Capital Expenditure'!AH14-AH15</f>
        <v>35269.895575687</v>
      </c>
      <c r="AI20" s="61" t="n">
        <f aca="false">AH20+'Capital Expenditure'!AI14-AI15</f>
        <v>34809.3853841696</v>
      </c>
      <c r="AJ20" s="61" t="n">
        <f aca="false">AI20+'Capital Expenditure'!AJ14-AJ15</f>
        <v>32650.2067436212</v>
      </c>
      <c r="AK20" s="61" t="n">
        <f aca="false">AJ20+'Capital Expenditure'!AK14-AK15</f>
        <v>31308.7893465776</v>
      </c>
      <c r="AL20" s="61" t="n">
        <f aca="false">AK20+'Capital Expenditure'!AL14-AL15</f>
        <v>29940.0461297772</v>
      </c>
      <c r="AM20" s="61" t="n">
        <f aca="false">AL20+'Capital Expenditure'!AM14-AM15</f>
        <v>27734.2514528228</v>
      </c>
      <c r="AN20" s="61" t="n">
        <f aca="false">AM20+'Capital Expenditure'!AN14-AN15</f>
        <v>25528.4567758684</v>
      </c>
      <c r="AO20" s="59" t="n">
        <f aca="false">BA20</f>
        <v>26492.7678212595</v>
      </c>
      <c r="AP20" s="61" t="n">
        <f aca="false">AN20+'Capital Expenditure'!AP14-AP15</f>
        <v>36937.4675276246</v>
      </c>
      <c r="AQ20" s="61" t="n">
        <f aca="false">AP20+'Capital Expenditure'!AQ14-AQ15</f>
        <v>36088.9521427493</v>
      </c>
      <c r="AR20" s="61" t="n">
        <f aca="false">AQ20+'Capital Expenditure'!AR14-AR15</f>
        <v>35256.4993091696</v>
      </c>
      <c r="AS20" s="61" t="n">
        <f aca="false">AR20+'Capital Expenditure'!AS14-AS15</f>
        <v>34397.5052931827</v>
      </c>
      <c r="AT20" s="61" t="n">
        <f aca="false">AS20+'Capital Expenditure'!AT14-AT15</f>
        <v>33512.0986595407</v>
      </c>
      <c r="AU20" s="61" t="n">
        <f aca="false">AT20+'Capital Expenditure'!AU14-AU15</f>
        <v>32600.4073502316</v>
      </c>
      <c r="AV20" s="61" t="n">
        <f aca="false">AU20+'Capital Expenditure'!AV14-AV15</f>
        <v>32441.5602036917</v>
      </c>
      <c r="AW20" s="61" t="n">
        <f aca="false">AV20+'Capital Expenditure'!AW14-AW15</f>
        <v>31455.423706847</v>
      </c>
      <c r="AX20" s="61" t="n">
        <f aca="false">AW20+'Capital Expenditure'!AX14-AX15</f>
        <v>30443.3826538078</v>
      </c>
      <c r="AY20" s="61" t="n">
        <f aca="false">AX20+'Capital Expenditure'!AY14-AY15</f>
        <v>29405.5625255263</v>
      </c>
      <c r="AZ20" s="61" t="n">
        <f aca="false">AY20+'Capital Expenditure'!AZ14-AZ15</f>
        <v>28342.0881951286</v>
      </c>
      <c r="BA20" s="61" t="n">
        <f aca="false">AZ20+'Capital Expenditure'!BA14-BA15</f>
        <v>26492.7678212595</v>
      </c>
      <c r="BB20" s="59" t="n">
        <f aca="false">BN20</f>
        <v>29939.6840468913</v>
      </c>
      <c r="BC20" s="61" t="n">
        <f aca="false">BA20+'Capital Expenditure'!BC14-BC15</f>
        <v>38657.808451497</v>
      </c>
      <c r="BD20" s="61" t="n">
        <f aca="false">BC20+'Capital Expenditure'!BD14-BD15</f>
        <v>38354.0996966518</v>
      </c>
      <c r="BE20" s="61" t="n">
        <f aca="false">BD20+'Capital Expenditure'!BE14-BE15</f>
        <v>38000.0694834018</v>
      </c>
      <c r="BF20" s="61" t="n">
        <f aca="false">BE20+'Capital Expenditure'!BF14-BF15</f>
        <v>36104.579558799</v>
      </c>
      <c r="BG20" s="61" t="n">
        <f aca="false">BF20+'Capital Expenditure'!BG14-BG15</f>
        <v>35718.4996537923</v>
      </c>
      <c r="BH20" s="61" t="n">
        <f aca="false">BG20+'Capital Expenditure'!BH14-BH15</f>
        <v>35282.8260211117</v>
      </c>
      <c r="BI20" s="61" t="n">
        <f aca="false">BH20+'Capital Expenditure'!BI14-BI15</f>
        <v>35582.7223309274</v>
      </c>
      <c r="BJ20" s="61" t="n">
        <f aca="false">BI20+'Capital Expenditure'!BJ14-BJ15</f>
        <v>33614.9053321401</v>
      </c>
      <c r="BK20" s="61" t="n">
        <f aca="false">BJ20+'Capital Expenditure'!BK14-BK15</f>
        <v>33127.4640077291</v>
      </c>
      <c r="BL20" s="61" t="n">
        <f aca="false">BK20+'Capital Expenditure'!BL14-BL15</f>
        <v>32591.3829187101</v>
      </c>
      <c r="BM20" s="61" t="n">
        <f aca="false">BL20+'Capital Expenditure'!BM14-BM15</f>
        <v>32006.8976747547</v>
      </c>
      <c r="BN20" s="61" t="n">
        <f aca="false">BM20+'Capital Expenditure'!BN14-BN15</f>
        <v>29939.6840468913</v>
      </c>
    </row>
    <row r="21" customFormat="false" ht="15" hidden="false" customHeight="false" outlineLevel="0" collapsed="false">
      <c r="A21" s="13" t="s">
        <v>908</v>
      </c>
      <c r="B21" s="59" t="n">
        <f aca="false">N21</f>
        <v>48174.7572815534</v>
      </c>
      <c r="C21" s="61" t="n">
        <f aca="false">'Assumption Setting'!$C$20+'Capital Expenditure'!C15-C16</f>
        <v>59014.5631067961</v>
      </c>
      <c r="D21" s="61" t="n">
        <f aca="false">C21+'Capital Expenditure'!D15-D16</f>
        <v>58029.1262135922</v>
      </c>
      <c r="E21" s="61" t="n">
        <f aca="false">D21+'Capital Expenditure'!E15-E16</f>
        <v>57043.6893203883</v>
      </c>
      <c r="F21" s="61" t="n">
        <f aca="false">E21+'Capital Expenditure'!F15-F16</f>
        <v>56058.2524271845</v>
      </c>
      <c r="G21" s="61" t="n">
        <f aca="false">F21+'Capital Expenditure'!G15-G16</f>
        <v>55072.8155339806</v>
      </c>
      <c r="H21" s="61" t="n">
        <f aca="false">G21+'Capital Expenditure'!H15-H16</f>
        <v>54087.3786407767</v>
      </c>
      <c r="I21" s="61" t="n">
        <f aca="false">H21+'Capital Expenditure'!I15-I16</f>
        <v>53101.9417475728</v>
      </c>
      <c r="J21" s="61" t="n">
        <f aca="false">I21+'Capital Expenditure'!J15-J16</f>
        <v>52116.5048543689</v>
      </c>
      <c r="K21" s="61" t="n">
        <f aca="false">J21+'Capital Expenditure'!K15-K16</f>
        <v>51131.067961165</v>
      </c>
      <c r="L21" s="61" t="n">
        <f aca="false">K21+'Capital Expenditure'!L15-L16</f>
        <v>50145.6310679612</v>
      </c>
      <c r="M21" s="61" t="n">
        <f aca="false">L21+'Capital Expenditure'!M15-M16</f>
        <v>49160.1941747573</v>
      </c>
      <c r="N21" s="61" t="n">
        <f aca="false">M21+'Capital Expenditure'!N15-N16</f>
        <v>48174.7572815534</v>
      </c>
      <c r="O21" s="59" t="n">
        <f aca="false">AA21</f>
        <v>36349.5145631068</v>
      </c>
      <c r="P21" s="61" t="n">
        <f aca="false">N21+'Capital Expenditure'!P15-P16</f>
        <v>47189.3203883495</v>
      </c>
      <c r="Q21" s="61" t="n">
        <f aca="false">P21+'Capital Expenditure'!Q15-Q16</f>
        <v>46203.8834951456</v>
      </c>
      <c r="R21" s="61" t="n">
        <f aca="false">Q21+'Capital Expenditure'!R15-R16</f>
        <v>45218.4466019417</v>
      </c>
      <c r="S21" s="61" t="n">
        <f aca="false">R21+'Capital Expenditure'!S15-S16</f>
        <v>44233.0097087378</v>
      </c>
      <c r="T21" s="61" t="n">
        <f aca="false">S21+'Capital Expenditure'!T15-T16</f>
        <v>43247.572815534</v>
      </c>
      <c r="U21" s="61" t="n">
        <f aca="false">T21+'Capital Expenditure'!U15-U16</f>
        <v>42262.1359223301</v>
      </c>
      <c r="V21" s="61" t="n">
        <f aca="false">U21+'Capital Expenditure'!V15-V16</f>
        <v>41276.6990291262</v>
      </c>
      <c r="W21" s="61" t="n">
        <f aca="false">V21+'Capital Expenditure'!W15-W16</f>
        <v>40291.2621359223</v>
      </c>
      <c r="X21" s="61" t="n">
        <f aca="false">W21+'Capital Expenditure'!X15-X16</f>
        <v>39305.8252427184</v>
      </c>
      <c r="Y21" s="61" t="n">
        <f aca="false">X21+'Capital Expenditure'!Y15-Y16</f>
        <v>38320.3883495145</v>
      </c>
      <c r="Z21" s="61" t="n">
        <f aca="false">Y21+'Capital Expenditure'!Z15-Z16</f>
        <v>37334.9514563106</v>
      </c>
      <c r="AA21" s="61" t="n">
        <f aca="false">Z21+'Capital Expenditure'!AA15-AA16</f>
        <v>36349.5145631068</v>
      </c>
      <c r="AB21" s="59" t="n">
        <f aca="false">AN21</f>
        <v>24524.2718446601</v>
      </c>
      <c r="AC21" s="61" t="n">
        <f aca="false">AA21+'Capital Expenditure'!AC15-AC16</f>
        <v>35364.0776699029</v>
      </c>
      <c r="AD21" s="61" t="n">
        <f aca="false">AC21+'Capital Expenditure'!AD15-AD16</f>
        <v>34378.640776699</v>
      </c>
      <c r="AE21" s="61" t="n">
        <f aca="false">AD21+'Capital Expenditure'!AE15-AE16</f>
        <v>33393.2038834951</v>
      </c>
      <c r="AF21" s="61" t="n">
        <f aca="false">AE21+'Capital Expenditure'!AF15-AF16</f>
        <v>32407.7669902912</v>
      </c>
      <c r="AG21" s="61" t="n">
        <f aca="false">AF21+'Capital Expenditure'!AG15-AG16</f>
        <v>31422.3300970873</v>
      </c>
      <c r="AH21" s="61" t="n">
        <f aca="false">AG21+'Capital Expenditure'!AH15-AH16</f>
        <v>30436.8932038834</v>
      </c>
      <c r="AI21" s="61" t="n">
        <f aca="false">AH21+'Capital Expenditure'!AI15-AI16</f>
        <v>29451.4563106796</v>
      </c>
      <c r="AJ21" s="61" t="n">
        <f aca="false">AI21+'Capital Expenditure'!AJ15-AJ16</f>
        <v>28466.0194174757</v>
      </c>
      <c r="AK21" s="61" t="n">
        <f aca="false">AJ21+'Capital Expenditure'!AK15-AK16</f>
        <v>27480.5825242718</v>
      </c>
      <c r="AL21" s="61" t="n">
        <f aca="false">AK21+'Capital Expenditure'!AL15-AL16</f>
        <v>26495.1456310679</v>
      </c>
      <c r="AM21" s="61" t="n">
        <f aca="false">AL21+'Capital Expenditure'!AM15-AM16</f>
        <v>25509.708737864</v>
      </c>
      <c r="AN21" s="61" t="n">
        <f aca="false">AM21+'Capital Expenditure'!AN15-AN16</f>
        <v>24524.2718446601</v>
      </c>
      <c r="AO21" s="59" t="n">
        <f aca="false">BA21</f>
        <v>12699.0291262135</v>
      </c>
      <c r="AP21" s="61" t="n">
        <f aca="false">AN21+'Capital Expenditure'!AP15-AP16</f>
        <v>23538.8349514563</v>
      </c>
      <c r="AQ21" s="61" t="n">
        <f aca="false">AP21+'Capital Expenditure'!AQ15-AQ16</f>
        <v>22553.3980582524</v>
      </c>
      <c r="AR21" s="61" t="n">
        <f aca="false">AQ21+'Capital Expenditure'!AR15-AR16</f>
        <v>21567.9611650485</v>
      </c>
      <c r="AS21" s="61" t="n">
        <f aca="false">AR21+'Capital Expenditure'!AS15-AS16</f>
        <v>20582.5242718446</v>
      </c>
      <c r="AT21" s="61" t="n">
        <f aca="false">AS21+'Capital Expenditure'!AT15-AT16</f>
        <v>19597.0873786407</v>
      </c>
      <c r="AU21" s="61" t="n">
        <f aca="false">AT21+'Capital Expenditure'!AU15-AU16</f>
        <v>18611.6504854368</v>
      </c>
      <c r="AV21" s="61" t="n">
        <f aca="false">AU21+'Capital Expenditure'!AV15-AV16</f>
        <v>17626.2135922329</v>
      </c>
      <c r="AW21" s="61" t="n">
        <f aca="false">AV21+'Capital Expenditure'!AW15-AW16</f>
        <v>16640.7766990291</v>
      </c>
      <c r="AX21" s="61" t="n">
        <f aca="false">AW21+'Capital Expenditure'!AX15-AX16</f>
        <v>15655.3398058252</v>
      </c>
      <c r="AY21" s="61" t="n">
        <f aca="false">AX21+'Capital Expenditure'!AY15-AY16</f>
        <v>14669.9029126213</v>
      </c>
      <c r="AZ21" s="61" t="n">
        <f aca="false">AY21+'Capital Expenditure'!AZ15-AZ16</f>
        <v>13684.4660194174</v>
      </c>
      <c r="BA21" s="61" t="n">
        <f aca="false">AZ21+'Capital Expenditure'!BA15-BA16</f>
        <v>12699.0291262135</v>
      </c>
      <c r="BB21" s="59" t="n">
        <f aca="false">BN21</f>
        <v>873.786407766922</v>
      </c>
      <c r="BC21" s="61" t="n">
        <f aca="false">BA21+'Capital Expenditure'!BC15-BC16</f>
        <v>11713.5922330096</v>
      </c>
      <c r="BD21" s="61" t="n">
        <f aca="false">BC21+'Capital Expenditure'!BD15-BD16</f>
        <v>10728.1553398058</v>
      </c>
      <c r="BE21" s="61" t="n">
        <f aca="false">BD21+'Capital Expenditure'!BE15-BE16</f>
        <v>9742.71844660187</v>
      </c>
      <c r="BF21" s="61" t="n">
        <f aca="false">BE21+'Capital Expenditure'!BF15-BF16</f>
        <v>8757.28155339799</v>
      </c>
      <c r="BG21" s="61" t="n">
        <f aca="false">BF21+'Capital Expenditure'!BG15-BG16</f>
        <v>7771.84466019411</v>
      </c>
      <c r="BH21" s="61" t="n">
        <f aca="false">BG21+'Capital Expenditure'!BH15-BH16</f>
        <v>6786.40776699022</v>
      </c>
      <c r="BI21" s="61" t="n">
        <f aca="false">BH21+'Capital Expenditure'!BI15-BI16</f>
        <v>5800.97087378634</v>
      </c>
      <c r="BJ21" s="61" t="n">
        <f aca="false">BI21+'Capital Expenditure'!BJ15-BJ16</f>
        <v>4815.53398058246</v>
      </c>
      <c r="BK21" s="61" t="n">
        <f aca="false">BJ21+'Capital Expenditure'!BK15-BK16</f>
        <v>3830.09708737857</v>
      </c>
      <c r="BL21" s="61" t="n">
        <f aca="false">BK21+'Capital Expenditure'!BL15-BL16</f>
        <v>2844.66019417469</v>
      </c>
      <c r="BM21" s="61" t="n">
        <f aca="false">BL21+'Capital Expenditure'!BM15-BM16</f>
        <v>1859.22330097081</v>
      </c>
      <c r="BN21" s="61" t="n">
        <f aca="false">BM21+'Capital Expenditure'!BN15-BN16</f>
        <v>873.786407766922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9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651</v>
      </c>
    </row>
    <row r="2" customFormat="false" ht="15" hidden="false" customHeight="false" outlineLevel="0" collapsed="false">
      <c r="A2" s="8" t="s">
        <v>909</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910</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911</v>
      </c>
      <c r="B6" s="59" t="n">
        <f aca="false">SUM(C6:N6)</f>
        <v>1239.82195571909</v>
      </c>
      <c r="C6" s="60" t="n">
        <f aca="false">'Revenue Streams'!C68*'Assumption Setting'!$C$136</f>
        <v>0</v>
      </c>
      <c r="D6" s="60" t="n">
        <f aca="false">'Revenue Streams'!D68*'Assumption Setting'!$C$136</f>
        <v>9.89583448833429</v>
      </c>
      <c r="E6" s="60" t="n">
        <f aca="false">'Revenue Streams'!E68*'Assumption Setting'!$C$136</f>
        <v>29.6389352805123</v>
      </c>
      <c r="F6" s="60" t="n">
        <f aca="false">'Revenue Streams'!F68*'Assumption Setting'!$C$136</f>
        <v>50.1173957801128</v>
      </c>
      <c r="G6" s="60" t="n">
        <f aca="false">'Revenue Streams'!G68*'Assumption Setting'!$C$136</f>
        <v>71.2790092446013</v>
      </c>
      <c r="H6" s="60" t="n">
        <f aca="false">'Revenue Streams'!H68*'Assumption Setting'!$C$136</f>
        <v>92.3281048268</v>
      </c>
      <c r="I6" s="60" t="n">
        <f aca="false">'Revenue Streams'!I68*'Assumption Setting'!$C$136</f>
        <v>113.237541405663</v>
      </c>
      <c r="J6" s="60" t="n">
        <f aca="false">'Revenue Streams'!J68*'Assumption Setting'!$C$136</f>
        <v>133.982527978055</v>
      </c>
      <c r="K6" s="60" t="n">
        <f aca="false">'Revenue Streams'!K68*'Assumption Setting'!$C$136</f>
        <v>154.540473621254</v>
      </c>
      <c r="L6" s="60" t="n">
        <f aca="false">'Revenue Streams'!L68*'Assumption Setting'!$C$136</f>
        <v>174.890846214626</v>
      </c>
      <c r="M6" s="60" t="n">
        <f aca="false">'Revenue Streams'!M68*'Assumption Setting'!$C$136</f>
        <v>195.01503942113</v>
      </c>
      <c r="N6" s="60" t="n">
        <f aca="false">'Revenue Streams'!N68*'Assumption Setting'!$C$136</f>
        <v>214.896247457998</v>
      </c>
      <c r="O6" s="59" t="n">
        <f aca="false">SUM(P6:AA6)</f>
        <v>6761.33369699855</v>
      </c>
      <c r="P6" s="60" t="n">
        <f aca="false">'Revenue Streams'!P68*'Assumption Setting'!$C$136</f>
        <v>253.165711144339</v>
      </c>
      <c r="Q6" s="60" t="n">
        <f aca="false">'Revenue Streams'!Q68*'Assumption Setting'!$C$136</f>
        <v>295.473987572884</v>
      </c>
      <c r="R6" s="60" t="n">
        <f aca="false">'Revenue Streams'!R68*'Assumption Setting'!$C$136</f>
        <v>353.640865818544</v>
      </c>
      <c r="S6" s="60" t="n">
        <f aca="false">'Revenue Streams'!S68*'Assumption Setting'!$C$136</f>
        <v>412.819680580008</v>
      </c>
      <c r="T6" s="60" t="n">
        <f aca="false">'Revenue Streams'!T68*'Assumption Setting'!$C$136</f>
        <v>472.918397293975</v>
      </c>
      <c r="U6" s="60" t="n">
        <f aca="false">'Revenue Streams'!U68*'Assumption Setting'!$C$136</f>
        <v>532.863919607743</v>
      </c>
      <c r="V6" s="60" t="n">
        <f aca="false">'Revenue Streams'!V68*'Assumption Setting'!$C$136</f>
        <v>592.596672900744</v>
      </c>
      <c r="W6" s="60" t="n">
        <f aca="false">'Revenue Streams'!W68*'Assumption Setting'!$C$136</f>
        <v>652.061165553091</v>
      </c>
      <c r="X6" s="60" t="n">
        <f aca="false">'Revenue Streams'!X68*'Assumption Setting'!$C$136</f>
        <v>711.205776036596</v>
      </c>
      <c r="Y6" s="60" t="n">
        <f aca="false">'Revenue Streams'!Y68*'Assumption Setting'!$C$136</f>
        <v>769.982550225218</v>
      </c>
      <c r="Z6" s="60" t="n">
        <f aca="false">'Revenue Streams'!Z68*'Assumption Setting'!$C$136</f>
        <v>828.347008446602</v>
      </c>
      <c r="AA6" s="60" t="n">
        <f aca="false">'Revenue Streams'!AA68*'Assumption Setting'!$C$136</f>
        <v>886.257961818807</v>
      </c>
      <c r="AB6" s="59" t="n">
        <f aca="false">SUM(AC6:AN6)</f>
        <v>20181.3631783821</v>
      </c>
      <c r="AC6" s="60" t="n">
        <f aca="false">'Revenue Streams'!AC68*'Assumption Setting'!$C$136</f>
        <v>1016.71546054285</v>
      </c>
      <c r="AD6" s="60" t="n">
        <f aca="false">'Revenue Streams'!AD68*'Assumption Setting'!$C$136</f>
        <v>1116.3501545856</v>
      </c>
      <c r="AE6" s="60" t="n">
        <f aca="false">'Revenue Streams'!AE68*'Assumption Setting'!$C$136</f>
        <v>1239.84307744467</v>
      </c>
      <c r="AF6" s="60" t="n">
        <f aca="false">'Revenue Streams'!AF68*'Assumption Setting'!$C$136</f>
        <v>1364.82075083742</v>
      </c>
      <c r="AG6" s="60" t="n">
        <f aca="false">'Revenue Streams'!AG68*'Assumption Setting'!$C$136</f>
        <v>1491.1413530705</v>
      </c>
      <c r="AH6" s="60" t="n">
        <f aca="false">'Revenue Streams'!AH68*'Assumption Setting'!$C$136</f>
        <v>1617.33541406099</v>
      </c>
      <c r="AI6" s="60" t="n">
        <f aca="false">'Revenue Streams'!AI68*'Assumption Setting'!$C$136</f>
        <v>1743.30336635168</v>
      </c>
      <c r="AJ6" s="60" t="n">
        <f aca="false">'Revenue Streams'!AJ68*'Assumption Setting'!$C$136</f>
        <v>1868.95137680652</v>
      </c>
      <c r="AK6" s="60" t="n">
        <f aca="false">'Revenue Streams'!AK68*'Assumption Setting'!$C$136</f>
        <v>1994.1910857584</v>
      </c>
      <c r="AL6" s="60" t="n">
        <f aca="false">'Revenue Streams'!AL68*'Assumption Setting'!$C$136</f>
        <v>2118.93935735898</v>
      </c>
      <c r="AM6" s="60" t="n">
        <f aca="false">'Revenue Streams'!AM68*'Assumption Setting'!$C$136</f>
        <v>2243.11804065201</v>
      </c>
      <c r="AN6" s="60" t="n">
        <f aca="false">'Revenue Streams'!AN68*'Assumption Setting'!$C$136</f>
        <v>2366.65374091251</v>
      </c>
      <c r="AO6" s="59" t="n">
        <f aca="false">SUM(AP6:BA6)</f>
        <v>44781.8099971504</v>
      </c>
      <c r="AP6" s="60" t="n">
        <f aca="false">'Revenue Streams'!AP68*'Assumption Setting'!$C$136</f>
        <v>2653.41929137279</v>
      </c>
      <c r="AQ6" s="60" t="n">
        <f aca="false">'Revenue Streams'!AQ68*'Assumption Setting'!$C$136</f>
        <v>2828.43556595664</v>
      </c>
      <c r="AR6" s="60" t="n">
        <f aca="false">'Revenue Streams'!AR68*'Assumption Setting'!$C$136</f>
        <v>3028.42276312242</v>
      </c>
      <c r="AS6" s="60" t="n">
        <f aca="false">'Revenue Streams'!AS68*'Assumption Setting'!$C$136</f>
        <v>3229.36855086133</v>
      </c>
      <c r="AT6" s="60" t="n">
        <f aca="false">'Revenue Streams'!AT68*'Assumption Setting'!$C$136</f>
        <v>3431.11333614025</v>
      </c>
      <c r="AU6" s="60" t="n">
        <f aca="false">'Revenue Streams'!AU68*'Assumption Setting'!$C$136</f>
        <v>3632.3685636326</v>
      </c>
      <c r="AV6" s="60" t="n">
        <f aca="false">'Revenue Streams'!AV68*'Assumption Setting'!$C$136</f>
        <v>3833.01293701468</v>
      </c>
      <c r="AW6" s="60" t="n">
        <f aca="false">'Revenue Streams'!AW68*'Assumption Setting'!$C$136</f>
        <v>4032.93176533076</v>
      </c>
      <c r="AX6" s="60" t="n">
        <f aca="false">'Revenue Streams'!AX68*'Assumption Setting'!$C$136</f>
        <v>4232.01668530022</v>
      </c>
      <c r="AY6" s="60" t="n">
        <f aca="false">'Revenue Streams'!AY68*'Assumption Setting'!$C$136</f>
        <v>4430.16539455237</v>
      </c>
      <c r="AZ6" s="60" t="n">
        <f aca="false">'Revenue Streams'!AZ68*'Assumption Setting'!$C$136</f>
        <v>4627.28139536528</v>
      </c>
      <c r="BA6" s="60" t="n">
        <f aca="false">'Revenue Streams'!BA68*'Assumption Setting'!$C$136</f>
        <v>4823.27374850104</v>
      </c>
      <c r="BB6" s="59" t="n">
        <f aca="false">SUM(BC6:BN6)</f>
        <v>80025.9927127748</v>
      </c>
      <c r="BC6" s="60" t="n">
        <f aca="false">'Revenue Streams'!BC68*'Assumption Setting'!$C$136</f>
        <v>5297.57733307428</v>
      </c>
      <c r="BD6" s="60" t="n">
        <f aca="false">'Revenue Streams'!BD68*'Assumption Setting'!$C$136</f>
        <v>5534.83342037585</v>
      </c>
      <c r="BE6" s="60" t="n">
        <f aca="false">'Revenue Streams'!BE68*'Assumption Setting'!$C$136</f>
        <v>5787.41343273028</v>
      </c>
      <c r="BF6" s="60" t="n">
        <f aca="false">'Revenue Streams'!BF68*'Assumption Setting'!$C$136</f>
        <v>6040.53102529804</v>
      </c>
      <c r="BG6" s="60" t="n">
        <f aca="false">'Revenue Streams'!BG68*'Assumption Setting'!$C$136</f>
        <v>6294.03047177399</v>
      </c>
      <c r="BH6" s="60" t="n">
        <f aca="false">'Revenue Streams'!BH68*'Assumption Setting'!$C$136</f>
        <v>6546.69500312166</v>
      </c>
      <c r="BI6" s="60" t="n">
        <f aca="false">'Revenue Streams'!BI68*'Assumption Setting'!$C$136</f>
        <v>6798.4037610083</v>
      </c>
      <c r="BJ6" s="60" t="n">
        <f aca="false">'Revenue Streams'!BJ68*'Assumption Setting'!$C$136</f>
        <v>7049.04216314336</v>
      </c>
      <c r="BK6" s="60" t="n">
        <f aca="false">'Revenue Streams'!BK68*'Assumption Setting'!$C$136</f>
        <v>7298.50165490501</v>
      </c>
      <c r="BL6" s="60" t="n">
        <f aca="false">'Revenue Streams'!BL68*'Assumption Setting'!$C$136</f>
        <v>7546.6794701765</v>
      </c>
      <c r="BM6" s="60" t="n">
        <f aca="false">'Revenue Streams'!BM68*'Assumption Setting'!$C$136</f>
        <v>7793.47840105551</v>
      </c>
      <c r="BN6" s="60" t="n">
        <f aca="false">'Revenue Streams'!BN68*'Assumption Setting'!$C$136</f>
        <v>8038.80657611205</v>
      </c>
    </row>
    <row r="7" customFormat="false" ht="15" hidden="false" customHeight="false" outlineLevel="0" collapsed="false">
      <c r="A7" s="4" t="s">
        <v>912</v>
      </c>
      <c r="B7" s="59" t="n">
        <f aca="false">SUM(C7:N7)</f>
        <v>884.473662779359</v>
      </c>
      <c r="C7" s="60" t="n">
        <f aca="false">'Revenue Streams'!C49*'Assumption Setting'!$C$137</f>
        <v>0</v>
      </c>
      <c r="D7" s="60" t="n">
        <f aca="false">'Revenue Streams'!D49*'Assumption Setting'!$C$137</f>
        <v>7.4459427617684</v>
      </c>
      <c r="E7" s="60" t="n">
        <f aca="false">'Revenue Streams'!E49*'Assumption Setting'!$C$137</f>
        <v>22.2809944510936</v>
      </c>
      <c r="F7" s="60" t="n">
        <f aca="false">'Revenue Streams'!F49*'Assumption Setting'!$C$137</f>
        <v>37.1021475607785</v>
      </c>
      <c r="G7" s="60" t="n">
        <f aca="false">'Revenue Streams'!G49*'Assumption Setting'!$C$137</f>
        <v>51.8825048604246</v>
      </c>
      <c r="H7" s="60" t="n">
        <f aca="false">'Revenue Streams'!H49*'Assumption Setting'!$C$137</f>
        <v>66.5571445741191</v>
      </c>
      <c r="I7" s="60" t="n">
        <f aca="false">'Revenue Streams'!I49*'Assumption Setting'!$C$137</f>
        <v>81.1053232237324</v>
      </c>
      <c r="J7" s="60" t="n">
        <f aca="false">'Revenue Streams'!J49*'Assumption Setting'!$C$137</f>
        <v>95.5081902587757</v>
      </c>
      <c r="K7" s="60" t="n">
        <f aca="false">'Revenue Streams'!K49*'Assumption Setting'!$C$137</f>
        <v>109.74866580126</v>
      </c>
      <c r="L7" s="60" t="n">
        <f aca="false">'Revenue Streams'!L49*'Assumption Setting'!$C$137</f>
        <v>123.811325453152</v>
      </c>
      <c r="M7" s="60" t="n">
        <f aca="false">'Revenue Streams'!M49*'Assumption Setting'!$C$137</f>
        <v>137.682291774253</v>
      </c>
      <c r="N7" s="60" t="n">
        <f aca="false">'Revenue Streams'!N49*'Assumption Setting'!$C$137</f>
        <v>151.349132060001</v>
      </c>
      <c r="O7" s="59" t="n">
        <f aca="false">SUM(P7:AA7)</f>
        <v>5370.43727365825</v>
      </c>
      <c r="P7" s="60" t="n">
        <f aca="false">'Revenue Streams'!P49*'Assumption Setting'!$C$137</f>
        <v>201.861347357618</v>
      </c>
      <c r="Q7" s="60" t="n">
        <f aca="false">'Revenue Streams'!Q49*'Assumption Setting'!$C$137</f>
        <v>235.985402805027</v>
      </c>
      <c r="R7" s="60" t="n">
        <f aca="false">'Revenue Streams'!R49*'Assumption Setting'!$C$137</f>
        <v>283.548896904151</v>
      </c>
      <c r="S7" s="60" t="n">
        <f aca="false">'Revenue Streams'!S49*'Assumption Setting'!$C$137</f>
        <v>330.989799964716</v>
      </c>
      <c r="T7" s="60" t="n">
        <f aca="false">'Revenue Streams'!T49*'Assumption Setting'!$C$137</f>
        <v>378.246522066396</v>
      </c>
      <c r="U7" s="60" t="n">
        <f aca="false">'Revenue Streams'!U49*'Assumption Setting'!$C$137</f>
        <v>425.203158068389</v>
      </c>
      <c r="V7" s="60" t="n">
        <f aca="false">'Revenue Streams'!V49*'Assumption Setting'!$C$137</f>
        <v>471.809102962452</v>
      </c>
      <c r="W7" s="60" t="n">
        <f aca="false">'Revenue Streams'!W49*'Assumption Setting'!$C$137</f>
        <v>518.01765779839</v>
      </c>
      <c r="X7" s="60" t="n">
        <f aca="false">'Revenue Streams'!X49*'Assumption Setting'!$C$137</f>
        <v>563.785819928638</v>
      </c>
      <c r="Y7" s="60" t="n">
        <f aca="false">'Revenue Streams'!Y49*'Assumption Setting'!$C$137</f>
        <v>609.074083104691</v>
      </c>
      <c r="Z7" s="60" t="n">
        <f aca="false">'Revenue Streams'!Z49*'Assumption Setting'!$C$137</f>
        <v>653.846246993974</v>
      </c>
      <c r="AA7" s="60" t="n">
        <f aca="false">'Revenue Streams'!AA49*'Assumption Setting'!$C$137</f>
        <v>698.069235703812</v>
      </c>
      <c r="AB7" s="59" t="n">
        <f aca="false">SUM(AC7:AN7)</f>
        <v>17683.736052035</v>
      </c>
      <c r="AC7" s="60" t="n">
        <f aca="false">'Revenue Streams'!AC49*'Assumption Setting'!$C$137</f>
        <v>898.88427923827</v>
      </c>
      <c r="AD7" s="60" t="n">
        <f aca="false">'Revenue Streams'!AD49*'Assumption Setting'!$C$137</f>
        <v>986.345908047668</v>
      </c>
      <c r="AE7" s="60" t="n">
        <f aca="false">'Revenue Streams'!AE49*'Assumption Setting'!$C$137</f>
        <v>1096.29516546808</v>
      </c>
      <c r="AF7" s="60" t="n">
        <f aca="false">'Revenue Streams'!AF49*'Assumption Setting'!$C$137</f>
        <v>1205.80653249745</v>
      </c>
      <c r="AG7" s="60" t="n">
        <f aca="false">'Revenue Streams'!AG49*'Assumption Setting'!$C$137</f>
        <v>1314.77039798307</v>
      </c>
      <c r="AH7" s="60" t="n">
        <f aca="false">'Revenue Streams'!AH49*'Assumption Setting'!$C$137</f>
        <v>1422.99694152423</v>
      </c>
      <c r="AI7" s="60" t="n">
        <f aca="false">'Revenue Streams'!AI49*'Assumption Setting'!$C$137</f>
        <v>1530.39401571979</v>
      </c>
      <c r="AJ7" s="60" t="n">
        <f aca="false">'Revenue Streams'!AJ49*'Assumption Setting'!$C$137</f>
        <v>1636.87601579791</v>
      </c>
      <c r="AK7" s="60" t="n">
        <f aca="false">'Revenue Streams'!AK49*'Assumption Setting'!$C$137</f>
        <v>1742.3635644887</v>
      </c>
      <c r="AL7" s="60" t="n">
        <f aca="false">'Revenue Streams'!AL49*'Assumption Setting'!$C$137</f>
        <v>1846.78320992403</v>
      </c>
      <c r="AM7" s="60" t="n">
        <f aca="false">'Revenue Streams'!AM49*'Assumption Setting'!$C$137</f>
        <v>1950.06713607684</v>
      </c>
      <c r="AN7" s="60" t="n">
        <f aca="false">'Revenue Streams'!AN49*'Assumption Setting'!$C$137</f>
        <v>2052.15288526897</v>
      </c>
      <c r="AO7" s="59" t="n">
        <f aca="false">SUM(AP7:BA7)</f>
        <v>42309.1842463791</v>
      </c>
      <c r="AP7" s="60" t="n">
        <f aca="false">'Revenue Streams'!AP49*'Assumption Setting'!$C$137</f>
        <v>2527.43450550969</v>
      </c>
      <c r="AQ7" s="60" t="n">
        <f aca="false">'Revenue Streams'!AQ49*'Assumption Setting'!$C$137</f>
        <v>2691.63944338413</v>
      </c>
      <c r="AR7" s="60" t="n">
        <f aca="false">'Revenue Streams'!AR49*'Assumption Setting'!$C$137</f>
        <v>2881.38802305482</v>
      </c>
      <c r="AS7" s="60" t="n">
        <f aca="false">'Revenue Streams'!AS49*'Assumption Setting'!$C$137</f>
        <v>3069.8358205703</v>
      </c>
      <c r="AT7" s="60" t="n">
        <f aca="false">'Revenue Streams'!AT49*'Assumption Setting'!$C$137</f>
        <v>3256.84499041138</v>
      </c>
      <c r="AU7" s="60" t="n">
        <f aca="false">'Revenue Streams'!AU49*'Assumption Setting'!$C$137</f>
        <v>3442.20627675604</v>
      </c>
      <c r="AV7" s="60" t="n">
        <f aca="false">'Revenue Streams'!AV49*'Assumption Setting'!$C$137</f>
        <v>3625.80275333187</v>
      </c>
      <c r="AW7" s="60" t="n">
        <f aca="false">'Revenue Streams'!AW49*'Assumption Setting'!$C$137</f>
        <v>3807.52587867062</v>
      </c>
      <c r="AX7" s="60" t="n">
        <f aca="false">'Revenue Streams'!AX49*'Assumption Setting'!$C$137</f>
        <v>3987.2751113768</v>
      </c>
      <c r="AY7" s="60" t="n">
        <f aca="false">'Revenue Streams'!AY49*'Assumption Setting'!$C$137</f>
        <v>4164.95754027809</v>
      </c>
      <c r="AZ7" s="60" t="n">
        <f aca="false">'Revenue Streams'!AZ49*'Assumption Setting'!$C$137</f>
        <v>4340.48752894585</v>
      </c>
      <c r="BA7" s="60" t="n">
        <f aca="false">'Revenue Streams'!BA49*'Assumption Setting'!$C$137</f>
        <v>4513.78637408953</v>
      </c>
      <c r="BB7" s="59" t="n">
        <f aca="false">SUM(BC7:BN7)</f>
        <v>79774.5307444402</v>
      </c>
      <c r="BC7" s="60" t="n">
        <f aca="false">'Revenue Streams'!BC49*'Assumption Setting'!$C$137</f>
        <v>5345.64759017399</v>
      </c>
      <c r="BD7" s="60" t="n">
        <f aca="false">'Revenue Streams'!BD49*'Assumption Setting'!$C$137</f>
        <v>5574.83377165513</v>
      </c>
      <c r="BE7" s="60" t="n">
        <f aca="false">'Revenue Streams'!BE49*'Assumption Setting'!$C$137</f>
        <v>5820.22106148388</v>
      </c>
      <c r="BF7" s="60" t="n">
        <f aca="false">'Revenue Streams'!BF49*'Assumption Setting'!$C$137</f>
        <v>6063.53506941287</v>
      </c>
      <c r="BG7" s="60" t="n">
        <f aca="false">'Revenue Streams'!BG49*'Assumption Setting'!$C$137</f>
        <v>6304.63573336636</v>
      </c>
      <c r="BH7" s="60" t="n">
        <f aca="false">'Revenue Streams'!BH49*'Assumption Setting'!$C$137</f>
        <v>6543.31158096676</v>
      </c>
      <c r="BI7" s="60" t="n">
        <f aca="false">'Revenue Streams'!BI49*'Assumption Setting'!$C$137</f>
        <v>6779.44372350146</v>
      </c>
      <c r="BJ7" s="60" t="n">
        <f aca="false">'Revenue Streams'!BJ49*'Assumption Setting'!$C$137</f>
        <v>7012.92188102983</v>
      </c>
      <c r="BK7" s="60" t="n">
        <f aca="false">'Revenue Streams'!BK49*'Assumption Setting'!$C$137</f>
        <v>7243.64400313059</v>
      </c>
      <c r="BL7" s="60" t="n">
        <f aca="false">'Revenue Streams'!BL49*'Assumption Setting'!$C$137</f>
        <v>7471.51590358061</v>
      </c>
      <c r="BM7" s="60" t="n">
        <f aca="false">'Revenue Streams'!BM49*'Assumption Setting'!$C$137</f>
        <v>7696.45090851423</v>
      </c>
      <c r="BN7" s="60" t="n">
        <f aca="false">'Revenue Streams'!BN49*'Assumption Setting'!$C$137</f>
        <v>7918.36951762448</v>
      </c>
    </row>
    <row r="8" customFormat="false" ht="15" hidden="false" customHeight="false" outlineLevel="0" collapsed="false">
      <c r="A8" s="4" t="s">
        <v>913</v>
      </c>
      <c r="B8" s="59" t="n">
        <f aca="false">SUM(C8:N8)</f>
        <v>4302.53125368353</v>
      </c>
      <c r="C8" s="60" t="n">
        <f aca="false">Acquisitions!C126*'Assumption Setting'!$C$138+Acquisitions!C125*'Assumption Setting'!$C$139</f>
        <v>19.8077288204545</v>
      </c>
      <c r="D8" s="60" t="n">
        <f aca="false">Acquisitions!D126*'Assumption Setting'!$C$138+Acquisitions!D125*'Assumption Setting'!$C$139</f>
        <v>73.859652239015</v>
      </c>
      <c r="E8" s="60" t="n">
        <f aca="false">Acquisitions!E126*'Assumption Setting'!$C$138+Acquisitions!E125*'Assumption Setting'!$C$139</f>
        <v>141.531033809317</v>
      </c>
      <c r="F8" s="60" t="n">
        <f aca="false">Acquisitions!F126*'Assumption Setting'!$C$138+Acquisitions!F125*'Assumption Setting'!$C$139</f>
        <v>207.699921880906</v>
      </c>
      <c r="G8" s="60" t="n">
        <f aca="false">Acquisitions!G126*'Assumption Setting'!$C$138+Acquisitions!G125*'Assumption Setting'!$C$139</f>
        <v>272.38346948065</v>
      </c>
      <c r="H8" s="60" t="n">
        <f aca="false">Acquisitions!H126*'Assumption Setting'!$C$138+Acquisitions!H125*'Assumption Setting'!$C$139</f>
        <v>335.478003310264</v>
      </c>
      <c r="I8" s="60" t="n">
        <f aca="false">Acquisitions!I126*'Assumption Setting'!$C$138+Acquisitions!I125*'Assumption Setting'!$C$139</f>
        <v>397.005524360933</v>
      </c>
      <c r="J8" s="60" t="n">
        <f aca="false">Acquisitions!J126*'Assumption Setting'!$C$138+Acquisitions!J125*'Assumption Setting'!$C$139</f>
        <v>456.989172595558</v>
      </c>
      <c r="K8" s="60" t="n">
        <f aca="false">Acquisitions!K126*'Assumption Setting'!$C$138+Acquisitions!K125*'Assumption Setting'!$C$139</f>
        <v>515.453070973479</v>
      </c>
      <c r="L8" s="60" t="n">
        <f aca="false">Acquisitions!L126*'Assumption Setting'!$C$138+Acquisitions!L125*'Assumption Setting'!$C$139</f>
        <v>572.42218224631</v>
      </c>
      <c r="M8" s="60" t="n">
        <f aca="false">Acquisitions!M126*'Assumption Setting'!$C$138+Acquisitions!M125*'Assumption Setting'!$C$139</f>
        <v>627.922177609574</v>
      </c>
      <c r="N8" s="60" t="n">
        <f aca="false">Acquisitions!N126*'Assumption Setting'!$C$138+Acquisitions!N125*'Assumption Setting'!$C$139</f>
        <v>681.979316357068</v>
      </c>
      <c r="O8" s="59" t="n">
        <f aca="false">SUM(P8:AA8)</f>
        <v>18399.5777697308</v>
      </c>
      <c r="P8" s="60" t="n">
        <f aca="false">Acquisitions!P126*'Assumption Setting'!$C$138+Acquisitions!P125*'Assumption Setting'!$C$139</f>
        <v>762.448746605618</v>
      </c>
      <c r="Q8" s="60" t="n">
        <f aca="false">Acquisitions!Q126*'Assumption Setting'!$C$138+Acquisitions!Q125*'Assumption Setting'!$C$139</f>
        <v>891.943854638432</v>
      </c>
      <c r="R8" s="60" t="n">
        <f aca="false">Acquisitions!R126*'Assumption Setting'!$C$138+Acquisitions!R125*'Assumption Setting'!$C$139</f>
        <v>1041.99325998602</v>
      </c>
      <c r="S8" s="60" t="n">
        <f aca="false">Acquisitions!S126*'Assumption Setting'!$C$138+Acquisitions!S125*'Assumption Setting'!$C$139</f>
        <v>1189.51553349743</v>
      </c>
      <c r="T8" s="60" t="n">
        <f aca="false">Acquisitions!T126*'Assumption Setting'!$C$138+Acquisitions!T125*'Assumption Setting'!$C$139</f>
        <v>1334.5157396996</v>
      </c>
      <c r="U8" s="60" t="n">
        <f aca="false">Acquisitions!U126*'Assumption Setting'!$C$138+Acquisitions!U125*'Assumption Setting'!$C$139</f>
        <v>1476.84351950163</v>
      </c>
      <c r="V8" s="60" t="n">
        <f aca="false">Acquisitions!V126*'Assumption Setting'!$C$138+Acquisitions!V125*'Assumption Setting'!$C$139</f>
        <v>1616.51237267679</v>
      </c>
      <c r="W8" s="60" t="n">
        <f aca="false">Acquisitions!W126*'Assumption Setting'!$C$138+Acquisitions!W125*'Assumption Setting'!$C$139</f>
        <v>1753.53855835546</v>
      </c>
      <c r="X8" s="60" t="n">
        <f aca="false">Acquisitions!X126*'Assumption Setting'!$C$138+Acquisitions!X125*'Assumption Setting'!$C$139</f>
        <v>1887.94084828852</v>
      </c>
      <c r="Y8" s="60" t="n">
        <f aca="false">Acquisitions!Y126*'Assumption Setting'!$C$138+Acquisitions!Y125*'Assumption Setting'!$C$139</f>
        <v>2019.74029637571</v>
      </c>
      <c r="Z8" s="60" t="n">
        <f aca="false">Acquisitions!Z126*'Assumption Setting'!$C$138+Acquisitions!Z125*'Assumption Setting'!$C$139</f>
        <v>2148.9600234822</v>
      </c>
      <c r="AA8" s="60" t="n">
        <f aca="false">Acquisitions!AA126*'Assumption Setting'!$C$138+Acquisitions!AA125*'Assumption Setting'!$C$139</f>
        <v>2275.62501662341</v>
      </c>
      <c r="AB8" s="59" t="n">
        <f aca="false">SUM(AC8:AN8)</f>
        <v>45398.6076115334</v>
      </c>
      <c r="AC8" s="60" t="n">
        <f aca="false">Acquisitions!AC126*'Assumption Setting'!$C$138+Acquisitions!AC125*'Assumption Setting'!$C$139</f>
        <v>2437.09529164093</v>
      </c>
      <c r="AD8" s="60" t="n">
        <f aca="false">Acquisitions!AD126*'Assumption Setting'!$C$138+Acquisitions!AD125*'Assumption Setting'!$C$139</f>
        <v>2666.26696123045</v>
      </c>
      <c r="AE8" s="60" t="n">
        <f aca="false">Acquisitions!AE126*'Assumption Setting'!$C$138+Acquisitions!AE125*'Assumption Setting'!$C$139</f>
        <v>2925.17667441328</v>
      </c>
      <c r="AF8" s="60" t="n">
        <f aca="false">Acquisitions!AF126*'Assumption Setting'!$C$138+Acquisitions!AF125*'Assumption Setting'!$C$139</f>
        <v>3180.51786512957</v>
      </c>
      <c r="AG8" s="60" t="n">
        <f aca="false">Acquisitions!AG126*'Assumption Setting'!$C$138+Acquisitions!AG125*'Assumption Setting'!$C$139</f>
        <v>3432.28035290416</v>
      </c>
      <c r="AH8" s="60" t="n">
        <f aca="false">Acquisitions!AH126*'Assumption Setting'!$C$138+Acquisitions!AH125*'Assumption Setting'!$C$139</f>
        <v>3680.2479124775</v>
      </c>
      <c r="AI8" s="60" t="n">
        <f aca="false">Acquisitions!AI126*'Assumption Setting'!$C$138+Acquisitions!AI125*'Assumption Setting'!$C$139</f>
        <v>3924.42230303092</v>
      </c>
      <c r="AJ8" s="60" t="n">
        <f aca="false">Acquisitions!AJ126*'Assumption Setting'!$C$138+Acquisitions!AJ125*'Assumption Setting'!$C$139</f>
        <v>4164.80954535742</v>
      </c>
      <c r="AK8" s="60" t="n">
        <f aca="false">Acquisitions!AK126*'Assumption Setting'!$C$138+Acquisitions!AK125*'Assumption Setting'!$C$139</f>
        <v>4401.41960056485</v>
      </c>
      <c r="AL8" s="60" t="n">
        <f aca="false">Acquisitions!AL126*'Assumption Setting'!$C$138+Acquisitions!AL125*'Assumption Setting'!$C$139</f>
        <v>4634.26606782005</v>
      </c>
      <c r="AM8" s="60" t="n">
        <f aca="false">Acquisitions!AM126*'Assumption Setting'!$C$138+Acquisitions!AM125*'Assumption Setting'!$C$139</f>
        <v>4863.36590008808</v>
      </c>
      <c r="AN8" s="60" t="n">
        <f aca="false">Acquisitions!AN126*'Assumption Setting'!$C$138+Acquisitions!AN125*'Assumption Setting'!$C$139</f>
        <v>5088.73913687619</v>
      </c>
      <c r="AO8" s="59" t="n">
        <f aca="false">SUM(AP8:BA8)</f>
        <v>86613.6187438861</v>
      </c>
      <c r="AP8" s="60" t="n">
        <f aca="false">Acquisitions!AP126*'Assumption Setting'!$C$138+Acquisitions!AP125*'Assumption Setting'!$C$139</f>
        <v>5347.41513784718</v>
      </c>
      <c r="AQ8" s="60" t="n">
        <f aca="false">Acquisitions!AQ126*'Assumption Setting'!$C$138+Acquisitions!AQ125*'Assumption Setting'!$C$139</f>
        <v>5673.69224835521</v>
      </c>
      <c r="AR8" s="60" t="n">
        <f aca="false">Acquisitions!AR126*'Assumption Setting'!$C$138+Acquisitions!AR125*'Assumption Setting'!$C$139</f>
        <v>6030.1145856522</v>
      </c>
      <c r="AS8" s="60" t="n">
        <f aca="false">Acquisitions!AS126*'Assumption Setting'!$C$138+Acquisitions!AS125*'Assumption Setting'!$C$139</f>
        <v>6382.1154140364</v>
      </c>
      <c r="AT8" s="60" t="n">
        <f aca="false">Acquisitions!AT126*'Assumption Setting'!$C$138+Acquisitions!AT125*'Assumption Setting'!$C$139</f>
        <v>6729.67732265792</v>
      </c>
      <c r="AU8" s="60" t="n">
        <f aca="false">Acquisitions!AU126*'Assumption Setting'!$C$138+Acquisitions!AU125*'Assumption Setting'!$C$139</f>
        <v>7072.61029295961</v>
      </c>
      <c r="AV8" s="60" t="n">
        <f aca="false">Acquisitions!AV126*'Assumption Setting'!$C$138+Acquisitions!AV125*'Assumption Setting'!$C$139</f>
        <v>7410.90939235636</v>
      </c>
      <c r="AW8" s="60" t="n">
        <f aca="false">Acquisitions!AW126*'Assumption Setting'!$C$138+Acquisitions!AW125*'Assumption Setting'!$C$139</f>
        <v>7744.574518302</v>
      </c>
      <c r="AX8" s="60" t="n">
        <f aca="false">Acquisitions!AX126*'Assumption Setting'!$C$138+Acquisitions!AX125*'Assumption Setting'!$C$139</f>
        <v>8073.61007021205</v>
      </c>
      <c r="AY8" s="60" t="n">
        <f aca="false">Acquisitions!AY126*'Assumption Setting'!$C$138+Acquisitions!AY125*'Assumption Setting'!$C$139</f>
        <v>8398.02463920788</v>
      </c>
      <c r="AZ8" s="60" t="n">
        <f aca="false">Acquisitions!AZ126*'Assumption Setting'!$C$138+Acquisitions!AZ125*'Assumption Setting'!$C$139</f>
        <v>8717.83071478074</v>
      </c>
      <c r="BA8" s="60" t="n">
        <f aca="false">Acquisitions!BA126*'Assumption Setting'!$C$138+Acquisitions!BA125*'Assumption Setting'!$C$139</f>
        <v>9033.04440751855</v>
      </c>
      <c r="BB8" s="59" t="n">
        <f aca="false">SUM(BC8:BN8)</f>
        <v>138601.291328382</v>
      </c>
      <c r="BC8" s="60" t="n">
        <f aca="false">Acquisitions!BC126*'Assumption Setting'!$C$138+Acquisitions!BC125*'Assumption Setting'!$C$139</f>
        <v>9375.88814016722</v>
      </c>
      <c r="BD8" s="60" t="n">
        <f aca="false">Acquisitions!BD126*'Assumption Setting'!$C$138+Acquisitions!BD125*'Assumption Setting'!$C$139</f>
        <v>9768.55645618114</v>
      </c>
      <c r="BE8" s="60" t="n">
        <f aca="false">Acquisitions!BE126*'Assumption Setting'!$C$138+Acquisitions!BE125*'Assumption Setting'!$C$139</f>
        <v>10178.7163879046</v>
      </c>
      <c r="BF8" s="60" t="n">
        <f aca="false">Acquisitions!BF126*'Assumption Setting'!$C$138+Acquisitions!BF125*'Assumption Setting'!$C$139</f>
        <v>10584.2114018314</v>
      </c>
      <c r="BG8" s="60" t="n">
        <f aca="false">Acquisitions!BG126*'Assumption Setting'!$C$138+Acquisitions!BG125*'Assumption Setting'!$C$139</f>
        <v>10985.0227222589</v>
      </c>
      <c r="BH8" s="60" t="n">
        <f aca="false">Acquisitions!BH126*'Assumption Setting'!$C$138+Acquisitions!BH125*'Assumption Setting'!$C$139</f>
        <v>11380.9693208172</v>
      </c>
      <c r="BI8" s="60" t="n">
        <f aca="false">Acquisitions!BI126*'Assumption Setting'!$C$138+Acquisitions!BI125*'Assumption Setting'!$C$139</f>
        <v>11772.0440430171</v>
      </c>
      <c r="BJ8" s="60" t="n">
        <f aca="false">Acquisitions!BJ126*'Assumption Setting'!$C$138+Acquisitions!BJ125*'Assumption Setting'!$C$139</f>
        <v>12158.2443576912</v>
      </c>
      <c r="BK8" s="60" t="n">
        <f aca="false">Acquisitions!BK126*'Assumption Setting'!$C$138+Acquisitions!BK125*'Assumption Setting'!$C$139</f>
        <v>12539.5720619701</v>
      </c>
      <c r="BL8" s="60" t="n">
        <f aca="false">Acquisitions!BL126*'Assumption Setting'!$C$138+Acquisitions!BL125*'Assumption Setting'!$C$139</f>
        <v>12916.0330013929</v>
      </c>
      <c r="BM8" s="60" t="n">
        <f aca="false">Acquisitions!BM126*'Assumption Setting'!$C$138+Acquisitions!BM125*'Assumption Setting'!$C$139</f>
        <v>13287.6368044289</v>
      </c>
      <c r="BN8" s="60" t="n">
        <f aca="false">Acquisitions!BN126*'Assumption Setting'!$C$138+Acquisitions!BN125*'Assumption Setting'!$C$139</f>
        <v>13654.3966307211</v>
      </c>
    </row>
    <row r="9" customFormat="false" ht="15" hidden="false" customHeight="false" outlineLevel="0" collapsed="false">
      <c r="A9" s="4" t="s">
        <v>914</v>
      </c>
      <c r="B9" s="59" t="n">
        <f aca="false">SUM(C9:N9)</f>
        <v>2059.20562551351</v>
      </c>
      <c r="C9" s="60" t="n">
        <f aca="false">Acquisitions!C126*'Assumption Setting'!$C$140+Acquisitions!C125*'Assumption Setting'!$C$141</f>
        <v>7.92309152818182</v>
      </c>
      <c r="D9" s="60" t="n">
        <f aca="false">Acquisitions!D126*'Assumption Setting'!$C$140+Acquisitions!D125*'Assumption Setting'!$C$141</f>
        <v>32.358865677147</v>
      </c>
      <c r="E9" s="60" t="n">
        <f aca="false">Acquisitions!E126*'Assumption Setting'!$C$140+Acquisitions!E125*'Assumption Setting'!$C$141</f>
        <v>65.0544585679221</v>
      </c>
      <c r="F9" s="60" t="n">
        <f aca="false">Acquisitions!F126*'Assumption Setting'!$C$140+Acquisitions!F125*'Assumption Setting'!$C$141</f>
        <v>97.1643719744381</v>
      </c>
      <c r="G9" s="60" t="n">
        <f aca="false">Acquisitions!G126*'Assumption Setting'!$C$140+Acquisitions!G125*'Assumption Setting'!$C$141</f>
        <v>128.686319880097</v>
      </c>
      <c r="H9" s="60" t="n">
        <f aca="false">Acquisitions!H126*'Assumption Setting'!$C$140+Acquisitions!H125*'Assumption Setting'!$C$141</f>
        <v>159.544668265884</v>
      </c>
      <c r="I9" s="60" t="n">
        <f aca="false">Acquisitions!I126*'Assumption Setting'!$C$140+Acquisitions!I125*'Assumption Setting'!$C$141</f>
        <v>189.741055547058</v>
      </c>
      <c r="J9" s="60" t="n">
        <f aca="false">Acquisitions!J126*'Assumption Setting'!$C$140+Acquisitions!J125*'Assumption Setting'!$C$141</f>
        <v>219.278269551932</v>
      </c>
      <c r="K9" s="60" t="n">
        <f aca="false">Acquisitions!K126*'Assumption Setting'!$C$140+Acquisitions!K125*'Assumption Setting'!$C$141</f>
        <v>248.160134794049</v>
      </c>
      <c r="L9" s="60" t="n">
        <f aca="false">Acquisitions!L126*'Assumption Setting'!$C$140+Acquisitions!L125*'Assumption Setting'!$C$141</f>
        <v>276.391408217471</v>
      </c>
      <c r="M9" s="60" t="n">
        <f aca="false">Acquisitions!M126*'Assumption Setting'!$C$140+Acquisitions!M125*'Assumption Setting'!$C$141</f>
        <v>303.977682830124</v>
      </c>
      <c r="N9" s="60" t="n">
        <f aca="false">Acquisitions!N126*'Assumption Setting'!$C$140+Acquisitions!N125*'Assumption Setting'!$C$141</f>
        <v>330.925298679204</v>
      </c>
      <c r="O9" s="59" t="n">
        <f aca="false">SUM(P9:AA9)</f>
        <v>9093.02752793571</v>
      </c>
      <c r="P9" s="60" t="n">
        <f aca="false">Acquisitions!P126*'Assumption Setting'!$C$140+Acquisitions!P125*'Assumption Setting'!$C$141</f>
        <v>369.125288062501</v>
      </c>
      <c r="Q9" s="60" t="n">
        <f aca="false">Acquisitions!Q126*'Assumption Setting'!$C$140+Acquisitions!Q125*'Assumption Setting'!$C$141</f>
        <v>431.985214025849</v>
      </c>
      <c r="R9" s="60" t="n">
        <f aca="false">Acquisitions!R126*'Assumption Setting'!$C$140+Acquisitions!R125*'Assumption Setting'!$C$141</f>
        <v>507.395200185812</v>
      </c>
      <c r="S9" s="60" t="n">
        <f aca="false">Acquisitions!S126*'Assumption Setting'!$C$140+Acquisitions!S125*'Assumption Setting'!$C$141</f>
        <v>581.814581672011</v>
      </c>
      <c r="T9" s="60" t="n">
        <f aca="false">Acquisitions!T126*'Assumption Setting'!$C$140+Acquisitions!T125*'Assumption Setting'!$C$141</f>
        <v>655.227625848324</v>
      </c>
      <c r="U9" s="60" t="n">
        <f aca="false">Acquisitions!U126*'Assumption Setting'!$C$140+Acquisitions!U125*'Assumption Setting'!$C$141</f>
        <v>727.524259118084</v>
      </c>
      <c r="V9" s="60" t="n">
        <f aca="false">Acquisitions!V126*'Assumption Setting'!$C$140+Acquisitions!V125*'Assumption Setting'!$C$141</f>
        <v>798.695162231702</v>
      </c>
      <c r="W9" s="60" t="n">
        <f aca="false">Acquisitions!W126*'Assumption Setting'!$C$140+Acquisitions!W125*'Assumption Setting'!$C$141</f>
        <v>868.733299563127</v>
      </c>
      <c r="X9" s="60" t="n">
        <f aca="false">Acquisitions!X126*'Assumption Setting'!$C$140+Acquisitions!X125*'Assumption Setting'!$C$141</f>
        <v>937.633748016512</v>
      </c>
      <c r="Y9" s="60" t="n">
        <f aca="false">Acquisitions!Y126*'Assumption Setting'!$C$140+Acquisitions!Y125*'Assumption Setting'!$C$141</f>
        <v>1005.39353656306</v>
      </c>
      <c r="Z9" s="60" t="n">
        <f aca="false">Acquisitions!Z126*'Assumption Setting'!$C$140+Acquisitions!Z125*'Assumption Setting'!$C$141</f>
        <v>1072.01149578774</v>
      </c>
      <c r="AA9" s="60" t="n">
        <f aca="false">Acquisitions!AA126*'Assumption Setting'!$C$140+Acquisitions!AA125*'Assumption Setting'!$C$141</f>
        <v>1137.48811686099</v>
      </c>
      <c r="AB9" s="59" t="n">
        <f aca="false">SUM(AC9:AN9)</f>
        <v>23036.496224055</v>
      </c>
      <c r="AC9" s="60" t="n">
        <f aca="false">Acquisitions!AC126*'Assumption Setting'!$C$140+Acquisitions!AC125*'Assumption Setting'!$C$141</f>
        <v>1218.565012114</v>
      </c>
      <c r="AD9" s="60" t="n">
        <f aca="false">Acquisitions!AD126*'Assumption Setting'!$C$140+Acquisitions!AD125*'Assumption Setting'!$C$141</f>
        <v>1334.75541482495</v>
      </c>
      <c r="AE9" s="60" t="n">
        <f aca="false">Acquisitions!AE126*'Assumption Setting'!$C$140+Acquisitions!AE125*'Assumption Setting'!$C$141</f>
        <v>1469.11846583608</v>
      </c>
      <c r="AF9" s="60" t="n">
        <f aca="false">Acquisitions!AF126*'Assumption Setting'!$C$140+Acquisitions!AF125*'Assumption Setting'!$C$141</f>
        <v>1602.05471494473</v>
      </c>
      <c r="AG9" s="60" t="n">
        <f aca="false">Acquisitions!AG126*'Assumption Setting'!$C$140+Acquisitions!AG125*'Assumption Setting'!$C$141</f>
        <v>1733.53411555568</v>
      </c>
      <c r="AH9" s="60" t="n">
        <f aca="false">Acquisitions!AH126*'Assumption Setting'!$C$140+Acquisitions!AH125*'Assumption Setting'!$C$141</f>
        <v>1863.40145769268</v>
      </c>
      <c r="AI9" s="60" t="n">
        <f aca="false">Acquisitions!AI126*'Assumption Setting'!$C$140+Acquisitions!AI125*'Assumption Setting'!$C$141</f>
        <v>1991.63547317864</v>
      </c>
      <c r="AJ9" s="60" t="n">
        <f aca="false">Acquisitions!AJ126*'Assumption Setting'!$C$140+Acquisitions!AJ125*'Assumption Setting'!$C$141</f>
        <v>2118.21820420081</v>
      </c>
      <c r="AK9" s="60" t="n">
        <f aca="false">Acquisitions!AK126*'Assumption Setting'!$C$140+Acquisitions!AK125*'Assumption Setting'!$C$141</f>
        <v>2243.13478465172</v>
      </c>
      <c r="AL9" s="60" t="n">
        <f aca="false">Acquisitions!AL126*'Assumption Setting'!$C$140+Acquisitions!AL125*'Assumption Setting'!$C$141</f>
        <v>2366.37323381126</v>
      </c>
      <c r="AM9" s="60" t="n">
        <f aca="false">Acquisitions!AM126*'Assumption Setting'!$C$140+Acquisitions!AM125*'Assumption Setting'!$C$141</f>
        <v>2487.92426170841</v>
      </c>
      <c r="AN9" s="60" t="n">
        <f aca="false">Acquisitions!AN126*'Assumption Setting'!$C$140+Acquisitions!AN125*'Assumption Setting'!$C$141</f>
        <v>2607.78108553608</v>
      </c>
      <c r="AO9" s="59" t="n">
        <f aca="false">SUM(AP9:BA9)</f>
        <v>44973.7904349329</v>
      </c>
      <c r="AP9" s="60" t="n">
        <f aca="false">Acquisitions!AP126*'Assumption Setting'!$C$140+Acquisitions!AP125*'Assumption Setting'!$C$141</f>
        <v>2743.64233943293</v>
      </c>
      <c r="AQ9" s="60" t="n">
        <f aca="false">Acquisitions!AQ126*'Assumption Setting'!$C$140+Acquisitions!AQ125*'Assumption Setting'!$C$141</f>
        <v>2915.81551229134</v>
      </c>
      <c r="AR9" s="60" t="n">
        <f aca="false">Acquisitions!AR126*'Assumption Setting'!$C$140+Acquisitions!AR125*'Assumption Setting'!$C$141</f>
        <v>3106.46157614894</v>
      </c>
      <c r="AS9" s="60" t="n">
        <f aca="false">Acquisitions!AS126*'Assumption Setting'!$C$140+Acquisitions!AS125*'Assumption Setting'!$C$141</f>
        <v>3295.22606790078</v>
      </c>
      <c r="AT9" s="60" t="n">
        <f aca="false">Acquisitions!AT126*'Assumption Setting'!$C$140+Acquisitions!AT125*'Assumption Setting'!$C$141</f>
        <v>3482.07356965725</v>
      </c>
      <c r="AU9" s="60" t="n">
        <f aca="false">Acquisitions!AU126*'Assumption Setting'!$C$140+Acquisitions!AU125*'Assumption Setting'!$C$141</f>
        <v>3666.86392933435</v>
      </c>
      <c r="AV9" s="60" t="n">
        <f aca="false">Acquisitions!AV126*'Assumption Setting'!$C$140+Acquisitions!AV125*'Assumption Setting'!$C$141</f>
        <v>3849.57082863696</v>
      </c>
      <c r="AW9" s="60" t="n">
        <f aca="false">Acquisitions!AW126*'Assumption Setting'!$C$140+Acquisitions!AW125*'Assumption Setting'!$C$141</f>
        <v>4030.17160473939</v>
      </c>
      <c r="AX9" s="60" t="n">
        <f aca="false">Acquisitions!AX126*'Assumption Setting'!$C$140+Acquisitions!AX125*'Assumption Setting'!$C$141</f>
        <v>4208.64702853949</v>
      </c>
      <c r="AY9" s="60" t="n">
        <f aca="false">Acquisitions!AY126*'Assumption Setting'!$C$140+Acquisitions!AY125*'Assumption Setting'!$C$141</f>
        <v>4384.98109444573</v>
      </c>
      <c r="AZ9" s="60" t="n">
        <f aca="false">Acquisitions!AZ126*'Assumption Setting'!$C$140+Acquisitions!AZ125*'Assumption Setting'!$C$141</f>
        <v>4559.16082112648</v>
      </c>
      <c r="BA9" s="60" t="n">
        <f aca="false">Acquisitions!BA126*'Assumption Setting'!$C$140+Acquisitions!BA125*'Assumption Setting'!$C$141</f>
        <v>4731.17606267923</v>
      </c>
      <c r="BB9" s="59" t="n">
        <f aca="false">SUM(BC9:BN9)</f>
        <v>73184.0565419584</v>
      </c>
      <c r="BC9" s="60" t="n">
        <f aca="false">Acquisitions!BC126*'Assumption Setting'!$C$140+Acquisitions!BC125*'Assumption Setting'!$C$141</f>
        <v>4916.12632977531</v>
      </c>
      <c r="BD9" s="60" t="n">
        <f aca="false">Acquisitions!BD126*'Assumption Setting'!$C$140+Acquisitions!BD125*'Assumption Setting'!$C$141</f>
        <v>5127.22973835165</v>
      </c>
      <c r="BE9" s="60" t="n">
        <f aca="false">Acquisitions!BE126*'Assumption Setting'!$C$140+Acquisitions!BE125*'Assumption Setting'!$C$141</f>
        <v>5349.41510562512</v>
      </c>
      <c r="BF9" s="60" t="n">
        <f aca="false">Acquisitions!BF126*'Assumption Setting'!$C$140+Acquisitions!BF125*'Assumption Setting'!$C$141</f>
        <v>5569.58095319125</v>
      </c>
      <c r="BG9" s="60" t="n">
        <f aca="false">Acquisitions!BG126*'Assumption Setting'!$C$140+Acquisitions!BG125*'Assumption Setting'!$C$141</f>
        <v>5787.69153411845</v>
      </c>
      <c r="BH9" s="60" t="n">
        <f aca="false">Acquisitions!BH126*'Assumption Setting'!$C$140+Acquisitions!BH125*'Assumption Setting'!$C$141</f>
        <v>6003.61265583598</v>
      </c>
      <c r="BI9" s="60" t="n">
        <f aca="false">Acquisitions!BI126*'Assumption Setting'!$C$140+Acquisitions!BI125*'Assumption Setting'!$C$141</f>
        <v>6217.31707010571</v>
      </c>
      <c r="BJ9" s="60" t="n">
        <f aca="false">Acquisitions!BJ126*'Assumption Setting'!$C$140+Acquisitions!BJ125*'Assumption Setting'!$C$141</f>
        <v>6428.78102203355</v>
      </c>
      <c r="BK9" s="60" t="n">
        <f aca="false">Acquisitions!BK126*'Assumption Setting'!$C$140+Acquisitions!BK125*'Assumption Setting'!$C$141</f>
        <v>6637.98405027211</v>
      </c>
      <c r="BL9" s="60" t="n">
        <f aca="false">Acquisitions!BL126*'Assumption Setting'!$C$140+Acquisitions!BL125*'Assumption Setting'!$C$141</f>
        <v>6844.90879704151</v>
      </c>
      <c r="BM9" s="60" t="n">
        <f aca="false">Acquisitions!BM126*'Assumption Setting'!$C$140+Acquisitions!BM125*'Assumption Setting'!$C$141</f>
        <v>7049.54082751017</v>
      </c>
      <c r="BN9" s="60" t="n">
        <f aca="false">Acquisitions!BN126*'Assumption Setting'!$C$140+Acquisitions!BN125*'Assumption Setting'!$C$141</f>
        <v>7251.86845809761</v>
      </c>
    </row>
    <row r="10" customFormat="false" ht="15" hidden="false" customHeight="false" outlineLevel="0" collapsed="false">
      <c r="A10" s="4" t="s">
        <v>915</v>
      </c>
      <c r="B10" s="59" t="n">
        <f aca="false">SUM(C10:N10)</f>
        <v>2866.31296192809</v>
      </c>
      <c r="C10" s="60" t="n">
        <f aca="false">Acquisitions!C126*'Assumption Setting'!$C$142+Acquisitions!C125*'Assumption Setting'!$C$143</f>
        <v>11.8846372922727</v>
      </c>
      <c r="D10" s="60" t="n">
        <f aca="false">Acquisitions!D126*'Assumption Setting'!$C$142+Acquisitions!D125*'Assumption Setting'!$C$143</f>
        <v>46.6863216857593</v>
      </c>
      <c r="E10" s="60" t="n">
        <f aca="false">Acquisitions!E126*'Assumption Setting'!$C$142+Acquisitions!E125*'Assumption Setting'!$C$143</f>
        <v>92.0277108491232</v>
      </c>
      <c r="F10" s="60" t="n">
        <f aca="false">Acquisitions!F126*'Assumption Setting'!$C$142+Acquisitions!F125*'Assumption Setting'!$C$143</f>
        <v>136.480503210292</v>
      </c>
      <c r="G10" s="60" t="n">
        <f aca="false">Acquisitions!G126*'Assumption Setting'!$C$142+Acquisitions!G125*'Assumption Setting'!$C$143</f>
        <v>180.047287657095</v>
      </c>
      <c r="H10" s="60" t="n">
        <f aca="false">Acquisitions!H126*'Assumption Setting'!$C$142+Acquisitions!H125*'Assumption Setting'!$C$143</f>
        <v>222.63708993713</v>
      </c>
      <c r="I10" s="60" t="n">
        <f aca="false">Acquisitions!I126*'Assumption Setting'!$C$142+Acquisitions!I125*'Assumption Setting'!$C$143</f>
        <v>264.257079503031</v>
      </c>
      <c r="J10" s="60" t="n">
        <f aca="false">Acquisitions!J126*'Assumption Setting'!$C$142+Acquisitions!J125*'Assumption Setting'!$C$143</f>
        <v>304.915693463616</v>
      </c>
      <c r="K10" s="60" t="n">
        <f aca="false">Acquisitions!K126*'Assumption Setting'!$C$142+Acquisitions!K125*'Assumption Setting'!$C$143</f>
        <v>344.622500609062</v>
      </c>
      <c r="L10" s="60" t="n">
        <f aca="false">Acquisitions!L126*'Assumption Setting'!$C$142+Acquisitions!L125*'Assumption Setting'!$C$143</f>
        <v>383.388075932162</v>
      </c>
      <c r="M10" s="60" t="n">
        <f aca="false">Acquisitions!M126*'Assumption Setting'!$C$142+Acquisitions!M125*'Assumption Setting'!$C$143</f>
        <v>421.223884912097</v>
      </c>
      <c r="N10" s="60" t="n">
        <f aca="false">Acquisitions!N126*'Assumption Setting'!$C$142+Acquisitions!N125*'Assumption Setting'!$C$143</f>
        <v>458.142176876453</v>
      </c>
      <c r="O10" s="59" t="n">
        <f aca="false">SUM(P10:AA10)</f>
        <v>12499.2804892434</v>
      </c>
      <c r="P10" s="60" t="n">
        <f aca="false">Acquisitions!P126*'Assumption Setting'!$C$142+Acquisitions!P125*'Assumption Setting'!$C$143</f>
        <v>511.486754843584</v>
      </c>
      <c r="Q10" s="60" t="n">
        <f aca="false">Acquisitions!Q126*'Assumption Setting'!$C$142+Acquisitions!Q125*'Assumption Setting'!$C$143</f>
        <v>598.499089347671</v>
      </c>
      <c r="R10" s="60" t="n">
        <f aca="false">Acquisitions!R126*'Assumption Setting'!$C$142+Acquisitions!R125*'Assumption Setting'!$C$143</f>
        <v>701.488921205425</v>
      </c>
      <c r="S10" s="60" t="n">
        <f aca="false">Acquisitions!S126*'Assumption Setting'!$C$142+Acquisitions!S125*'Assumption Setting'!$C$143</f>
        <v>802.979524959965</v>
      </c>
      <c r="T10" s="60" t="n">
        <f aca="false">Acquisitions!T126*'Assumption Setting'!$C$142+Acquisitions!T125*'Assumption Setting'!$C$143</f>
        <v>902.958984845853</v>
      </c>
      <c r="U10" s="60" t="n">
        <f aca="false">Acquisitions!U126*'Assumption Setting'!$C$142+Acquisitions!U125*'Assumption Setting'!$C$143</f>
        <v>1001.29503912618</v>
      </c>
      <c r="V10" s="60" t="n">
        <f aca="false">Acquisitions!V126*'Assumption Setting'!$C$142+Acquisitions!V125*'Assumption Setting'!$C$143</f>
        <v>1097.98339258375</v>
      </c>
      <c r="W10" s="60" t="n">
        <f aca="false">Acquisitions!W126*'Assumption Setting'!$C$142+Acquisitions!W125*'Assumption Setting'!$C$143</f>
        <v>1193.02239919933</v>
      </c>
      <c r="X10" s="60" t="n">
        <f aca="false">Acquisitions!X126*'Assumption Setting'!$C$142+Acquisitions!X125*'Assumption Setting'!$C$143</f>
        <v>1286.41285314246</v>
      </c>
      <c r="Y10" s="60" t="n">
        <f aca="false">Acquisitions!Y126*'Assumption Setting'!$C$142+Acquisitions!Y125*'Assumption Setting'!$C$143</f>
        <v>1378.15779299408</v>
      </c>
      <c r="Z10" s="60" t="n">
        <f aca="false">Acquisitions!Z126*'Assumption Setting'!$C$142+Acquisitions!Z125*'Assumption Setting'!$C$143</f>
        <v>1468.26231842184</v>
      </c>
      <c r="AA10" s="60" t="n">
        <f aca="false">Acquisitions!AA126*'Assumption Setting'!$C$142+Acquisitions!AA125*'Assumption Setting'!$C$143</f>
        <v>1556.73341857331</v>
      </c>
      <c r="AB10" s="59" t="n">
        <f aca="false">SUM(AC10:AN10)</f>
        <v>31346.1567180288</v>
      </c>
      <c r="AC10" s="60" t="n">
        <f aca="false">Acquisitions!AC126*'Assumption Setting'!$C$142+Acquisitions!AC125*'Assumption Setting'!$C$143</f>
        <v>1667.50087642256</v>
      </c>
      <c r="AD10" s="60" t="n">
        <f aca="false">Acquisitions!AD126*'Assumption Setting'!$C$142+Acquisitions!AD125*'Assumption Setting'!$C$143</f>
        <v>1825.6537601764</v>
      </c>
      <c r="AE10" s="60" t="n">
        <f aca="false">Acquisitions!AE126*'Assumption Setting'!$C$142+Acquisitions!AE125*'Assumption Setting'!$C$143</f>
        <v>2006.93572765493</v>
      </c>
      <c r="AF10" s="60" t="n">
        <f aca="false">Acquisitions!AF126*'Assumption Setting'!$C$142+Acquisitions!AF125*'Assumption Setting'!$C$143</f>
        <v>2186.07709288229</v>
      </c>
      <c r="AG10" s="60" t="n">
        <f aca="false">Acquisitions!AG126*'Assumption Setting'!$C$142+Acquisitions!AG125*'Assumption Setting'!$C$143</f>
        <v>2363.04987439009</v>
      </c>
      <c r="AH10" s="60" t="n">
        <f aca="false">Acquisitions!AH126*'Assumption Setting'!$C$142+Acquisitions!AH125*'Assumption Setting'!$C$143</f>
        <v>2537.66646765634</v>
      </c>
      <c r="AI10" s="60" t="n">
        <f aca="false">Acquisitions!AI126*'Assumption Setting'!$C$142+Acquisitions!AI125*'Assumption Setting'!$C$143</f>
        <v>2709.90942557962</v>
      </c>
      <c r="AJ10" s="60" t="n">
        <f aca="false">Acquisitions!AJ126*'Assumption Setting'!$C$142+Acquisitions!AJ125*'Assumption Setting'!$C$143</f>
        <v>2879.76521021053</v>
      </c>
      <c r="AK10" s="60" t="n">
        <f aca="false">Acquisitions!AK126*'Assumption Setting'!$C$142+Acquisitions!AK125*'Assumption Setting'!$C$143</f>
        <v>3047.22392406588</v>
      </c>
      <c r="AL10" s="60" t="n">
        <f aca="false">Acquisitions!AL126*'Assumption Setting'!$C$142+Acquisitions!AL125*'Assumption Setting'!$C$143</f>
        <v>3212.27905684633</v>
      </c>
      <c r="AM10" s="60" t="n">
        <f aca="false">Acquisitions!AM126*'Assumption Setting'!$C$142+Acquisitions!AM125*'Assumption Setting'!$C$143</f>
        <v>3374.927246725</v>
      </c>
      <c r="AN10" s="60" t="n">
        <f aca="false">Acquisitions!AN126*'Assumption Setting'!$C$142+Acquisitions!AN125*'Assumption Setting'!$C$143</f>
        <v>3535.16805541886</v>
      </c>
      <c r="AO10" s="59" t="n">
        <f aca="false">SUM(AP10:BA10)</f>
        <v>60665.7231935977</v>
      </c>
      <c r="AP10" s="60" t="n">
        <f aca="false">Acquisitions!AP126*'Assumption Setting'!$C$142+Acquisitions!AP125*'Assumption Setting'!$C$143</f>
        <v>3717.65016421909</v>
      </c>
      <c r="AQ10" s="60" t="n">
        <f aca="false">Acquisitions!AQ126*'Assumption Setting'!$C$142+Acquisitions!AQ125*'Assumption Setting'!$C$143</f>
        <v>3948.50049675987</v>
      </c>
      <c r="AR10" s="60" t="n">
        <f aca="false">Acquisitions!AR126*'Assumption Setting'!$C$142+Acquisitions!AR125*'Assumption Setting'!$C$143</f>
        <v>4202.83990245495</v>
      </c>
      <c r="AS10" s="60" t="n">
        <f aca="false">Acquisitions!AS126*'Assumption Setting'!$C$142+Acquisitions!AS125*'Assumption Setting'!$C$143</f>
        <v>4454.43127139971</v>
      </c>
      <c r="AT10" s="60" t="n">
        <f aca="false">Acquisitions!AT126*'Assumption Setting'!$C$142+Acquisitions!AT125*'Assumption Setting'!$C$143</f>
        <v>4703.2401962003</v>
      </c>
      <c r="AU10" s="60" t="n">
        <f aca="false">Acquisitions!AU126*'Assumption Setting'!$C$142+Acquisitions!AU125*'Assumption Setting'!$C$143</f>
        <v>4949.09864916566</v>
      </c>
      <c r="AV10" s="60" t="n">
        <f aca="false">Acquisitions!AV126*'Assumption Setting'!$C$142+Acquisitions!AV125*'Assumption Setting'!$C$143</f>
        <v>5191.98316947227</v>
      </c>
      <c r="AW10" s="60" t="n">
        <f aca="false">Acquisitions!AW126*'Assumption Setting'!$C$142+Acquisitions!AW125*'Assumption Setting'!$C$143</f>
        <v>5431.87464564948</v>
      </c>
      <c r="AX10" s="60" t="n">
        <f aca="false">Acquisitions!AX126*'Assumption Setting'!$C$142+Acquisitions!AX125*'Assumption Setting'!$C$143</f>
        <v>5668.75804251011</v>
      </c>
      <c r="AY10" s="60" t="n">
        <f aca="false">Acquisitions!AY126*'Assumption Setting'!$C$142+Acquisitions!AY125*'Assumption Setting'!$C$143</f>
        <v>5902.62214248269</v>
      </c>
      <c r="AZ10" s="60" t="n">
        <f aca="false">Acquisitions!AZ126*'Assumption Setting'!$C$142+Acquisitions!AZ125*'Assumption Setting'!$C$143</f>
        <v>6133.45930062775</v>
      </c>
      <c r="BA10" s="60" t="n">
        <f aca="false">Acquisitions!BA126*'Assumption Setting'!$C$142+Acquisitions!BA125*'Assumption Setting'!$C$143</f>
        <v>6361.26521265581</v>
      </c>
      <c r="BB10" s="59" t="n">
        <f aca="false">SUM(BC10:BN10)</f>
        <v>98102.7032270128</v>
      </c>
      <c r="BC10" s="60" t="n">
        <f aca="false">Acquisitions!BC126*'Assumption Setting'!$C$142+Acquisitions!BC125*'Assumption Setting'!$C$143</f>
        <v>6607.23484090742</v>
      </c>
      <c r="BD10" s="60" t="n">
        <f aca="false">Acquisitions!BD126*'Assumption Setting'!$C$142+Acquisitions!BD125*'Assumption Setting'!$C$143</f>
        <v>6888.33989971221</v>
      </c>
      <c r="BE10" s="60" t="n">
        <f aca="false">Acquisitions!BE126*'Assumption Setting'!$C$142+Acquisitions!BE125*'Assumption Setting'!$C$143</f>
        <v>7183.38019102763</v>
      </c>
      <c r="BF10" s="60" t="n">
        <f aca="false">Acquisitions!BF126*'Assumption Setting'!$C$142+Acquisitions!BF125*'Assumption Setting'!$C$143</f>
        <v>7475.49222422195</v>
      </c>
      <c r="BG10" s="60" t="n">
        <f aca="false">Acquisitions!BG126*'Assumption Setting'!$C$142+Acquisitions!BG125*'Assumption Setting'!$C$143</f>
        <v>7764.64095564156</v>
      </c>
      <c r="BH10" s="60" t="n">
        <f aca="false">Acquisitions!BH126*'Assumption Setting'!$C$142+Acquisitions!BH125*'Assumption Setting'!$C$143</f>
        <v>8050.66574197167</v>
      </c>
      <c r="BI10" s="60" t="n">
        <f aca="false">Acquisitions!BI126*'Assumption Setting'!$C$142+Acquisitions!BI125*'Assumption Setting'!$C$143</f>
        <v>8333.54175456721</v>
      </c>
      <c r="BJ10" s="60" t="n">
        <f aca="false">Acquisitions!BJ126*'Assumption Setting'!$C$142+Acquisitions!BJ125*'Assumption Setting'!$C$143</f>
        <v>8613.24832321015</v>
      </c>
      <c r="BK10" s="60" t="n">
        <f aca="false">Acquisitions!BK126*'Assumption Setting'!$C$142+Acquisitions!BK125*'Assumption Setting'!$C$143</f>
        <v>8889.76869022126</v>
      </c>
      <c r="BL10" s="60" t="n">
        <f aca="false">Acquisitions!BL126*'Assumption Setting'!$C$142+Acquisitions!BL125*'Assumption Setting'!$C$143</f>
        <v>9163.08977682255</v>
      </c>
      <c r="BM10" s="60" t="n">
        <f aca="false">Acquisitions!BM126*'Assumption Setting'!$C$142+Acquisitions!BM125*'Assumption Setting'!$C$143</f>
        <v>9433.20196117407</v>
      </c>
      <c r="BN10" s="60" t="n">
        <f aca="false">Acquisitions!BN126*'Assumption Setting'!$C$142+Acquisitions!BN125*'Assumption Setting'!$C$143</f>
        <v>9700.09886753512</v>
      </c>
    </row>
    <row r="11" customFormat="false" ht="15" hidden="false" customHeight="false" outlineLevel="0" collapsed="false">
      <c r="A11" s="4" t="s">
        <v>916</v>
      </c>
      <c r="B11" s="59" t="n">
        <f aca="false">SUM(C11:N11)</f>
        <v>1423.97104858988</v>
      </c>
      <c r="C11" s="60" t="n">
        <f aca="false">Acquisitions!C125*'Assumption Setting'!$C$144</f>
        <v>0</v>
      </c>
      <c r="D11" s="60" t="n">
        <f aca="false">Acquisitions!D125*'Assumption Setting'!$C$144</f>
        <v>11.8526517117515</v>
      </c>
      <c r="E11" s="60" t="n">
        <f aca="false">Acquisitions!E125*'Assumption Setting'!$C$144</f>
        <v>35.5454528176636</v>
      </c>
      <c r="F11" s="60" t="n">
        <f aca="false">Acquisitions!F125*'Assumption Setting'!$C$144</f>
        <v>59.3027504087402</v>
      </c>
      <c r="G11" s="60" t="n">
        <f aca="false">Acquisitions!G125*'Assumption Setting'!$C$144</f>
        <v>83.086029843524</v>
      </c>
      <c r="H11" s="60" t="n">
        <f aca="false">Acquisitions!H125*'Assumption Setting'!$C$144</f>
        <v>106.751439754856</v>
      </c>
      <c r="I11" s="60" t="n">
        <f aca="false">Acquisitions!I125*'Assumption Setting'!$C$144</f>
        <v>130.26882443236</v>
      </c>
      <c r="J11" s="60" t="n">
        <f aca="false">Acquisitions!J125*'Assumption Setting'!$C$144</f>
        <v>153.610949531405</v>
      </c>
      <c r="K11" s="60" t="n">
        <f aca="false">Acquisitions!K125*'Assumption Setting'!$C$144</f>
        <v>176.753290124873</v>
      </c>
      <c r="L11" s="60" t="n">
        <f aca="false">Acquisitions!L125*'Assumption Setting'!$C$144</f>
        <v>199.673832921883</v>
      </c>
      <c r="M11" s="60" t="n">
        <f aca="false">Acquisitions!M125*'Assumption Setting'!$C$144</f>
        <v>222.352891731763</v>
      </c>
      <c r="N11" s="60" t="n">
        <f aca="false">Acquisitions!N125*'Assumption Setting'!$C$144</f>
        <v>244.772935311059</v>
      </c>
      <c r="O11" s="59" t="n">
        <f aca="false">SUM(P11:AA11)</f>
        <v>7297.66913702475</v>
      </c>
      <c r="P11" s="60" t="n">
        <f aca="false">Acquisitions!P125*'Assumption Setting'!$C$144</f>
        <v>270.087534401068</v>
      </c>
      <c r="Q11" s="60" t="n">
        <f aca="false">Acquisitions!Q125*'Assumption Setting'!$C$144</f>
        <v>316.663882823059</v>
      </c>
      <c r="R11" s="60" t="n">
        <f aca="false">Acquisitions!R125*'Assumption Setting'!$C$144</f>
        <v>381.464826069077</v>
      </c>
      <c r="S11" s="60" t="n">
        <f aca="false">Acquisitions!S125*'Assumption Setting'!$C$144</f>
        <v>446.351024307532</v>
      </c>
      <c r="T11" s="60" t="n">
        <f aca="false">Acquisitions!T125*'Assumption Setting'!$C$144</f>
        <v>511.247705130451</v>
      </c>
      <c r="U11" s="60" t="n">
        <f aca="false">Acquisitions!U125*'Assumption Setting'!$C$144</f>
        <v>575.944637126035</v>
      </c>
      <c r="V11" s="60" t="n">
        <f aca="false">Acquisitions!V125*'Assumption Setting'!$C$144</f>
        <v>640.379844888358</v>
      </c>
      <c r="W11" s="60" t="n">
        <f aca="false">Acquisitions!W125*'Assumption Setting'!$C$144</f>
        <v>704.496320930282</v>
      </c>
      <c r="X11" s="60" t="n">
        <f aca="false">Acquisitions!X125*'Assumption Setting'!$C$144</f>
        <v>768.241720846749</v>
      </c>
      <c r="Y11" s="60" t="n">
        <f aca="false">Acquisitions!Y125*'Assumption Setting'!$C$144</f>
        <v>831.568075843257</v>
      </c>
      <c r="Z11" s="60" t="n">
        <f aca="false">Acquisitions!Z125*'Assumption Setting'!$C$144</f>
        <v>894.43152166257</v>
      </c>
      <c r="AA11" s="60" t="n">
        <f aca="false">Acquisitions!AA125*'Assumption Setting'!$C$144</f>
        <v>956.792042996317</v>
      </c>
      <c r="AB11" s="59" t="n">
        <f aca="false">SUM(AC11:AN11)</f>
        <v>20534.960755544</v>
      </c>
      <c r="AC11" s="60" t="n">
        <f aca="false">Acquisitions!AC125*'Assumption Setting'!$C$144</f>
        <v>1026.21850719003</v>
      </c>
      <c r="AD11" s="60" t="n">
        <f aca="false">Acquisitions!AD125*'Assumption Setting'!$C$144</f>
        <v>1129.46791719063</v>
      </c>
      <c r="AE11" s="60" t="n">
        <f aca="false">Acquisitions!AE125*'Assumption Setting'!$C$144</f>
        <v>1259.14861503484</v>
      </c>
      <c r="AF11" s="60" t="n">
        <f aca="false">Acquisitions!AF125*'Assumption Setting'!$C$144</f>
        <v>1388.83186902276</v>
      </c>
      <c r="AG11" s="60" t="n">
        <f aca="false">Acquisitions!AG125*'Assumption Setting'!$C$144</f>
        <v>1518.40831323794</v>
      </c>
      <c r="AH11" s="60" t="n">
        <f aca="false">Acquisitions!AH125*'Assumption Setting'!$C$144</f>
        <v>1647.58860084919</v>
      </c>
      <c r="AI11" s="60" t="n">
        <f aca="false">Acquisitions!AI125*'Assumption Setting'!$C$144</f>
        <v>1776.28021880534</v>
      </c>
      <c r="AJ11" s="60" t="n">
        <f aca="false">Acquisitions!AJ125*'Assumption Setting'!$C$144</f>
        <v>1904.39741498037</v>
      </c>
      <c r="AK11" s="60" t="n">
        <f aca="false">Acquisitions!AK125*'Assumption Setting'!$C$144</f>
        <v>2031.86081863488</v>
      </c>
      <c r="AL11" s="60" t="n">
        <f aca="false">Acquisitions!AL125*'Assumption Setting'!$C$144</f>
        <v>2158.59708077153</v>
      </c>
      <c r="AM11" s="60" t="n">
        <f aca="false">Acquisitions!AM125*'Assumption Setting'!$C$144</f>
        <v>2284.53853336075</v>
      </c>
      <c r="AN11" s="60" t="n">
        <f aca="false">Acquisitions!AN125*'Assumption Setting'!$C$144</f>
        <v>2409.6228664657</v>
      </c>
      <c r="AO11" s="59" t="n">
        <f aca="false">SUM(AP11:BA11)</f>
        <v>43487.7597363302</v>
      </c>
      <c r="AP11" s="60" t="n">
        <f aca="false">Acquisitions!AP125*'Assumption Setting'!$C$144</f>
        <v>2546.00540755392</v>
      </c>
      <c r="AQ11" s="60" t="n">
        <f aca="false">Acquisitions!AQ125*'Assumption Setting'!$C$144</f>
        <v>2721.42573873372</v>
      </c>
      <c r="AR11" s="60" t="n">
        <f aca="false">Acquisitions!AR125*'Assumption Setting'!$C$144</f>
        <v>2923.85575531814</v>
      </c>
      <c r="AS11" s="60" t="n">
        <f aca="false">Acquisitions!AS125*'Assumption Setting'!$C$144</f>
        <v>3125.81011488934</v>
      </c>
      <c r="AT11" s="60" t="n">
        <f aca="false">Acquisitions!AT125*'Assumption Setting'!$C$144</f>
        <v>3327.16901302773</v>
      </c>
      <c r="AU11" s="60" t="n">
        <f aca="false">Acquisitions!AU125*'Assumption Setting'!$C$144</f>
        <v>3527.66236694948</v>
      </c>
      <c r="AV11" s="60" t="n">
        <f aca="false">Acquisitions!AV125*'Assumption Setting'!$C$144</f>
        <v>3727.18767029229</v>
      </c>
      <c r="AW11" s="60" t="n">
        <f aca="false">Acquisitions!AW125*'Assumption Setting'!$C$144</f>
        <v>3925.64967334141</v>
      </c>
      <c r="AX11" s="60" t="n">
        <f aca="false">Acquisitions!AX125*'Assumption Setting'!$C$144</f>
        <v>4122.96000191441</v>
      </c>
      <c r="AY11" s="60" t="n">
        <f aca="false">Acquisitions!AY125*'Assumption Setting'!$C$144</f>
        <v>4319.03679478981</v>
      </c>
      <c r="AZ11" s="60" t="n">
        <f aca="false">Acquisitions!AZ125*'Assumption Setting'!$C$144</f>
        <v>4513.80435879655</v>
      </c>
      <c r="BA11" s="60" t="n">
        <f aca="false">Acquisitions!BA125*'Assumption Setting'!$C$144</f>
        <v>4707.19284072341</v>
      </c>
      <c r="BB11" s="59" t="n">
        <f aca="false">SUM(BC11:BN11)</f>
        <v>74709.6421499188</v>
      </c>
      <c r="BC11" s="60" t="n">
        <f aca="false">Acquisitions!BC125*'Assumption Setting'!$C$144</f>
        <v>4908.50978403545</v>
      </c>
      <c r="BD11" s="60" t="n">
        <f aca="false">Acquisitions!BD125*'Assumption Setting'!$C$144</f>
        <v>5136.03013001763</v>
      </c>
      <c r="BE11" s="60" t="n">
        <f aca="false">Acquisitions!BE125*'Assumption Setting'!$C$144</f>
        <v>5380.75179142435</v>
      </c>
      <c r="BF11" s="60" t="n">
        <f aca="false">Acquisitions!BF125*'Assumption Setting'!$C$144</f>
        <v>5624.8269156155</v>
      </c>
      <c r="BG11" s="60" t="n">
        <f aca="false">Acquisitions!BG125*'Assumption Setting'!$C$144</f>
        <v>5868.13661143119</v>
      </c>
      <c r="BH11" s="60" t="n">
        <f aca="false">Acquisitions!BH125*'Assumption Setting'!$C$144</f>
        <v>6110.42074740673</v>
      </c>
      <c r="BI11" s="60" t="n">
        <f aca="false">Acquisitions!BI125*'Assumption Setting'!$C$144</f>
        <v>6351.57664378465</v>
      </c>
      <c r="BJ11" s="60" t="n">
        <f aca="false">Acquisitions!BJ125*'Assumption Setting'!$C$144</f>
        <v>6591.50854297714</v>
      </c>
      <c r="BK11" s="60" t="n">
        <f aca="false">Acquisitions!BK125*'Assumption Setting'!$C$144</f>
        <v>6830.12726519612</v>
      </c>
      <c r="BL11" s="60" t="n">
        <f aca="false">Acquisitions!BL125*'Assumption Setting'!$C$144</f>
        <v>7067.34987993418</v>
      </c>
      <c r="BM11" s="60" t="n">
        <f aca="false">Acquisitions!BM125*'Assumption Setting'!$C$144</f>
        <v>7303.09939258359</v>
      </c>
      <c r="BN11" s="60" t="n">
        <f aca="false">Acquisitions!BN125*'Assumption Setting'!$C$144</f>
        <v>7537.30444551232</v>
      </c>
    </row>
    <row r="12" customFormat="false" ht="15" hidden="false" customHeight="false" outlineLevel="0" collapsed="false">
      <c r="A12" s="4" t="s">
        <v>917</v>
      </c>
      <c r="B12" s="59" t="n">
        <f aca="false">SUM(C12:N12)</f>
        <v>880.631307202258</v>
      </c>
      <c r="C12" s="60" t="n">
        <f aca="false">'Revenue Streams'!C53*'Assumption Setting'!$C$145/'Timeline and FX'!C8</f>
        <v>0</v>
      </c>
      <c r="D12" s="60" t="n">
        <f aca="false">'Revenue Streams'!D53*'Assumption Setting'!$C$145/'Timeline and FX'!D8</f>
        <v>0</v>
      </c>
      <c r="E12" s="60" t="n">
        <f aca="false">'Revenue Streams'!E53*'Assumption Setting'!$C$145/'Timeline and FX'!E8</f>
        <v>0</v>
      </c>
      <c r="F12" s="60" t="n">
        <f aca="false">'Revenue Streams'!F53*'Assumption Setting'!$C$145/'Timeline and FX'!F8</f>
        <v>86.9615296054813</v>
      </c>
      <c r="G12" s="60" t="n">
        <f aca="false">'Revenue Streams'!G53*'Assumption Setting'!$C$145/'Timeline and FX'!G8</f>
        <v>90.0456822098372</v>
      </c>
      <c r="H12" s="60" t="n">
        <f aca="false">'Revenue Streams'!H53*'Assumption Setting'!$C$145/'Timeline and FX'!H8</f>
        <v>92.9639602295221</v>
      </c>
      <c r="I12" s="60" t="n">
        <f aca="false">'Revenue Streams'!I53*'Assumption Setting'!$C$145/'Timeline and FX'!I8</f>
        <v>95.7236661116894</v>
      </c>
      <c r="J12" s="60" t="n">
        <f aca="false">'Revenue Streams'!J53*'Assumption Setting'!$C$145/'Timeline and FX'!J8</f>
        <v>98.3317870988611</v>
      </c>
      <c r="K12" s="60" t="n">
        <f aca="false">'Revenue Streams'!K53*'Assumption Setting'!$C$145/'Timeline and FX'!K8</f>
        <v>100.795008804756</v>
      </c>
      <c r="L12" s="60" t="n">
        <f aca="false">'Revenue Streams'!L53*'Assumption Setting'!$C$145/'Timeline and FX'!L8</f>
        <v>103.119728205556</v>
      </c>
      <c r="M12" s="60" t="n">
        <f aca="false">'Revenue Streams'!M53*'Assumption Setting'!$C$145/'Timeline and FX'!M8</f>
        <v>105.312066071767</v>
      </c>
      <c r="N12" s="60" t="n">
        <f aca="false">'Revenue Streams'!N53*'Assumption Setting'!$C$145/'Timeline and FX'!N8</f>
        <v>107.377878864788</v>
      </c>
      <c r="O12" s="59" t="n">
        <f aca="false">SUM(P12:AA12)</f>
        <v>3102.21890261459</v>
      </c>
      <c r="P12" s="60" t="n">
        <f aca="false">'Revenue Streams'!P53*'Assumption Setting'!$C$145/'Timeline and FX'!P8</f>
        <v>122.300815720704</v>
      </c>
      <c r="Q12" s="60" t="n">
        <f aca="false">'Revenue Streams'!Q53*'Assumption Setting'!$C$145/'Timeline and FX'!Q8</f>
        <v>241.402039314836</v>
      </c>
      <c r="R12" s="60" t="n">
        <f aca="false">'Revenue Streams'!R53*'Assumption Setting'!$C$145/'Timeline and FX'!R8</f>
        <v>248.205852704793</v>
      </c>
      <c r="S12" s="60" t="n">
        <f aca="false">'Revenue Streams'!S53*'Assumption Setting'!$C$145/'Timeline and FX'!S8</f>
        <v>254.935832955631</v>
      </c>
      <c r="T12" s="60" t="n">
        <f aca="false">'Revenue Streams'!T53*'Assumption Setting'!$C$145/'Timeline and FX'!T8</f>
        <v>261.069225567391</v>
      </c>
      <c r="U12" s="60" t="n">
        <f aca="false">'Revenue Streams'!U53*'Assumption Setting'!$C$145/'Timeline and FX'!U8</f>
        <v>266.887907881112</v>
      </c>
      <c r="V12" s="60" t="n">
        <f aca="false">'Revenue Streams'!V53*'Assumption Setting'!$C$145/'Timeline and FX'!V8</f>
        <v>272.404427950918</v>
      </c>
      <c r="W12" s="60" t="n">
        <f aca="false">'Revenue Streams'!W53*'Assumption Setting'!$C$145/'Timeline and FX'!W8</f>
        <v>277.63084666339</v>
      </c>
      <c r="X12" s="60" t="n">
        <f aca="false">'Revenue Streams'!X53*'Assumption Setting'!$C$145/'Timeline and FX'!X8</f>
        <v>282.578756589655</v>
      </c>
      <c r="Y12" s="60" t="n">
        <f aca="false">'Revenue Streams'!Y53*'Assumption Setting'!$C$145/'Timeline and FX'!Y8</f>
        <v>287.259300108259</v>
      </c>
      <c r="Z12" s="60" t="n">
        <f aca="false">'Revenue Streams'!Z53*'Assumption Setting'!$C$145/'Timeline and FX'!Z8</f>
        <v>291.683186827004</v>
      </c>
      <c r="AA12" s="60" t="n">
        <f aca="false">'Revenue Streams'!AA53*'Assumption Setting'!$C$145/'Timeline and FX'!AA8</f>
        <v>295.860710330893</v>
      </c>
      <c r="AB12" s="59" t="n">
        <f aca="false">SUM(AC12:AN12)</f>
        <v>6288.71892273823</v>
      </c>
      <c r="AC12" s="60" t="n">
        <f aca="false">'Revenue Streams'!AC53*'Assumption Setting'!$C$145/'Timeline and FX'!AC8</f>
        <v>331.752383375662</v>
      </c>
      <c r="AD12" s="60" t="n">
        <f aca="false">'Revenue Streams'!AD53*'Assumption Setting'!$C$145/'Timeline and FX'!AD8</f>
        <v>497.119011949427</v>
      </c>
      <c r="AE12" s="60" t="n">
        <f aca="false">'Revenue Streams'!AE53*'Assumption Setting'!$C$145/'Timeline and FX'!AE8</f>
        <v>507.367582168144</v>
      </c>
      <c r="AF12" s="60" t="n">
        <f aca="false">'Revenue Streams'!AF53*'Assumption Setting'!$C$145/'Timeline and FX'!AF8</f>
        <v>517.442670739104</v>
      </c>
      <c r="AG12" s="60" t="n">
        <f aca="false">'Revenue Streams'!AG53*'Assumption Setting'!$C$145/'Timeline and FX'!AG8</f>
        <v>526.690823888625</v>
      </c>
      <c r="AH12" s="60" t="n">
        <f aca="false">'Revenue Streams'!AH53*'Assumption Setting'!$C$145/'Timeline and FX'!AH8</f>
        <v>535.467593066146</v>
      </c>
      <c r="AI12" s="60" t="n">
        <f aca="false">'Revenue Streams'!AI53*'Assumption Setting'!$C$145/'Timeline and FX'!AI8</f>
        <v>543.790742839939</v>
      </c>
      <c r="AJ12" s="60" t="n">
        <f aca="false">'Revenue Streams'!AJ53*'Assumption Setting'!$C$145/'Timeline and FX'!AJ8</f>
        <v>551.677389900572</v>
      </c>
      <c r="AK12" s="60" t="n">
        <f aca="false">'Revenue Streams'!AK53*'Assumption Setting'!$C$145/'Timeline and FX'!AK8</f>
        <v>559.144026588404</v>
      </c>
      <c r="AL12" s="60" t="n">
        <f aca="false">'Revenue Streams'!AL53*'Assumption Setting'!$C$145/'Timeline and FX'!AL8</f>
        <v>566.206543567176</v>
      </c>
      <c r="AM12" s="60" t="n">
        <f aca="false">'Revenue Streams'!AM53*'Assumption Setting'!$C$145/'Timeline and FX'!AM8</f>
        <v>572.880251674676</v>
      </c>
      <c r="AN12" s="60" t="n">
        <f aca="false">'Revenue Streams'!AN53*'Assumption Setting'!$C$145/'Timeline and FX'!AN8</f>
        <v>579.17990298036</v>
      </c>
      <c r="AO12" s="59" t="n">
        <f aca="false">SUM(AP12:BA12)</f>
        <v>9924.77651358863</v>
      </c>
      <c r="AP12" s="60" t="n">
        <f aca="false">'Revenue Streams'!AP53*'Assumption Setting'!$C$145/'Timeline and FX'!AP8</f>
        <v>631.216344042127</v>
      </c>
      <c r="AQ12" s="60" t="n">
        <f aca="false">'Revenue Streams'!AQ53*'Assumption Setting'!$C$145/'Timeline and FX'!AQ8</f>
        <v>795.387490037238</v>
      </c>
      <c r="AR12" s="60" t="n">
        <f aca="false">'Revenue Streams'!AR53*'Assumption Setting'!$C$145/'Timeline and FX'!AR8</f>
        <v>806.892728633282</v>
      </c>
      <c r="AS12" s="60" t="n">
        <f aca="false">'Revenue Streams'!AS53*'Assumption Setting'!$C$145/'Timeline and FX'!AS8</f>
        <v>818.073472551691</v>
      </c>
      <c r="AT12" s="60" t="n">
        <f aca="false">'Revenue Streams'!AT53*'Assumption Setting'!$C$145/'Timeline and FX'!AT8</f>
        <v>828.415602276668</v>
      </c>
      <c r="AU12" s="60" t="n">
        <f aca="false">'Revenue Streams'!AU53*'Assumption Setting'!$C$145/'Timeline and FX'!AU8</f>
        <v>838.208428699447</v>
      </c>
      <c r="AV12" s="60" t="n">
        <f aca="false">'Revenue Streams'!AV53*'Assumption Setting'!$C$145/'Timeline and FX'!AV8</f>
        <v>847.472033774304</v>
      </c>
      <c r="AW12" s="60" t="n">
        <f aca="false">'Revenue Streams'!AW53*'Assumption Setting'!$C$145/'Timeline and FX'!AW8</f>
        <v>856.22579422149</v>
      </c>
      <c r="AX12" s="60" t="n">
        <f aca="false">'Revenue Streams'!AX53*'Assumption Setting'!$C$145/'Timeline and FX'!AX8</f>
        <v>864.488406159677</v>
      </c>
      <c r="AY12" s="60" t="n">
        <f aca="false">'Revenue Streams'!AY53*'Assumption Setting'!$C$145/'Timeline and FX'!AY8</f>
        <v>872.277908878688</v>
      </c>
      <c r="AZ12" s="60" t="n">
        <f aca="false">'Revenue Streams'!AZ53*'Assumption Setting'!$C$145/'Timeline and FX'!AZ8</f>
        <v>879.611707782504</v>
      </c>
      <c r="BA12" s="60" t="n">
        <f aca="false">'Revenue Streams'!BA53*'Assumption Setting'!$C$145/'Timeline and FX'!BA8</f>
        <v>886.506596531518</v>
      </c>
      <c r="BB12" s="59" t="n">
        <f aca="false">SUM(BC12:BN12)</f>
        <v>12537.4001788809</v>
      </c>
      <c r="BC12" s="60" t="n">
        <f aca="false">'Revenue Streams'!BC53*'Assumption Setting'!$C$145/'Timeline and FX'!BC8</f>
        <v>909.276862950649</v>
      </c>
      <c r="BD12" s="60" t="n">
        <f aca="false">'Revenue Streams'!BD53*'Assumption Setting'!$C$145/'Timeline and FX'!BD8</f>
        <v>1013.47084553489</v>
      </c>
      <c r="BE12" s="60" t="n">
        <f aca="false">'Revenue Streams'!BE53*'Assumption Setting'!$C$145/'Timeline and FX'!BE8</f>
        <v>1023.73614909399</v>
      </c>
      <c r="BF12" s="60" t="n">
        <f aca="false">'Revenue Streams'!BF53*'Assumption Setting'!$C$145/'Timeline and FX'!BF8</f>
        <v>1033.67428872176</v>
      </c>
      <c r="BG12" s="60" t="n">
        <f aca="false">'Revenue Streams'!BG53*'Assumption Setting'!$C$145/'Timeline and FX'!BG8</f>
        <v>1042.8302589364</v>
      </c>
      <c r="BH12" s="60" t="n">
        <f aca="false">'Revenue Streams'!BH53*'Assumption Setting'!$C$145/'Timeline and FX'!BH8</f>
        <v>1051.46171434875</v>
      </c>
      <c r="BI12" s="60" t="n">
        <f aca="false">'Revenue Streams'!BI53*'Assumption Setting'!$C$145/'Timeline and FX'!BI8</f>
        <v>1059.58747445184</v>
      </c>
      <c r="BJ12" s="60" t="n">
        <f aca="false">'Revenue Streams'!BJ53*'Assumption Setting'!$C$145/'Timeline and FX'!BJ8</f>
        <v>1067.22571568658</v>
      </c>
      <c r="BK12" s="60" t="n">
        <f aca="false">'Revenue Streams'!BK53*'Assumption Setting'!$C$145/'Timeline and FX'!BK8</f>
        <v>1074.39399326712</v>
      </c>
      <c r="BL12" s="60" t="n">
        <f aca="false">'Revenue Streams'!BL53*'Assumption Setting'!$C$145/'Timeline and FX'!BL8</f>
        <v>1081.10926226629</v>
      </c>
      <c r="BM12" s="60" t="n">
        <f aca="false">'Revenue Streams'!BM53*'Assumption Setting'!$C$145/'Timeline and FX'!BM8</f>
        <v>1087.38789798595</v>
      </c>
      <c r="BN12" s="60" t="n">
        <f aca="false">'Revenue Streams'!BN53*'Assumption Setting'!$C$145/'Timeline and FX'!BN8</f>
        <v>1093.24571563672</v>
      </c>
    </row>
    <row r="13" customFormat="false" ht="15" hidden="false" customHeight="false" outlineLevel="0" collapsed="false">
      <c r="A13" s="4" t="s">
        <v>918</v>
      </c>
      <c r="B13" s="59" t="n">
        <f aca="false">SUM(C13:N13)</f>
        <v>0</v>
      </c>
      <c r="C13" s="60" t="n">
        <f aca="false">'Revenue Streams'!C59*'Assumption Setting'!$C$146</f>
        <v>0</v>
      </c>
      <c r="D13" s="60" t="n">
        <f aca="false">'Revenue Streams'!D59*'Assumption Setting'!$C$146</f>
        <v>0</v>
      </c>
      <c r="E13" s="60" t="n">
        <f aca="false">'Revenue Streams'!E59*'Assumption Setting'!$C$146</f>
        <v>0</v>
      </c>
      <c r="F13" s="60" t="n">
        <f aca="false">'Revenue Streams'!F59*'Assumption Setting'!$C$146</f>
        <v>0</v>
      </c>
      <c r="G13" s="60" t="n">
        <f aca="false">'Revenue Streams'!G59*'Assumption Setting'!$C$146</f>
        <v>0</v>
      </c>
      <c r="H13" s="60" t="n">
        <f aca="false">'Revenue Streams'!H59*'Assumption Setting'!$C$146</f>
        <v>0</v>
      </c>
      <c r="I13" s="60" t="n">
        <f aca="false">'Revenue Streams'!I59*'Assumption Setting'!$C$146</f>
        <v>0</v>
      </c>
      <c r="J13" s="60" t="n">
        <f aca="false">'Revenue Streams'!J59*'Assumption Setting'!$C$146</f>
        <v>0</v>
      </c>
      <c r="K13" s="60" t="n">
        <f aca="false">'Revenue Streams'!K59*'Assumption Setting'!$C$146</f>
        <v>0</v>
      </c>
      <c r="L13" s="60" t="n">
        <f aca="false">'Revenue Streams'!L59*'Assumption Setting'!$C$146</f>
        <v>0</v>
      </c>
      <c r="M13" s="60" t="n">
        <f aca="false">'Revenue Streams'!M59*'Assumption Setting'!$C$146</f>
        <v>0</v>
      </c>
      <c r="N13" s="60" t="n">
        <f aca="false">'Revenue Streams'!N59*'Assumption Setting'!$C$146</f>
        <v>0</v>
      </c>
      <c r="O13" s="59" t="n">
        <f aca="false">SUM(P13:AA13)</f>
        <v>1470.59914398561</v>
      </c>
      <c r="P13" s="60" t="n">
        <f aca="false">'Revenue Streams'!P59*'Assumption Setting'!$C$146</f>
        <v>0</v>
      </c>
      <c r="Q13" s="60" t="n">
        <f aca="false">'Revenue Streams'!Q59*'Assumption Setting'!$C$146</f>
        <v>0</v>
      </c>
      <c r="R13" s="60" t="n">
        <f aca="false">'Revenue Streams'!R59*'Assumption Setting'!$C$146</f>
        <v>0</v>
      </c>
      <c r="S13" s="60" t="n">
        <f aca="false">'Revenue Streams'!S59*'Assumption Setting'!$C$146</f>
        <v>0</v>
      </c>
      <c r="T13" s="60" t="n">
        <f aca="false">'Revenue Streams'!T59*'Assumption Setting'!$C$146</f>
        <v>0</v>
      </c>
      <c r="U13" s="60" t="n">
        <f aca="false">'Revenue Streams'!U59*'Assumption Setting'!$C$146</f>
        <v>0</v>
      </c>
      <c r="V13" s="60" t="n">
        <f aca="false">'Revenue Streams'!V59*'Assumption Setting'!$C$146</f>
        <v>198.978156586992</v>
      </c>
      <c r="W13" s="60" t="n">
        <f aca="false">'Revenue Streams'!W59*'Assumption Setting'!$C$146</f>
        <v>217.840013776876</v>
      </c>
      <c r="X13" s="60" t="n">
        <f aca="false">'Revenue Streams'!X59*'Assumption Setting'!$C$146</f>
        <v>236.400283435094</v>
      </c>
      <c r="Y13" s="60" t="n">
        <f aca="false">'Revenue Streams'!Y59*'Assumption Setting'!$C$146</f>
        <v>254.647308597491</v>
      </c>
      <c r="Z13" s="60" t="n">
        <f aca="false">'Revenue Streams'!Z59*'Assumption Setting'!$C$146</f>
        <v>272.570942763243</v>
      </c>
      <c r="AA13" s="60" t="n">
        <f aca="false">'Revenue Streams'!AA59*'Assumption Setting'!$C$146</f>
        <v>290.162438825916</v>
      </c>
      <c r="AB13" s="59" t="n">
        <f aca="false">SUM(AC13:AN13)</f>
        <v>7880.2924488198</v>
      </c>
      <c r="AC13" s="60" t="n">
        <f aca="false">'Revenue Streams'!AC59*'Assumption Setting'!$C$146</f>
        <v>406.162009998235</v>
      </c>
      <c r="AD13" s="60" t="n">
        <f aca="false">'Revenue Streams'!AD59*'Assumption Setting'!$C$146</f>
        <v>444.861205209649</v>
      </c>
      <c r="AE13" s="60" t="n">
        <f aca="false">'Revenue Streams'!AE59*'Assumption Setting'!$C$146</f>
        <v>493.535963655295</v>
      </c>
      <c r="AF13" s="60" t="n">
        <f aca="false">'Revenue Streams'!AF59*'Assumption Setting'!$C$146</f>
        <v>541.729722538817</v>
      </c>
      <c r="AG13" s="60" t="n">
        <f aca="false">'Revenue Streams'!AG59*'Assumption Setting'!$C$146</f>
        <v>589.403542036853</v>
      </c>
      <c r="AH13" s="60" t="n">
        <f aca="false">'Revenue Streams'!AH59*'Assumption Setting'!$C$146</f>
        <v>636.449757034043</v>
      </c>
      <c r="AI13" s="60" t="n">
        <f aca="false">'Revenue Streams'!AI59*'Assumption Setting'!$C$146</f>
        <v>682.838506476871</v>
      </c>
      <c r="AJ13" s="60" t="n">
        <f aca="false">'Revenue Streams'!AJ59*'Assumption Setting'!$C$146</f>
        <v>728.543160729127</v>
      </c>
      <c r="AK13" s="60" t="n">
        <f aca="false">'Revenue Streams'!AK59*'Assumption Setting'!$C$146</f>
        <v>773.540106402391</v>
      </c>
      <c r="AL13" s="60" t="n">
        <f aca="false">'Revenue Streams'!AL59*'Assumption Setting'!$C$146</f>
        <v>817.808543912155</v>
      </c>
      <c r="AM13" s="60" t="n">
        <f aca="false">'Revenue Streams'!AM59*'Assumption Setting'!$C$146</f>
        <v>861.330297035942</v>
      </c>
      <c r="AN13" s="60" t="n">
        <f aca="false">'Revenue Streams'!AN59*'Assumption Setting'!$C$146</f>
        <v>904.089633790416</v>
      </c>
      <c r="AO13" s="59" t="n">
        <f aca="false">SUM(AP13:BA13)</f>
        <v>18849.3283199967</v>
      </c>
      <c r="AP13" s="60" t="n">
        <f aca="false">'Revenue Streams'!AP59*'Assumption Setting'!$C$146</f>
        <v>1136.845300243</v>
      </c>
      <c r="AQ13" s="60" t="n">
        <f aca="false">'Revenue Streams'!AQ59*'Assumption Setting'!$C$146</f>
        <v>1209.28792075384</v>
      </c>
      <c r="AR13" s="60" t="n">
        <f aca="false">'Revenue Streams'!AR59*'Assumption Setting'!$C$146</f>
        <v>1292.94588488248</v>
      </c>
      <c r="AS13" s="60" t="n">
        <f aca="false">'Revenue Streams'!AS59*'Assumption Setting'!$C$146</f>
        <v>1375.55568107547</v>
      </c>
      <c r="AT13" s="60" t="n">
        <f aca="false">'Revenue Streams'!AT59*'Assumption Setting'!$C$146</f>
        <v>1457.07404870818</v>
      </c>
      <c r="AU13" s="60" t="n">
        <f aca="false">'Revenue Streams'!AU59*'Assumption Setting'!$C$146</f>
        <v>1537.39318130837</v>
      </c>
      <c r="AV13" s="60" t="n">
        <f aca="false">'Revenue Streams'!AV59*'Assumption Setting'!$C$146</f>
        <v>1616.48015447964</v>
      </c>
      <c r="AW13" s="60" t="n">
        <f aca="false">'Revenue Streams'!AW59*'Assumption Setting'!$C$146</f>
        <v>1694.30594474092</v>
      </c>
      <c r="AX13" s="60" t="n">
        <f aca="false">'Revenue Streams'!AX59*'Assumption Setting'!$C$146</f>
        <v>1770.84518021502</v>
      </c>
      <c r="AY13" s="60" t="n">
        <f aca="false">'Revenue Streams'!AY59*'Assumption Setting'!$C$146</f>
        <v>1846.07590519985</v>
      </c>
      <c r="AZ13" s="60" t="n">
        <f aca="false">'Revenue Streams'!AZ59*'Assumption Setting'!$C$146</f>
        <v>1919.97935788384</v>
      </c>
      <c r="BA13" s="60" t="n">
        <f aca="false">'Revenue Streams'!BA59*'Assumption Setting'!$C$146</f>
        <v>1992.53976050609</v>
      </c>
      <c r="BB13" s="59" t="n">
        <f aca="false">SUM(BC13:BN13)</f>
        <v>34118.3045653217</v>
      </c>
      <c r="BC13" s="60" t="n">
        <f aca="false">'Revenue Streams'!BC59*'Assumption Setting'!$C$146</f>
        <v>2307.10895404647</v>
      </c>
      <c r="BD13" s="60" t="n">
        <f aca="false">'Revenue Streams'!BD59*'Assumption Setting'!$C$146</f>
        <v>2402.35500108737</v>
      </c>
      <c r="BE13" s="60" t="n">
        <f aca="false">'Revenue Streams'!BE59*'Assumption Setting'!$C$146</f>
        <v>2504.63103967826</v>
      </c>
      <c r="BF13" s="60" t="n">
        <f aca="false">'Revenue Streams'!BF59*'Assumption Setting'!$C$146</f>
        <v>2605.56037246347</v>
      </c>
      <c r="BG13" s="60" t="n">
        <f aca="false">'Revenue Streams'!BG59*'Assumption Setting'!$C$146</f>
        <v>2705.10029059208</v>
      </c>
      <c r="BH13" s="60" t="n">
        <f aca="false">'Revenue Streams'!BH59*'Assumption Setting'!$C$146</f>
        <v>2803.14426077954</v>
      </c>
      <c r="BI13" s="60" t="n">
        <f aca="false">'Revenue Streams'!BI59*'Assumption Setting'!$C$146</f>
        <v>2899.65984305835</v>
      </c>
      <c r="BJ13" s="60" t="n">
        <f aca="false">'Revenue Streams'!BJ59*'Assumption Setting'!$C$146</f>
        <v>2994.61853477399</v>
      </c>
      <c r="BK13" s="60" t="n">
        <f aca="false">'Revenue Streams'!BK59*'Assumption Setting'!$C$146</f>
        <v>3087.99552856038</v>
      </c>
      <c r="BL13" s="60" t="n">
        <f aca="false">'Revenue Streams'!BL59*'Assumption Setting'!$C$146</f>
        <v>3179.7694831799</v>
      </c>
      <c r="BM13" s="60" t="n">
        <f aca="false">'Revenue Streams'!BM59*'Assumption Setting'!$C$146</f>
        <v>3269.92230657673</v>
      </c>
      <c r="BN13" s="60" t="n">
        <f aca="false">'Revenue Streams'!BN59*'Assumption Setting'!$C$146</f>
        <v>3358.43895052513</v>
      </c>
    </row>
    <row r="14" customFormat="false" ht="15" hidden="false" customHeight="false" outlineLevel="0" collapsed="false">
      <c r="A14" s="4" t="s">
        <v>919</v>
      </c>
      <c r="B14" s="59" t="n">
        <f aca="false">SUM(C14:N14)</f>
        <v>826.547970479391</v>
      </c>
      <c r="C14" s="60" t="n">
        <f aca="false">'Revenue Streams'!C68*'Assumption Setting'!$C$151*'Assumption Setting'!$C$152</f>
        <v>0</v>
      </c>
      <c r="D14" s="60" t="n">
        <f aca="false">'Revenue Streams'!D68*'Assumption Setting'!$C$151*'Assumption Setting'!$C$152</f>
        <v>6.59722299222286</v>
      </c>
      <c r="E14" s="60" t="n">
        <f aca="false">'Revenue Streams'!E68*'Assumption Setting'!$C$151*'Assumption Setting'!$C$152</f>
        <v>19.7592901870082</v>
      </c>
      <c r="F14" s="60" t="n">
        <f aca="false">'Revenue Streams'!F68*'Assumption Setting'!$C$151*'Assumption Setting'!$C$152</f>
        <v>33.4115971867419</v>
      </c>
      <c r="G14" s="60" t="n">
        <f aca="false">'Revenue Streams'!G68*'Assumption Setting'!$C$151*'Assumption Setting'!$C$152</f>
        <v>47.5193394964009</v>
      </c>
      <c r="H14" s="60" t="n">
        <f aca="false">'Revenue Streams'!H68*'Assumption Setting'!$C$151*'Assumption Setting'!$C$152</f>
        <v>61.5520698845334</v>
      </c>
      <c r="I14" s="60" t="n">
        <f aca="false">'Revenue Streams'!I68*'Assumption Setting'!$C$151*'Assumption Setting'!$C$152</f>
        <v>75.4916942704421</v>
      </c>
      <c r="J14" s="60" t="n">
        <f aca="false">'Revenue Streams'!J68*'Assumption Setting'!$C$151*'Assumption Setting'!$C$152</f>
        <v>89.3216853187031</v>
      </c>
      <c r="K14" s="60" t="n">
        <f aca="false">'Revenue Streams'!K68*'Assumption Setting'!$C$151*'Assumption Setting'!$C$152</f>
        <v>103.026982414169</v>
      </c>
      <c r="L14" s="60" t="n">
        <f aca="false">'Revenue Streams'!L68*'Assumption Setting'!$C$151*'Assumption Setting'!$C$152</f>
        <v>116.593897476418</v>
      </c>
      <c r="M14" s="60" t="n">
        <f aca="false">'Revenue Streams'!M68*'Assumption Setting'!$C$151*'Assumption Setting'!$C$152</f>
        <v>130.010026280753</v>
      </c>
      <c r="N14" s="60" t="n">
        <f aca="false">'Revenue Streams'!N68*'Assumption Setting'!$C$151*'Assumption Setting'!$C$152</f>
        <v>143.264164971999</v>
      </c>
      <c r="O14" s="59" t="n">
        <f aca="false">SUM(P14:AA14)</f>
        <v>5634.44474749879</v>
      </c>
      <c r="P14" s="60" t="n">
        <f aca="false">'Revenue Streams'!P68*'Assumption Setting'!$D$151*'Assumption Setting'!$C$152</f>
        <v>210.971425953616</v>
      </c>
      <c r="Q14" s="60" t="n">
        <f aca="false">'Revenue Streams'!Q68*'Assumption Setting'!$D$151*'Assumption Setting'!$C$152</f>
        <v>246.228322977403</v>
      </c>
      <c r="R14" s="60" t="n">
        <f aca="false">'Revenue Streams'!R68*'Assumption Setting'!$D$151*'Assumption Setting'!$C$152</f>
        <v>294.700721515454</v>
      </c>
      <c r="S14" s="60" t="n">
        <f aca="false">'Revenue Streams'!S68*'Assumption Setting'!$D$151*'Assumption Setting'!$C$152</f>
        <v>344.01640048334</v>
      </c>
      <c r="T14" s="60" t="n">
        <f aca="false">'Revenue Streams'!T68*'Assumption Setting'!$D$151*'Assumption Setting'!$C$152</f>
        <v>394.098664411646</v>
      </c>
      <c r="U14" s="60" t="n">
        <f aca="false">'Revenue Streams'!U68*'Assumption Setting'!$D$151*'Assumption Setting'!$C$152</f>
        <v>444.053266339786</v>
      </c>
      <c r="V14" s="60" t="n">
        <f aca="false">'Revenue Streams'!V68*'Assumption Setting'!$D$151*'Assumption Setting'!$C$152</f>
        <v>493.83056075062</v>
      </c>
      <c r="W14" s="60" t="n">
        <f aca="false">'Revenue Streams'!W68*'Assumption Setting'!$D$151*'Assumption Setting'!$C$152</f>
        <v>543.384304627576</v>
      </c>
      <c r="X14" s="60" t="n">
        <f aca="false">'Revenue Streams'!X68*'Assumption Setting'!$D$151*'Assumption Setting'!$C$152</f>
        <v>592.671480030496</v>
      </c>
      <c r="Y14" s="60" t="n">
        <f aca="false">'Revenue Streams'!Y68*'Assumption Setting'!$D$151*'Assumption Setting'!$C$152</f>
        <v>641.652125187682</v>
      </c>
      <c r="Z14" s="60" t="n">
        <f aca="false">'Revenue Streams'!Z68*'Assumption Setting'!$D$151*'Assumption Setting'!$C$152</f>
        <v>690.289173705502</v>
      </c>
      <c r="AA14" s="60" t="n">
        <f aca="false">'Revenue Streams'!AA68*'Assumption Setting'!$D$151*'Assumption Setting'!$C$152</f>
        <v>738.548301515673</v>
      </c>
      <c r="AB14" s="59" t="n">
        <f aca="false">SUM(AC14:AN14)</f>
        <v>20181.3631783821</v>
      </c>
      <c r="AC14" s="60" t="n">
        <f aca="false">'Revenue Streams'!AC68*'Assumption Setting'!$E$151*'Assumption Setting'!$C$152</f>
        <v>1016.71546054285</v>
      </c>
      <c r="AD14" s="60" t="n">
        <f aca="false">'Revenue Streams'!AD68*'Assumption Setting'!$E$151*'Assumption Setting'!$C$152</f>
        <v>1116.3501545856</v>
      </c>
      <c r="AE14" s="60" t="n">
        <f aca="false">'Revenue Streams'!AE68*'Assumption Setting'!$E$151*'Assumption Setting'!$C$152</f>
        <v>1239.84307744467</v>
      </c>
      <c r="AF14" s="60" t="n">
        <f aca="false">'Revenue Streams'!AF68*'Assumption Setting'!$E$151*'Assumption Setting'!$C$152</f>
        <v>1364.82075083742</v>
      </c>
      <c r="AG14" s="60" t="n">
        <f aca="false">'Revenue Streams'!AG68*'Assumption Setting'!$E$151*'Assumption Setting'!$C$152</f>
        <v>1491.1413530705</v>
      </c>
      <c r="AH14" s="60" t="n">
        <f aca="false">'Revenue Streams'!AH68*'Assumption Setting'!$E$151*'Assumption Setting'!$C$152</f>
        <v>1617.33541406099</v>
      </c>
      <c r="AI14" s="60" t="n">
        <f aca="false">'Revenue Streams'!AI68*'Assumption Setting'!$E$151*'Assumption Setting'!$C$152</f>
        <v>1743.30336635168</v>
      </c>
      <c r="AJ14" s="60" t="n">
        <f aca="false">'Revenue Streams'!AJ68*'Assumption Setting'!$E$151*'Assumption Setting'!$C$152</f>
        <v>1868.95137680652</v>
      </c>
      <c r="AK14" s="60" t="n">
        <f aca="false">'Revenue Streams'!AK68*'Assumption Setting'!$E$151*'Assumption Setting'!$C$152</f>
        <v>1994.1910857584</v>
      </c>
      <c r="AL14" s="60" t="n">
        <f aca="false">'Revenue Streams'!AL68*'Assumption Setting'!$E$151*'Assumption Setting'!$C$152</f>
        <v>2118.93935735898</v>
      </c>
      <c r="AM14" s="60" t="n">
        <f aca="false">'Revenue Streams'!AM68*'Assumption Setting'!$E$151*'Assumption Setting'!$C$152</f>
        <v>2243.11804065201</v>
      </c>
      <c r="AN14" s="60" t="n">
        <f aca="false">'Revenue Streams'!AN68*'Assumption Setting'!$E$151*'Assumption Setting'!$C$152</f>
        <v>2366.65374091251</v>
      </c>
      <c r="AO14" s="59" t="n">
        <f aca="false">SUM(AP14:BA14)</f>
        <v>48513.6274969129</v>
      </c>
      <c r="AP14" s="60" t="n">
        <f aca="false">'Revenue Streams'!AP68*'Assumption Setting'!$F$151*'Assumption Setting'!$C$152</f>
        <v>2874.53756565385</v>
      </c>
      <c r="AQ14" s="60" t="n">
        <f aca="false">'Revenue Streams'!AQ68*'Assumption Setting'!$F$151*'Assumption Setting'!$C$152</f>
        <v>3064.13852978637</v>
      </c>
      <c r="AR14" s="60" t="n">
        <f aca="false">'Revenue Streams'!AR68*'Assumption Setting'!$F$151*'Assumption Setting'!$C$152</f>
        <v>3280.79132671596</v>
      </c>
      <c r="AS14" s="60" t="n">
        <f aca="false">'Revenue Streams'!AS68*'Assumption Setting'!$F$151*'Assumption Setting'!$C$152</f>
        <v>3498.48259676644</v>
      </c>
      <c r="AT14" s="60" t="n">
        <f aca="false">'Revenue Streams'!AT68*'Assumption Setting'!$F$151*'Assumption Setting'!$C$152</f>
        <v>3717.03944748527</v>
      </c>
      <c r="AU14" s="60" t="n">
        <f aca="false">'Revenue Streams'!AU68*'Assumption Setting'!$F$151*'Assumption Setting'!$C$152</f>
        <v>3935.06594393532</v>
      </c>
      <c r="AV14" s="60" t="n">
        <f aca="false">'Revenue Streams'!AV68*'Assumption Setting'!$F$151*'Assumption Setting'!$C$152</f>
        <v>4152.4306817659</v>
      </c>
      <c r="AW14" s="60" t="n">
        <f aca="false">'Revenue Streams'!AW68*'Assumption Setting'!$F$151*'Assumption Setting'!$C$152</f>
        <v>4369.00941244166</v>
      </c>
      <c r="AX14" s="60" t="n">
        <f aca="false">'Revenue Streams'!AX68*'Assumption Setting'!$F$151*'Assumption Setting'!$C$152</f>
        <v>4584.68474240857</v>
      </c>
      <c r="AY14" s="60" t="n">
        <f aca="false">'Revenue Streams'!AY68*'Assumption Setting'!$F$151*'Assumption Setting'!$C$152</f>
        <v>4799.34584409841</v>
      </c>
      <c r="AZ14" s="60" t="n">
        <f aca="false">'Revenue Streams'!AZ68*'Assumption Setting'!$F$151*'Assumption Setting'!$C$152</f>
        <v>5012.88817831239</v>
      </c>
      <c r="BA14" s="60" t="n">
        <f aca="false">'Revenue Streams'!BA68*'Assumption Setting'!$F$151*'Assumption Setting'!$C$152</f>
        <v>5225.2132275428</v>
      </c>
      <c r="BB14" s="59" t="n">
        <f aca="false">SUM(BC14:BN14)</f>
        <v>93363.658164904</v>
      </c>
      <c r="BC14" s="60" t="n">
        <f aca="false">'Revenue Streams'!BC68*'Assumption Setting'!$G$151*'Assumption Setting'!$C$152</f>
        <v>6180.50688858666</v>
      </c>
      <c r="BD14" s="60" t="n">
        <f aca="false">'Revenue Streams'!BD68*'Assumption Setting'!$G$151*'Assumption Setting'!$C$152</f>
        <v>6457.30565710515</v>
      </c>
      <c r="BE14" s="60" t="n">
        <f aca="false">'Revenue Streams'!BE68*'Assumption Setting'!$G$151*'Assumption Setting'!$C$152</f>
        <v>6751.98233818533</v>
      </c>
      <c r="BF14" s="60" t="n">
        <f aca="false">'Revenue Streams'!BF68*'Assumption Setting'!$G$151*'Assumption Setting'!$C$152</f>
        <v>7047.28619618105</v>
      </c>
      <c r="BG14" s="60" t="n">
        <f aca="false">'Revenue Streams'!BG68*'Assumption Setting'!$G$151*'Assumption Setting'!$C$152</f>
        <v>7343.03555040299</v>
      </c>
      <c r="BH14" s="60" t="n">
        <f aca="false">'Revenue Streams'!BH68*'Assumption Setting'!$G$151*'Assumption Setting'!$C$152</f>
        <v>7637.81083697527</v>
      </c>
      <c r="BI14" s="60" t="n">
        <f aca="false">'Revenue Streams'!BI68*'Assumption Setting'!$G$151*'Assumption Setting'!$C$152</f>
        <v>7931.47105450969</v>
      </c>
      <c r="BJ14" s="60" t="n">
        <f aca="false">'Revenue Streams'!BJ68*'Assumption Setting'!$G$151*'Assumption Setting'!$C$152</f>
        <v>8223.88252366726</v>
      </c>
      <c r="BK14" s="60" t="n">
        <f aca="false">'Revenue Streams'!BK68*'Assumption Setting'!$G$151*'Assumption Setting'!$C$152</f>
        <v>8514.91859738918</v>
      </c>
      <c r="BL14" s="60" t="n">
        <f aca="false">'Revenue Streams'!BL68*'Assumption Setting'!$G$151*'Assumption Setting'!$C$152</f>
        <v>8804.45938187258</v>
      </c>
      <c r="BM14" s="60" t="n">
        <f aca="false">'Revenue Streams'!BM68*'Assumption Setting'!$G$151*'Assumption Setting'!$C$152</f>
        <v>9092.3914678981</v>
      </c>
      <c r="BN14" s="60" t="n">
        <f aca="false">'Revenue Streams'!BN68*'Assumption Setting'!$G$151*'Assumption Setting'!$C$152</f>
        <v>9378.60767213072</v>
      </c>
    </row>
    <row r="15" customFormat="false" ht="15" hidden="false" customHeight="false" outlineLevel="0" collapsed="false">
      <c r="A15" s="4" t="s">
        <v>920</v>
      </c>
      <c r="B15" s="59" t="n">
        <f aca="false">SUM(C15:N15)</f>
        <v>1768.94732555872</v>
      </c>
      <c r="C15" s="60" t="n">
        <f aca="false">'Revenue Streams'!C49*'Assumption Setting'!$C$153</f>
        <v>0</v>
      </c>
      <c r="D15" s="60" t="n">
        <f aca="false">'Revenue Streams'!D49*'Assumption Setting'!$C$153</f>
        <v>14.8918855235368</v>
      </c>
      <c r="E15" s="60" t="n">
        <f aca="false">'Revenue Streams'!E49*'Assumption Setting'!$C$153</f>
        <v>44.5619889021872</v>
      </c>
      <c r="F15" s="60" t="n">
        <f aca="false">'Revenue Streams'!F49*'Assumption Setting'!$C$153</f>
        <v>74.2042951215569</v>
      </c>
      <c r="G15" s="60" t="n">
        <f aca="false">'Revenue Streams'!G49*'Assumption Setting'!$C$153</f>
        <v>103.765009720849</v>
      </c>
      <c r="H15" s="60" t="n">
        <f aca="false">'Revenue Streams'!H49*'Assumption Setting'!$C$153</f>
        <v>133.114289148238</v>
      </c>
      <c r="I15" s="60" t="n">
        <f aca="false">'Revenue Streams'!I49*'Assumption Setting'!$C$153</f>
        <v>162.210646447465</v>
      </c>
      <c r="J15" s="60" t="n">
        <f aca="false">'Revenue Streams'!J49*'Assumption Setting'!$C$153</f>
        <v>191.016380517551</v>
      </c>
      <c r="K15" s="60" t="n">
        <f aca="false">'Revenue Streams'!K49*'Assumption Setting'!$C$153</f>
        <v>219.49733160252</v>
      </c>
      <c r="L15" s="60" t="n">
        <f aca="false">'Revenue Streams'!L49*'Assumption Setting'!$C$153</f>
        <v>247.622650906304</v>
      </c>
      <c r="M15" s="60" t="n">
        <f aca="false">'Revenue Streams'!M49*'Assumption Setting'!$C$153</f>
        <v>275.364583548506</v>
      </c>
      <c r="N15" s="60" t="n">
        <f aca="false">'Revenue Streams'!N49*'Assumption Setting'!$C$153</f>
        <v>302.698264120002</v>
      </c>
      <c r="O15" s="59" t="n">
        <f aca="false">SUM(P15:AA15)</f>
        <v>10740.8745473165</v>
      </c>
      <c r="P15" s="60" t="n">
        <f aca="false">'Revenue Streams'!P49*'Assumption Setting'!$C$153</f>
        <v>403.722694715236</v>
      </c>
      <c r="Q15" s="60" t="n">
        <f aca="false">'Revenue Streams'!Q49*'Assumption Setting'!$C$153</f>
        <v>471.970805610053</v>
      </c>
      <c r="R15" s="60" t="n">
        <f aca="false">'Revenue Streams'!R49*'Assumption Setting'!$C$153</f>
        <v>567.097793808302</v>
      </c>
      <c r="S15" s="60" t="n">
        <f aca="false">'Revenue Streams'!S49*'Assumption Setting'!$C$153</f>
        <v>661.979599929433</v>
      </c>
      <c r="T15" s="60" t="n">
        <f aca="false">'Revenue Streams'!T49*'Assumption Setting'!$C$153</f>
        <v>756.493044132791</v>
      </c>
      <c r="U15" s="60" t="n">
        <f aca="false">'Revenue Streams'!U49*'Assumption Setting'!$C$153</f>
        <v>850.406316136779</v>
      </c>
      <c r="V15" s="60" t="n">
        <f aca="false">'Revenue Streams'!V49*'Assumption Setting'!$C$153</f>
        <v>943.618205924904</v>
      </c>
      <c r="W15" s="60" t="n">
        <f aca="false">'Revenue Streams'!W49*'Assumption Setting'!$C$153</f>
        <v>1036.03531559678</v>
      </c>
      <c r="X15" s="60" t="n">
        <f aca="false">'Revenue Streams'!X49*'Assumption Setting'!$C$153</f>
        <v>1127.57163985728</v>
      </c>
      <c r="Y15" s="60" t="n">
        <f aca="false">'Revenue Streams'!Y49*'Assumption Setting'!$C$153</f>
        <v>1218.14816620938</v>
      </c>
      <c r="Z15" s="60" t="n">
        <f aca="false">'Revenue Streams'!Z49*'Assumption Setting'!$C$153</f>
        <v>1307.69249398795</v>
      </c>
      <c r="AA15" s="60" t="n">
        <f aca="false">'Revenue Streams'!AA49*'Assumption Setting'!$C$153</f>
        <v>1396.13847140762</v>
      </c>
      <c r="AB15" s="59" t="n">
        <f aca="false">SUM(AC15:AN15)</f>
        <v>35367.47210407</v>
      </c>
      <c r="AC15" s="60" t="n">
        <f aca="false">'Revenue Streams'!AC49*'Assumption Setting'!$C$153</f>
        <v>1797.76855847654</v>
      </c>
      <c r="AD15" s="60" t="n">
        <f aca="false">'Revenue Streams'!AD49*'Assumption Setting'!$C$153</f>
        <v>1972.69181609534</v>
      </c>
      <c r="AE15" s="60" t="n">
        <f aca="false">'Revenue Streams'!AE49*'Assumption Setting'!$C$153</f>
        <v>2192.59033093617</v>
      </c>
      <c r="AF15" s="60" t="n">
        <f aca="false">'Revenue Streams'!AF49*'Assumption Setting'!$C$153</f>
        <v>2411.61306499489</v>
      </c>
      <c r="AG15" s="60" t="n">
        <f aca="false">'Revenue Streams'!AG49*'Assumption Setting'!$C$153</f>
        <v>2629.54079596615</v>
      </c>
      <c r="AH15" s="60" t="n">
        <f aca="false">'Revenue Streams'!AH49*'Assumption Setting'!$C$153</f>
        <v>2845.99388304846</v>
      </c>
      <c r="AI15" s="60" t="n">
        <f aca="false">'Revenue Streams'!AI49*'Assumption Setting'!$C$153</f>
        <v>3060.78803143959</v>
      </c>
      <c r="AJ15" s="60" t="n">
        <f aca="false">'Revenue Streams'!AJ49*'Assumption Setting'!$C$153</f>
        <v>3273.75203159582</v>
      </c>
      <c r="AK15" s="60" t="n">
        <f aca="false">'Revenue Streams'!AK49*'Assumption Setting'!$C$153</f>
        <v>3484.7271289774</v>
      </c>
      <c r="AL15" s="60" t="n">
        <f aca="false">'Revenue Streams'!AL49*'Assumption Setting'!$C$153</f>
        <v>3693.56641984805</v>
      </c>
      <c r="AM15" s="60" t="n">
        <f aca="false">'Revenue Streams'!AM49*'Assumption Setting'!$C$153</f>
        <v>3900.13427215368</v>
      </c>
      <c r="AN15" s="60" t="n">
        <f aca="false">'Revenue Streams'!AN49*'Assumption Setting'!$C$153</f>
        <v>4104.30577053794</v>
      </c>
      <c r="AO15" s="59" t="n">
        <f aca="false">SUM(AP15:BA15)</f>
        <v>84618.3684927582</v>
      </c>
      <c r="AP15" s="60" t="n">
        <f aca="false">'Revenue Streams'!AP49*'Assumption Setting'!$C$153</f>
        <v>5054.86901101939</v>
      </c>
      <c r="AQ15" s="60" t="n">
        <f aca="false">'Revenue Streams'!AQ49*'Assumption Setting'!$C$153</f>
        <v>5383.27888676826</v>
      </c>
      <c r="AR15" s="60" t="n">
        <f aca="false">'Revenue Streams'!AR49*'Assumption Setting'!$C$153</f>
        <v>5762.77604610963</v>
      </c>
      <c r="AS15" s="60" t="n">
        <f aca="false">'Revenue Streams'!AS49*'Assumption Setting'!$C$153</f>
        <v>6139.67164114061</v>
      </c>
      <c r="AT15" s="60" t="n">
        <f aca="false">'Revenue Streams'!AT49*'Assumption Setting'!$C$153</f>
        <v>6513.68998082277</v>
      </c>
      <c r="AU15" s="60" t="n">
        <f aca="false">'Revenue Streams'!AU49*'Assumption Setting'!$C$153</f>
        <v>6884.41255351208</v>
      </c>
      <c r="AV15" s="60" t="n">
        <f aca="false">'Revenue Streams'!AV49*'Assumption Setting'!$C$153</f>
        <v>7251.60550666373</v>
      </c>
      <c r="AW15" s="60" t="n">
        <f aca="false">'Revenue Streams'!AW49*'Assumption Setting'!$C$153</f>
        <v>7615.05175734123</v>
      </c>
      <c r="AX15" s="60" t="n">
        <f aca="false">'Revenue Streams'!AX49*'Assumption Setting'!$C$153</f>
        <v>7974.55022275361</v>
      </c>
      <c r="AY15" s="60" t="n">
        <f aca="false">'Revenue Streams'!AY49*'Assumption Setting'!$C$153</f>
        <v>8329.91508055618</v>
      </c>
      <c r="AZ15" s="60" t="n">
        <f aca="false">'Revenue Streams'!AZ49*'Assumption Setting'!$C$153</f>
        <v>8680.97505789169</v>
      </c>
      <c r="BA15" s="60" t="n">
        <f aca="false">'Revenue Streams'!BA49*'Assumption Setting'!$C$153</f>
        <v>9027.57274817907</v>
      </c>
      <c r="BB15" s="59" t="n">
        <f aca="false">SUM(BC15:BN15)</f>
        <v>159549.06148888</v>
      </c>
      <c r="BC15" s="60" t="n">
        <f aca="false">'Revenue Streams'!BC49*'Assumption Setting'!$C$153</f>
        <v>10691.295180348</v>
      </c>
      <c r="BD15" s="60" t="n">
        <f aca="false">'Revenue Streams'!BD49*'Assumption Setting'!$C$153</f>
        <v>11149.6675433103</v>
      </c>
      <c r="BE15" s="60" t="n">
        <f aca="false">'Revenue Streams'!BE49*'Assumption Setting'!$C$153</f>
        <v>11640.4421229678</v>
      </c>
      <c r="BF15" s="60" t="n">
        <f aca="false">'Revenue Streams'!BF49*'Assumption Setting'!$C$153</f>
        <v>12127.0701388257</v>
      </c>
      <c r="BG15" s="60" t="n">
        <f aca="false">'Revenue Streams'!BG49*'Assumption Setting'!$C$153</f>
        <v>12609.2714667327</v>
      </c>
      <c r="BH15" s="60" t="n">
        <f aca="false">'Revenue Streams'!BH49*'Assumption Setting'!$C$153</f>
        <v>13086.6231619335</v>
      </c>
      <c r="BI15" s="60" t="n">
        <f aca="false">'Revenue Streams'!BI49*'Assumption Setting'!$C$153</f>
        <v>13558.8874470029</v>
      </c>
      <c r="BJ15" s="60" t="n">
        <f aca="false">'Revenue Streams'!BJ49*'Assumption Setting'!$C$153</f>
        <v>14025.8437620597</v>
      </c>
      <c r="BK15" s="60" t="n">
        <f aca="false">'Revenue Streams'!BK49*'Assumption Setting'!$C$153</f>
        <v>14487.2880062612</v>
      </c>
      <c r="BL15" s="60" t="n">
        <f aca="false">'Revenue Streams'!BL49*'Assumption Setting'!$C$153</f>
        <v>14943.0318071612</v>
      </c>
      <c r="BM15" s="60" t="n">
        <f aca="false">'Revenue Streams'!BM49*'Assumption Setting'!$C$153</f>
        <v>15392.9018170285</v>
      </c>
      <c r="BN15" s="60" t="n">
        <f aca="false">'Revenue Streams'!BN49*'Assumption Setting'!$C$153</f>
        <v>15836.739035249</v>
      </c>
    </row>
    <row r="16" customFormat="false" ht="15" hidden="false" customHeight="false" outlineLevel="0" collapsed="false">
      <c r="A16" s="13" t="s">
        <v>921</v>
      </c>
      <c r="B16" s="59" t="n">
        <f aca="false">SUM(C16:N16)</f>
        <v>16252.4431114538</v>
      </c>
      <c r="C16" s="61" t="n">
        <f aca="false">SUM(C6:C15)</f>
        <v>39.6154576409091</v>
      </c>
      <c r="D16" s="61" t="n">
        <f aca="false">SUM(D6:D15)</f>
        <v>203.588377079535</v>
      </c>
      <c r="E16" s="61" t="n">
        <f aca="false">SUM(E6:E15)</f>
        <v>450.399864864828</v>
      </c>
      <c r="F16" s="61" t="n">
        <f aca="false">SUM(F6:F15)</f>
        <v>782.444512729047</v>
      </c>
      <c r="G16" s="61" t="n">
        <f aca="false">SUM(G6:G15)</f>
        <v>1028.69465239348</v>
      </c>
      <c r="H16" s="61" t="n">
        <f aca="false">SUM(H6:H15)</f>
        <v>1270.92676993135</v>
      </c>
      <c r="I16" s="61" t="n">
        <f aca="false">SUM(I6:I15)</f>
        <v>1509.04135530237</v>
      </c>
      <c r="J16" s="61" t="n">
        <f aca="false">SUM(J6:J15)</f>
        <v>1742.95465631446</v>
      </c>
      <c r="K16" s="61" t="n">
        <f aca="false">SUM(K6:K15)</f>
        <v>1972.59745874542</v>
      </c>
      <c r="L16" s="61" t="n">
        <f aca="false">SUM(L6:L15)</f>
        <v>2197.91394757388</v>
      </c>
      <c r="M16" s="61" t="n">
        <f aca="false">SUM(M6:M15)</f>
        <v>2418.86064417997</v>
      </c>
      <c r="N16" s="61" t="n">
        <f aca="false">SUM(N6:N15)</f>
        <v>2635.40541469857</v>
      </c>
      <c r="O16" s="59" t="n">
        <f aca="false">SUM(P16:AA16)</f>
        <v>80369.463236007</v>
      </c>
      <c r="P16" s="61" t="n">
        <f aca="false">SUM(P6:P15)</f>
        <v>3105.17031880428</v>
      </c>
      <c r="Q16" s="61" t="n">
        <f aca="false">SUM(Q6:Q15)</f>
        <v>3730.15259911521</v>
      </c>
      <c r="R16" s="61" t="n">
        <f aca="false">SUM(R6:R15)</f>
        <v>4379.53633819757</v>
      </c>
      <c r="S16" s="61" t="n">
        <f aca="false">SUM(S6:S15)</f>
        <v>5025.40197835007</v>
      </c>
      <c r="T16" s="61" t="n">
        <f aca="false">SUM(T6:T15)</f>
        <v>5666.77590899643</v>
      </c>
      <c r="U16" s="61" t="n">
        <f aca="false">SUM(U6:U15)</f>
        <v>6301.02202290574</v>
      </c>
      <c r="V16" s="61" t="n">
        <f aca="false">SUM(V6:V15)</f>
        <v>7126.80789945723</v>
      </c>
      <c r="W16" s="61" t="n">
        <f aca="false">SUM(W6:W15)</f>
        <v>7764.75988206431</v>
      </c>
      <c r="X16" s="61" t="n">
        <f aca="false">SUM(X6:X15)</f>
        <v>8394.442926172</v>
      </c>
      <c r="Y16" s="61" t="n">
        <f aca="false">SUM(Y6:Y15)</f>
        <v>9015.62323520882</v>
      </c>
      <c r="Z16" s="61" t="n">
        <f aca="false">SUM(Z6:Z15)</f>
        <v>9628.09441207863</v>
      </c>
      <c r="AA16" s="61" t="n">
        <f aca="false">SUM(AA6:AA15)</f>
        <v>10231.6757146567</v>
      </c>
      <c r="AB16" s="59" t="n">
        <f aca="false">SUM(AC16:AN16)</f>
        <v>227899.167193589</v>
      </c>
      <c r="AC16" s="61" t="n">
        <f aca="false">SUM(AC6:AC15)</f>
        <v>11817.3778395419</v>
      </c>
      <c r="AD16" s="61" t="n">
        <f aca="false">SUM(AD6:AD15)</f>
        <v>13089.8623038957</v>
      </c>
      <c r="AE16" s="61" t="n">
        <f aca="false">SUM(AE6:AE15)</f>
        <v>14429.8546800562</v>
      </c>
      <c r="AF16" s="61" t="n">
        <f aca="false">SUM(AF6:AF15)</f>
        <v>15763.7150344244</v>
      </c>
      <c r="AG16" s="61" t="n">
        <f aca="false">SUM(AG6:AG15)</f>
        <v>17089.9609221036</v>
      </c>
      <c r="AH16" s="61" t="n">
        <f aca="false">SUM(AH6:AH15)</f>
        <v>18404.4834414706</v>
      </c>
      <c r="AI16" s="61" t="n">
        <f aca="false">SUM(AI6:AI15)</f>
        <v>19706.6654497741</v>
      </c>
      <c r="AJ16" s="61" t="n">
        <f aca="false">SUM(AJ6:AJ15)</f>
        <v>20995.9417263856</v>
      </c>
      <c r="AK16" s="61" t="n">
        <f aca="false">SUM(AK6:AK15)</f>
        <v>22271.796125891</v>
      </c>
      <c r="AL16" s="61" t="n">
        <f aca="false">SUM(AL6:AL15)</f>
        <v>23533.7588712185</v>
      </c>
      <c r="AM16" s="61" t="n">
        <f aca="false">SUM(AM6:AM15)</f>
        <v>24781.4039801274</v>
      </c>
      <c r="AN16" s="61" t="n">
        <f aca="false">SUM(AN6:AN15)</f>
        <v>26014.3468186995</v>
      </c>
      <c r="AO16" s="59" t="n">
        <f aca="false">SUM(AP16:BA16)</f>
        <v>484737.987175533</v>
      </c>
      <c r="AP16" s="61" t="n">
        <f aca="false">SUM(AP6:AP15)</f>
        <v>29233.035066894</v>
      </c>
      <c r="AQ16" s="61" t="n">
        <f aca="false">SUM(AQ6:AQ15)</f>
        <v>31231.6018328266</v>
      </c>
      <c r="AR16" s="61" t="n">
        <f aca="false">SUM(AR6:AR15)</f>
        <v>33316.4885920928</v>
      </c>
      <c r="AS16" s="61" t="n">
        <f aca="false">SUM(AS6:AS15)</f>
        <v>35388.5706311921</v>
      </c>
      <c r="AT16" s="61" t="n">
        <f aca="false">SUM(AT6:AT15)</f>
        <v>37446.3375073877</v>
      </c>
      <c r="AU16" s="61" t="n">
        <f aca="false">SUM(AU6:AU15)</f>
        <v>39485.890186253</v>
      </c>
      <c r="AV16" s="61" t="n">
        <f aca="false">SUM(AV6:AV15)</f>
        <v>41506.455127788</v>
      </c>
      <c r="AW16" s="61" t="n">
        <f aca="false">SUM(AW6:AW15)</f>
        <v>43507.320994779</v>
      </c>
      <c r="AX16" s="61" t="n">
        <f aca="false">SUM(AX6:AX15)</f>
        <v>45487.83549139</v>
      </c>
      <c r="AY16" s="61" t="n">
        <f aca="false">SUM(AY6:AY15)</f>
        <v>47447.4023444897</v>
      </c>
      <c r="AZ16" s="61" t="n">
        <f aca="false">SUM(AZ6:AZ15)</f>
        <v>49385.4784215131</v>
      </c>
      <c r="BA16" s="61" t="n">
        <f aca="false">SUM(BA6:BA15)</f>
        <v>51301.5709789271</v>
      </c>
      <c r="BB16" s="59" t="n">
        <f aca="false">SUM(BC16:BN16)</f>
        <v>843966.641102474</v>
      </c>
      <c r="BC16" s="61" t="n">
        <f aca="false">SUM(BC6:BC15)</f>
        <v>56539.1719040654</v>
      </c>
      <c r="BD16" s="61" t="n">
        <f aca="false">SUM(BD6:BD15)</f>
        <v>59052.6224633313</v>
      </c>
      <c r="BE16" s="61" t="n">
        <f aca="false">SUM(BE6:BE15)</f>
        <v>61620.6896201212</v>
      </c>
      <c r="BF16" s="61" t="n">
        <f aca="false">SUM(BF6:BF15)</f>
        <v>64171.7685857631</v>
      </c>
      <c r="BG16" s="61" t="n">
        <f aca="false">SUM(BG6:BG15)</f>
        <v>66704.3955952546</v>
      </c>
      <c r="BH16" s="61" t="n">
        <f aca="false">SUM(BH6:BH15)</f>
        <v>69214.7150241571</v>
      </c>
      <c r="BI16" s="61" t="n">
        <f aca="false">SUM(BI6:BI15)</f>
        <v>71701.9328150073</v>
      </c>
      <c r="BJ16" s="61" t="n">
        <f aca="false">SUM(BJ6:BJ15)</f>
        <v>74165.3168262727</v>
      </c>
      <c r="BK16" s="61" t="n">
        <f aca="false">SUM(BK6:BK15)</f>
        <v>76604.193851173</v>
      </c>
      <c r="BL16" s="61" t="n">
        <f aca="false">SUM(BL6:BL15)</f>
        <v>79017.9467634282</v>
      </c>
      <c r="BM16" s="61" t="n">
        <f aca="false">SUM(BM6:BM15)</f>
        <v>81406.0117847557</v>
      </c>
      <c r="BN16" s="61" t="n">
        <f aca="false">SUM(BN6:BN15)</f>
        <v>83767.8758691442</v>
      </c>
    </row>
    <row r="17" customFormat="false" ht="15" hidden="false" customHeight="false" outlineLevel="0" collapsed="false">
      <c r="A17" s="13" t="s">
        <v>93</v>
      </c>
      <c r="B17" s="59" t="n">
        <f aca="false">SUM(C17:N17)</f>
        <v>52349.6110245031</v>
      </c>
      <c r="C17" s="61" t="n">
        <f aca="false">'Total Revenue'!C18-C16</f>
        <v>-39.6154576409091</v>
      </c>
      <c r="D17" s="61" t="n">
        <f aca="false">'Total Revenue'!D18-D16</f>
        <v>332.837105963867</v>
      </c>
      <c r="E17" s="61" t="n">
        <f aca="false">'Total Revenue'!E18-E16</f>
        <v>1155.90567934141</v>
      </c>
      <c r="F17" s="61" t="n">
        <f aca="false">'Total Revenue'!F18-F16</f>
        <v>2141.553261469</v>
      </c>
      <c r="G17" s="61" t="n">
        <f aca="false">'Total Revenue'!G18-G16</f>
        <v>3031.08668599658</v>
      </c>
      <c r="H17" s="61" t="n">
        <f aca="false">'Total Revenue'!H18-H16</f>
        <v>3917.77324132778</v>
      </c>
      <c r="I17" s="61" t="n">
        <f aca="false">'Total Revenue'!I18-I16</f>
        <v>4800.25408894168</v>
      </c>
      <c r="J17" s="61" t="n">
        <f aca="false">'Total Revenue'!J18-J16</f>
        <v>5677.28331483124</v>
      </c>
      <c r="K17" s="61" t="n">
        <f aca="false">'Total Revenue'!K18-K16</f>
        <v>6547.72089417305</v>
      </c>
      <c r="L17" s="61" t="n">
        <f aca="false">'Total Revenue'!L18-L16</f>
        <v>7410.52605610197</v>
      </c>
      <c r="M17" s="61" t="n">
        <f aca="false">'Total Revenue'!M18-M16</f>
        <v>8264.75102645074</v>
      </c>
      <c r="N17" s="61" t="n">
        <f aca="false">'Total Revenue'!N18-N16</f>
        <v>9109.53512754667</v>
      </c>
      <c r="O17" s="59" t="n">
        <f aca="false">SUM(P17:AA17)</f>
        <v>311491.045936843</v>
      </c>
      <c r="P17" s="61" t="n">
        <f aca="false">'Total Revenue'!P18-P16</f>
        <v>11137.9689706161</v>
      </c>
      <c r="Q17" s="61" t="n">
        <f aca="false">'Total Revenue'!Q18-Q16</f>
        <v>13166.1391026554</v>
      </c>
      <c r="R17" s="61" t="n">
        <f aca="false">'Total Revenue'!R18-R16</f>
        <v>15751.4704882806</v>
      </c>
      <c r="S17" s="61" t="n">
        <f aca="false">'Total Revenue'!S18-S16</f>
        <v>18380.2414608757</v>
      </c>
      <c r="T17" s="61" t="n">
        <f aca="false">'Total Revenue'!T18-T16</f>
        <v>21047.1529217244</v>
      </c>
      <c r="U17" s="61" t="n">
        <f aca="false">'Total Revenue'!U18-U16</f>
        <v>23708.9579465024</v>
      </c>
      <c r="V17" s="61" t="n">
        <f aca="false">'Total Revenue'!V18-V16</f>
        <v>27821.8484478071</v>
      </c>
      <c r="W17" s="61" t="n">
        <f aca="false">'Total Revenue'!W18-W16</f>
        <v>30603.0197134195</v>
      </c>
      <c r="X17" s="61" t="n">
        <f aca="false">'Total Revenue'!X18-X16</f>
        <v>33368.526412248</v>
      </c>
      <c r="Y17" s="61" t="n">
        <f aca="false">'Total Revenue'!Y18-Y16</f>
        <v>36115.8787578582</v>
      </c>
      <c r="Z17" s="61" t="n">
        <f aca="false">'Total Revenue'!Z18-Z16</f>
        <v>38842.7708505559</v>
      </c>
      <c r="AA17" s="61" t="n">
        <f aca="false">'Total Revenue'!AA18-AA16</f>
        <v>41547.0708642998</v>
      </c>
      <c r="AB17" s="59" t="n">
        <f aca="false">SUM(AC17:AN17)</f>
        <v>993713.535906895</v>
      </c>
      <c r="AC17" s="61" t="n">
        <f aca="false">'Total Revenue'!AC18-AC16</f>
        <v>49981.6381543232</v>
      </c>
      <c r="AD17" s="61" t="n">
        <f aca="false">'Total Revenue'!AD18-AD16</f>
        <v>55132.7515705567</v>
      </c>
      <c r="AE17" s="61" t="n">
        <f aca="false">'Total Revenue'!AE18-AE16</f>
        <v>61218.5640358433</v>
      </c>
      <c r="AF17" s="61" t="n">
        <f aca="false">'Total Revenue'!AF18-AF16</f>
        <v>67360.4394927445</v>
      </c>
      <c r="AG17" s="61" t="n">
        <f aca="false">'Total Revenue'!AG18-AG16</f>
        <v>73549.884509896</v>
      </c>
      <c r="AH17" s="61" t="n">
        <f aca="false">'Total Revenue'!AH18-AH16</f>
        <v>79726.728831719</v>
      </c>
      <c r="AI17" s="61" t="n">
        <f aca="false">'Total Revenue'!AI18-AI16</f>
        <v>85885.7005982676</v>
      </c>
      <c r="AJ17" s="61" t="n">
        <f aca="false">'Total Revenue'!AJ18-AJ16</f>
        <v>92021.8498552516</v>
      </c>
      <c r="AK17" s="61" t="n">
        <f aca="false">'Total Revenue'!AK18-AK16</f>
        <v>98130.5335012635</v>
      </c>
      <c r="AL17" s="61" t="n">
        <f aca="false">'Total Revenue'!AL18-AL16</f>
        <v>104207.400885603</v>
      </c>
      <c r="AM17" s="61" t="n">
        <f aca="false">'Total Revenue'!AM18-AM16</f>
        <v>110248.380029193</v>
      </c>
      <c r="AN17" s="61" t="n">
        <f aca="false">'Total Revenue'!AN18-AN16</f>
        <v>116249.664442233</v>
      </c>
      <c r="AO17" s="59" t="n">
        <f aca="false">SUM(AP17:BA17)</f>
        <v>2279092.20561036</v>
      </c>
      <c r="AP17" s="61" t="n">
        <f aca="false">'Total Revenue'!AP18-AP16</f>
        <v>135178.115707678</v>
      </c>
      <c r="AQ17" s="61" t="n">
        <f aca="false">'Total Revenue'!AQ18-AQ16</f>
        <v>144342.720906186</v>
      </c>
      <c r="AR17" s="61" t="n">
        <f aca="false">'Total Revenue'!AR18-AR16</f>
        <v>154507.124691096</v>
      </c>
      <c r="AS17" s="61" t="n">
        <f aca="false">'Total Revenue'!AS18-AS16</f>
        <v>164692.584873604</v>
      </c>
      <c r="AT17" s="61" t="n">
        <f aca="false">'Total Revenue'!AT18-AT16</f>
        <v>174889.689299365</v>
      </c>
      <c r="AU17" s="61" t="n">
        <f aca="false">'Total Revenue'!AU18-AU16</f>
        <v>185045.136878759</v>
      </c>
      <c r="AV17" s="61" t="n">
        <f aca="false">'Total Revenue'!AV18-AV16</f>
        <v>195152.478403502</v>
      </c>
      <c r="AW17" s="61" t="n">
        <f aca="false">'Total Revenue'!AW18-AW16</f>
        <v>205205.648717809</v>
      </c>
      <c r="AX17" s="61" t="n">
        <f aca="false">'Total Revenue'!AX18-AX16</f>
        <v>215198.949833856</v>
      </c>
      <c r="AY17" s="61" t="n">
        <f aca="false">'Total Revenue'!AY18-AY16</f>
        <v>225127.03472434</v>
      </c>
      <c r="AZ17" s="61" t="n">
        <f aca="false">'Total Revenue'!AZ18-AZ16</f>
        <v>234984.891765912</v>
      </c>
      <c r="BA17" s="61" t="n">
        <f aca="false">'Total Revenue'!BA18-BA16</f>
        <v>244767.829808252</v>
      </c>
      <c r="BB17" s="59" t="n">
        <f aca="false">SUM(BC17:BN17)</f>
        <v>4154745.47011083</v>
      </c>
      <c r="BC17" s="61" t="n">
        <f aca="false">'Total Revenue'!BC18-BC16</f>
        <v>276124.770349782</v>
      </c>
      <c r="BD17" s="61" t="n">
        <f aca="false">'Total Revenue'!BD18-BD16</f>
        <v>288480.025830724</v>
      </c>
      <c r="BE17" s="61" t="n">
        <f aca="false">'Total Revenue'!BE18-BE16</f>
        <v>301438.951639985</v>
      </c>
      <c r="BF17" s="61" t="n">
        <f aca="false">'Total Revenue'!BF18-BF16</f>
        <v>314390.052822407</v>
      </c>
      <c r="BG17" s="61" t="n">
        <f aca="false">'Total Revenue'!BG18-BG16</f>
        <v>327324.098234268</v>
      </c>
      <c r="BH17" s="61" t="n">
        <f aca="false">'Total Revenue'!BH18-BH16</f>
        <v>340190.656719683</v>
      </c>
      <c r="BI17" s="61" t="n">
        <f aca="false">'Total Revenue'!BI18-BI16</f>
        <v>352983.288506684</v>
      </c>
      <c r="BJ17" s="61" t="n">
        <f aca="false">'Total Revenue'!BJ18-BJ16</f>
        <v>365695.928604023</v>
      </c>
      <c r="BK17" s="61" t="n">
        <f aca="false">'Total Revenue'!BK18-BK16</f>
        <v>378322.871104502</v>
      </c>
      <c r="BL17" s="61" t="n">
        <f aca="false">'Total Revenue'!BL18-BL16</f>
        <v>390858.754085438</v>
      </c>
      <c r="BM17" s="61" t="n">
        <f aca="false">'Total Revenue'!BM18-BM16</f>
        <v>403298.545084378</v>
      </c>
      <c r="BN17" s="61" t="n">
        <f aca="false">'Total Revenue'!BN18-BN16</f>
        <v>415637.52712896</v>
      </c>
    </row>
    <row r="18" customFormat="false" ht="15" hidden="false" customHeight="false" outlineLevel="0" collapsed="false">
      <c r="A18" s="4" t="s">
        <v>94</v>
      </c>
      <c r="B18" s="91" t="n">
        <f aca="false">IFERROR(B17/'Total Revenue'!B18,0)</f>
        <v>0.76309101358329</v>
      </c>
      <c r="C18" s="92" t="n">
        <f aca="false">IFERROR(C17/'Total Revenue'!C18,0)</f>
        <v>0</v>
      </c>
      <c r="D18" s="92" t="n">
        <f aca="false">IFERROR(D17/'Total Revenue'!D18,0)</f>
        <v>0.620472211863464</v>
      </c>
      <c r="E18" s="92" t="n">
        <f aca="false">IFERROR(E17/'Total Revenue'!E18,0)</f>
        <v>0.719605110939591</v>
      </c>
      <c r="F18" s="92" t="n">
        <f aca="false">IFERROR(F17/'Total Revenue'!F18,0)</f>
        <v>0.732405913700244</v>
      </c>
      <c r="G18" s="92" t="n">
        <f aca="false">IFERROR(G17/'Total Revenue'!G18,0)</f>
        <v>0.746613286123085</v>
      </c>
      <c r="H18" s="92" t="n">
        <f aca="false">IFERROR(H17/'Total Revenue'!H18,0)</f>
        <v>0.755058730091637</v>
      </c>
      <c r="I18" s="92" t="n">
        <f aca="false">IFERROR(I17/'Total Revenue'!I18,0)</f>
        <v>0.760822524695833</v>
      </c>
      <c r="J18" s="92" t="n">
        <f aca="false">IFERROR(J17/'Total Revenue'!J18,0)</f>
        <v>0.765107983990257</v>
      </c>
      <c r="K18" s="92" t="n">
        <f aca="false">IFERROR(K17/'Total Revenue'!K18,0)</f>
        <v>0.768483127385757</v>
      </c>
      <c r="L18" s="92" t="n">
        <f aca="false">IFERROR(L17/'Total Revenue'!L18,0)</f>
        <v>0.771251738395303</v>
      </c>
      <c r="M18" s="92" t="n">
        <f aca="false">IFERROR(M17/'Total Revenue'!M18,0)</f>
        <v>0.773591485842805</v>
      </c>
      <c r="N18" s="92" t="n">
        <f aca="false">IFERROR(N17/'Total Revenue'!N18,0)</f>
        <v>0.775613558432304</v>
      </c>
      <c r="O18" s="91" t="n">
        <f aca="false">IFERROR(O17/'Total Revenue'!O18,0)</f>
        <v>0.794902876521921</v>
      </c>
      <c r="P18" s="92" t="n">
        <f aca="false">IFERROR(P17/'Total Revenue'!P18,0)</f>
        <v>0.781988348515922</v>
      </c>
      <c r="Q18" s="92" t="n">
        <f aca="false">IFERROR(Q17/'Total Revenue'!Q18,0)</f>
        <v>0.779232469174031</v>
      </c>
      <c r="R18" s="92" t="n">
        <f aca="false">IFERROR(R17/'Total Revenue'!R18,0)</f>
        <v>0.782448221494952</v>
      </c>
      <c r="S18" s="92" t="n">
        <f aca="false">IFERROR(S17/'Total Revenue'!S18,0)</f>
        <v>0.78529101362247</v>
      </c>
      <c r="T18" s="92" t="n">
        <f aca="false">IFERROR(T17/'Total Revenue'!T18,0)</f>
        <v>0.787871864715022</v>
      </c>
      <c r="U18" s="92" t="n">
        <f aca="false">IFERROR(U17/'Total Revenue'!U18,0)</f>
        <v>0.790035780452738</v>
      </c>
      <c r="V18" s="92" t="n">
        <f aca="false">IFERROR(V17/'Total Revenue'!V18,0)</f>
        <v>0.796077771098198</v>
      </c>
      <c r="W18" s="92" t="n">
        <f aca="false">IFERROR(W17/'Total Revenue'!W18,0)</f>
        <v>0.797622902239089</v>
      </c>
      <c r="X18" s="92" t="n">
        <f aca="false">IFERROR(X17/'Total Revenue'!X18,0)</f>
        <v>0.798997938624793</v>
      </c>
      <c r="Y18" s="92" t="n">
        <f aca="false">IFERROR(Y17/'Total Revenue'!Y18,0)</f>
        <v>0.800236578951133</v>
      </c>
      <c r="Z18" s="92" t="n">
        <f aca="false">IFERROR(Z17/'Total Revenue'!Z18,0)</f>
        <v>0.801363265130305</v>
      </c>
      <c r="AA18" s="92" t="n">
        <f aca="false">IFERROR(AA17/'Total Revenue'!AA18,0)</f>
        <v>0.802396226431348</v>
      </c>
      <c r="AB18" s="91" t="n">
        <f aca="false">IFERROR(AB17/'Total Revenue'!AB18,0)</f>
        <v>0.813444010024474</v>
      </c>
      <c r="AC18" s="92" t="n">
        <f aca="false">IFERROR(AC17/'Total Revenue'!AC18,0)</f>
        <v>0.808777249127801</v>
      </c>
      <c r="AD18" s="92" t="n">
        <f aca="false">IFERROR(AD17/'Total Revenue'!AD18,0)</f>
        <v>0.808130155669724</v>
      </c>
      <c r="AE18" s="92" t="n">
        <f aca="false">IFERROR(AE17/'Total Revenue'!AE18,0)</f>
        <v>0.809251073254445</v>
      </c>
      <c r="AF18" s="92" t="n">
        <f aca="false">IFERROR(AF17/'Total Revenue'!AF18,0)</f>
        <v>0.810359394040247</v>
      </c>
      <c r="AG18" s="92" t="n">
        <f aca="false">IFERROR(AG17/'Total Revenue'!AG18,0)</f>
        <v>0.811452007219883</v>
      </c>
      <c r="AH18" s="92" t="n">
        <f aca="false">IFERROR(AH17/'Total Revenue'!AH18,0)</f>
        <v>0.812450259044656</v>
      </c>
      <c r="AI18" s="92" t="n">
        <f aca="false">IFERROR(AI17/'Total Revenue'!AI18,0)</f>
        <v>0.813370358224495</v>
      </c>
      <c r="AJ18" s="92" t="n">
        <f aca="false">IFERROR(AJ17/'Total Revenue'!AJ18,0)</f>
        <v>0.814224455879414</v>
      </c>
      <c r="AK18" s="92" t="n">
        <f aca="false">IFERROR(AK17/'Total Revenue'!AK18,0)</f>
        <v>0.815021883755412</v>
      </c>
      <c r="AL18" s="92" t="n">
        <f aca="false">IFERROR(AL17/'Total Revenue'!AL18,0)</f>
        <v>0.815769960786177</v>
      </c>
      <c r="AM18" s="92" t="n">
        <f aca="false">IFERROR(AM17/'Total Revenue'!AM18,0)</f>
        <v>0.816474534400375</v>
      </c>
      <c r="AN18" s="92" t="n">
        <f aca="false">IFERROR(AN17/'Total Revenue'!AN18,0)</f>
        <v>0.817140353430739</v>
      </c>
      <c r="AO18" s="91" t="n">
        <f aca="false">IFERROR(AO17/'Total Revenue'!AO18,0)</f>
        <v>0.824613687034468</v>
      </c>
      <c r="AP18" s="92" t="n">
        <f aca="false">IFERROR(AP17/'Total Revenue'!AP18,0)</f>
        <v>0.822195544954392</v>
      </c>
      <c r="AQ18" s="92" t="n">
        <f aca="false">IFERROR(AQ17/'Total Revenue'!AQ18,0)</f>
        <v>0.822117486511671</v>
      </c>
      <c r="AR18" s="92" t="n">
        <f aca="false">IFERROR(AR17/'Total Revenue'!AR18,0)</f>
        <v>0.822618210725931</v>
      </c>
      <c r="AS18" s="92" t="n">
        <f aca="false">IFERROR(AS17/'Total Revenue'!AS18,0)</f>
        <v>0.8231289171541</v>
      </c>
      <c r="AT18" s="92" t="n">
        <f aca="false">IFERROR(AT17/'Total Revenue'!AT18,0)</f>
        <v>0.823645859487294</v>
      </c>
      <c r="AU18" s="92" t="n">
        <f aca="false">IFERROR(AU17/'Total Revenue'!AU18,0)</f>
        <v>0.824140606746434</v>
      </c>
      <c r="AV18" s="92" t="n">
        <f aca="false">IFERROR(AV17/'Total Revenue'!AV18,0)</f>
        <v>0.824614881388789</v>
      </c>
      <c r="AW18" s="92" t="n">
        <f aca="false">IFERROR(AW17/'Total Revenue'!AW18,0)</f>
        <v>0.825070155991238</v>
      </c>
      <c r="AX18" s="92" t="n">
        <f aca="false">IFERROR(AX17/'Total Revenue'!AX18,0)</f>
        <v>0.825507704831923</v>
      </c>
      <c r="AY18" s="92" t="n">
        <f aca="false">IFERROR(AY17/'Total Revenue'!AY18,0)</f>
        <v>0.825928642264761</v>
      </c>
      <c r="AZ18" s="92" t="n">
        <f aca="false">IFERROR(AZ17/'Total Revenue'!AZ18,0)</f>
        <v>0.826333951779281</v>
      </c>
      <c r="BA18" s="92" t="n">
        <f aca="false">IFERROR(BA17/'Total Revenue'!BA18,0)</f>
        <v>0.826724508366862</v>
      </c>
      <c r="BB18" s="91" t="n">
        <f aca="false">IFERROR(BB17/'Total Revenue'!BB18,0)</f>
        <v>0.83116318317087</v>
      </c>
      <c r="BC18" s="92" t="n">
        <f aca="false">IFERROR(BC17/'Total Revenue'!BC18,0)</f>
        <v>0.830041177528878</v>
      </c>
      <c r="BD18" s="92" t="n">
        <f aca="false">IFERROR(BD17/'Total Revenue'!BD18,0)</f>
        <v>0.8300803600663</v>
      </c>
      <c r="BE18" s="92" t="n">
        <f aca="false">IFERROR(BE17/'Total Revenue'!BE18,0)</f>
        <v>0.830273920267623</v>
      </c>
      <c r="BF18" s="92" t="n">
        <f aca="false">IFERROR(BF17/'Total Revenue'!BF18,0)</f>
        <v>0.830485366043893</v>
      </c>
      <c r="BG18" s="92" t="n">
        <f aca="false">IFERROR(BG17/'Total Revenue'!BG18,0)</f>
        <v>0.830711746384224</v>
      </c>
      <c r="BH18" s="92" t="n">
        <f aca="false">IFERROR(BH17/'Total Revenue'!BH18,0)</f>
        <v>0.830938429729584</v>
      </c>
      <c r="BI18" s="92" t="n">
        <f aca="false">IFERROR(BI17/'Total Revenue'!BI18,0)</f>
        <v>0.831164520884765</v>
      </c>
      <c r="BJ18" s="92" t="n">
        <f aca="false">IFERROR(BJ17/'Total Revenue'!BJ18,0)</f>
        <v>0.831389290152807</v>
      </c>
      <c r="BK18" s="92" t="n">
        <f aca="false">IFERROR(BK17/'Total Revenue'!BK18,0)</f>
        <v>0.831612142358167</v>
      </c>
      <c r="BL18" s="92" t="n">
        <f aca="false">IFERROR(BL17/'Total Revenue'!BL18,0)</f>
        <v>0.831832592208389</v>
      </c>
      <c r="BM18" s="92" t="n">
        <f aca="false">IFERROR(BM17/'Total Revenue'!BM18,0)</f>
        <v>0.832050244564268</v>
      </c>
      <c r="BN18" s="92" t="n">
        <f aca="false">IFERROR(BN17/'Total Revenue'!BN18,0)</f>
        <v>0.832264778542129</v>
      </c>
    </row>
    <row r="20" customFormat="false" ht="15" hidden="false" customHeight="false" outlineLevel="0" collapsed="false">
      <c r="A20" s="9" t="s">
        <v>922</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row>
    <row r="21" customFormat="false" ht="15" hidden="false" customHeight="false" outlineLevel="0" collapsed="false">
      <c r="A21" s="56" t="s">
        <v>632</v>
      </c>
      <c r="B21" s="57" t="s">
        <v>87</v>
      </c>
      <c r="C21" s="58" t="s">
        <v>562</v>
      </c>
      <c r="D21" s="58" t="s">
        <v>563</v>
      </c>
      <c r="E21" s="58" t="s">
        <v>564</v>
      </c>
      <c r="F21" s="58" t="s">
        <v>565</v>
      </c>
      <c r="G21" s="58" t="s">
        <v>566</v>
      </c>
      <c r="H21" s="58" t="s">
        <v>567</v>
      </c>
      <c r="I21" s="58" t="s">
        <v>568</v>
      </c>
      <c r="J21" s="58" t="s">
        <v>569</v>
      </c>
      <c r="K21" s="58" t="s">
        <v>570</v>
      </c>
      <c r="L21" s="58" t="s">
        <v>571</v>
      </c>
      <c r="M21" s="58" t="s">
        <v>572</v>
      </c>
      <c r="N21" s="58" t="s">
        <v>573</v>
      </c>
      <c r="O21" s="57" t="s">
        <v>88</v>
      </c>
      <c r="P21" s="58" t="s">
        <v>574</v>
      </c>
      <c r="Q21" s="58" t="s">
        <v>575</v>
      </c>
      <c r="R21" s="58" t="s">
        <v>576</v>
      </c>
      <c r="S21" s="58" t="s">
        <v>577</v>
      </c>
      <c r="T21" s="58" t="s">
        <v>578</v>
      </c>
      <c r="U21" s="58" t="s">
        <v>579</v>
      </c>
      <c r="V21" s="58" t="s">
        <v>580</v>
      </c>
      <c r="W21" s="58" t="s">
        <v>581</v>
      </c>
      <c r="X21" s="58" t="s">
        <v>582</v>
      </c>
      <c r="Y21" s="58" t="s">
        <v>583</v>
      </c>
      <c r="Z21" s="58" t="s">
        <v>584</v>
      </c>
      <c r="AA21" s="58" t="s">
        <v>585</v>
      </c>
      <c r="AB21" s="57" t="s">
        <v>89</v>
      </c>
      <c r="AC21" s="58" t="s">
        <v>586</v>
      </c>
      <c r="AD21" s="58" t="s">
        <v>587</v>
      </c>
      <c r="AE21" s="58" t="s">
        <v>588</v>
      </c>
      <c r="AF21" s="58" t="s">
        <v>589</v>
      </c>
      <c r="AG21" s="58" t="s">
        <v>590</v>
      </c>
      <c r="AH21" s="58" t="s">
        <v>591</v>
      </c>
      <c r="AI21" s="58" t="s">
        <v>592</v>
      </c>
      <c r="AJ21" s="58" t="s">
        <v>593</v>
      </c>
      <c r="AK21" s="58" t="s">
        <v>594</v>
      </c>
      <c r="AL21" s="58" t="s">
        <v>595</v>
      </c>
      <c r="AM21" s="58" t="s">
        <v>596</v>
      </c>
      <c r="AN21" s="58" t="s">
        <v>597</v>
      </c>
      <c r="AO21" s="57" t="s">
        <v>90</v>
      </c>
      <c r="AP21" s="58" t="s">
        <v>598</v>
      </c>
      <c r="AQ21" s="58" t="s">
        <v>599</v>
      </c>
      <c r="AR21" s="58" t="s">
        <v>600</v>
      </c>
      <c r="AS21" s="58" t="s">
        <v>601</v>
      </c>
      <c r="AT21" s="58" t="s">
        <v>602</v>
      </c>
      <c r="AU21" s="58" t="s">
        <v>603</v>
      </c>
      <c r="AV21" s="58" t="s">
        <v>604</v>
      </c>
      <c r="AW21" s="58" t="s">
        <v>605</v>
      </c>
      <c r="AX21" s="58" t="s">
        <v>606</v>
      </c>
      <c r="AY21" s="58" t="s">
        <v>607</v>
      </c>
      <c r="AZ21" s="58" t="s">
        <v>608</v>
      </c>
      <c r="BA21" s="58" t="s">
        <v>609</v>
      </c>
      <c r="BB21" s="57" t="s">
        <v>91</v>
      </c>
      <c r="BC21" s="58" t="s">
        <v>610</v>
      </c>
      <c r="BD21" s="58" t="s">
        <v>611</v>
      </c>
      <c r="BE21" s="58" t="s">
        <v>612</v>
      </c>
      <c r="BF21" s="58" t="s">
        <v>613</v>
      </c>
      <c r="BG21" s="58" t="s">
        <v>614</v>
      </c>
      <c r="BH21" s="58" t="s">
        <v>615</v>
      </c>
      <c r="BI21" s="58" t="s">
        <v>616</v>
      </c>
      <c r="BJ21" s="58" t="s">
        <v>617</v>
      </c>
      <c r="BK21" s="58" t="s">
        <v>618</v>
      </c>
      <c r="BL21" s="58" t="s">
        <v>619</v>
      </c>
      <c r="BM21" s="58" t="s">
        <v>620</v>
      </c>
      <c r="BN21" s="58" t="s">
        <v>621</v>
      </c>
    </row>
    <row r="22" customFormat="false" ht="15" hidden="false" customHeight="false" outlineLevel="0" collapsed="false">
      <c r="A22" s="4" t="s">
        <v>923</v>
      </c>
      <c r="B22" s="59" t="n">
        <f aca="false">SUM(C22:N22)</f>
        <v>254496.472537741</v>
      </c>
      <c r="C22" s="63" t="n">
        <f aca="false">Payroll!C122</f>
        <v>21779.0048543689</v>
      </c>
      <c r="D22" s="63" t="n">
        <f aca="false">Payroll!D122</f>
        <v>21673.5079584528</v>
      </c>
      <c r="E22" s="63" t="n">
        <f aca="false">Payroll!E122</f>
        <v>21568.5220865767</v>
      </c>
      <c r="F22" s="63" t="n">
        <f aca="false">Payroll!F122</f>
        <v>21464.0447633543</v>
      </c>
      <c r="G22" s="63" t="n">
        <f aca="false">Payroll!G122</f>
        <v>21360.07352539</v>
      </c>
      <c r="H22" s="63" t="n">
        <f aca="false">Payroll!H122</f>
        <v>21256.6059212209</v>
      </c>
      <c r="I22" s="63" t="n">
        <f aca="false">Payroll!I122</f>
        <v>21153.6395112588</v>
      </c>
      <c r="J22" s="63" t="n">
        <f aca="false">Payroll!J122</f>
        <v>21051.1718677329</v>
      </c>
      <c r="K22" s="63" t="n">
        <f aca="false">Payroll!K122</f>
        <v>20949.2005746323</v>
      </c>
      <c r="L22" s="63" t="n">
        <f aca="false">Payroll!L122</f>
        <v>20847.7232276495</v>
      </c>
      <c r="M22" s="63" t="n">
        <f aca="false">Payroll!M122</f>
        <v>20746.737434123</v>
      </c>
      <c r="N22" s="63" t="n">
        <f aca="false">Payroll!N122</f>
        <v>20646.2408129815</v>
      </c>
      <c r="O22" s="59" t="n">
        <f aca="false">SUM(P22:AA22)</f>
        <v>399500.131551581</v>
      </c>
      <c r="P22" s="63" t="n">
        <f aca="false">Payroll!P122</f>
        <v>33320.8806557978</v>
      </c>
      <c r="Q22" s="63" t="n">
        <f aca="false">Payroll!Q122</f>
        <v>33159.4752333791</v>
      </c>
      <c r="R22" s="63" t="n">
        <f aca="false">Payroll!R122</f>
        <v>32998.8516543532</v>
      </c>
      <c r="S22" s="63" t="n">
        <f aca="false">Payroll!S122</f>
        <v>32839.0061314926</v>
      </c>
      <c r="T22" s="63" t="n">
        <f aca="false">Payroll!T122</f>
        <v>33038.3567790706</v>
      </c>
      <c r="U22" s="63" t="n">
        <f aca="false">Payroll!U122</f>
        <v>32878.3198944807</v>
      </c>
      <c r="V22" s="63" t="n">
        <f aca="false">Payroll!V122</f>
        <v>33717.238376394</v>
      </c>
      <c r="W22" s="63" t="n">
        <f aca="false">Payroll!W122</f>
        <v>33553.9130081617</v>
      </c>
      <c r="X22" s="63" t="n">
        <f aca="false">Payroll!X122</f>
        <v>33742.9062214257</v>
      </c>
      <c r="Y22" s="63" t="n">
        <f aca="false">Payroll!Y122</f>
        <v>33579.4565188634</v>
      </c>
      <c r="Z22" s="63" t="n">
        <f aca="false">Payroll!Z122</f>
        <v>33416.7985621303</v>
      </c>
      <c r="AA22" s="63" t="n">
        <f aca="false">Payroll!AA122</f>
        <v>33254.9285160317</v>
      </c>
      <c r="AB22" s="59" t="n">
        <f aca="false">SUM(AC22:AN22)</f>
        <v>580512.138455041</v>
      </c>
      <c r="AC22" s="63" t="n">
        <f aca="false">Payroll!AC122</f>
        <v>48299.3995008243</v>
      </c>
      <c r="AD22" s="63" t="n">
        <f aca="false">Payroll!AD122</f>
        <v>48065.4385482454</v>
      </c>
      <c r="AE22" s="63" t="n">
        <f aca="false">Payroll!AE122</f>
        <v>47832.6108960365</v>
      </c>
      <c r="AF22" s="63" t="n">
        <f aca="false">Payroll!AF122</f>
        <v>47981.4643584576</v>
      </c>
      <c r="AG22" s="63" t="n">
        <f aca="false">Payroll!AG122</f>
        <v>48361.6809451815</v>
      </c>
      <c r="AH22" s="63" t="n">
        <f aca="false">Payroll!AH122</f>
        <v>48127.4183030121</v>
      </c>
      <c r="AI22" s="63" t="n">
        <f aca="false">Payroll!AI122</f>
        <v>48644.3901819792</v>
      </c>
      <c r="AJ22" s="63" t="n">
        <f aca="false">Payroll!AJ122</f>
        <v>48408.7581041021</v>
      </c>
      <c r="AK22" s="63" t="n">
        <f aca="false">Payroll!AK122</f>
        <v>48775.1204676676</v>
      </c>
      <c r="AL22" s="63" t="n">
        <f aca="false">Payroll!AL122</f>
        <v>48908.4811798955</v>
      </c>
      <c r="AM22" s="63" t="n">
        <f aca="false">Payroll!AM122</f>
        <v>48671.5698525436</v>
      </c>
      <c r="AN22" s="63" t="n">
        <f aca="false">Payroll!AN122</f>
        <v>48435.8061170955</v>
      </c>
      <c r="AO22" s="59" t="n">
        <f aca="false">SUM(AP22:BA22)</f>
        <v>789730.808776682</v>
      </c>
      <c r="AP22" s="63" t="n">
        <f aca="false">Payroll!AP122</f>
        <v>64649.1428861691</v>
      </c>
      <c r="AQ22" s="63" t="n">
        <f aca="false">Payroll!AQ122</f>
        <v>64742.0022398908</v>
      </c>
      <c r="AR22" s="63" t="n">
        <f aca="false">Payroll!AR122</f>
        <v>65084.3439574558</v>
      </c>
      <c r="AS22" s="63" t="n">
        <f aca="false">Payroll!AS122</f>
        <v>65171.1712561068</v>
      </c>
      <c r="AT22" s="63" t="n">
        <f aca="false">Payroll!AT122</f>
        <v>65505.0946731056</v>
      </c>
      <c r="AU22" s="63" t="n">
        <f aca="false">Payroll!AU122</f>
        <v>65585.9978367768</v>
      </c>
      <c r="AV22" s="63" t="n">
        <f aca="false">Payroll!AV122</f>
        <v>66060.8593172881</v>
      </c>
      <c r="AW22" s="63" t="n">
        <f aca="false">Payroll!AW122</f>
        <v>66381.0786740577</v>
      </c>
      <c r="AX22" s="63" t="n">
        <f aca="false">Payroll!AX122</f>
        <v>66451.9798550489</v>
      </c>
      <c r="AY22" s="63" t="n">
        <f aca="false">Payroll!AY122</f>
        <v>66764.1172765493</v>
      </c>
      <c r="AZ22" s="63" t="n">
        <f aca="false">Payroll!AZ122</f>
        <v>66829.3702106893</v>
      </c>
      <c r="BA22" s="63" t="n">
        <f aca="false">Payroll!BA122</f>
        <v>66505.6505935442</v>
      </c>
      <c r="BB22" s="59" t="n">
        <f aca="false">SUM(BC22:BN22)</f>
        <v>1079423.63839022</v>
      </c>
      <c r="BC22" s="63" t="n">
        <f aca="false">Payroll!BC122</f>
        <v>87392.8594424356</v>
      </c>
      <c r="BD22" s="63" t="n">
        <f aca="false">Payroll!BD122</f>
        <v>88097.5112183553</v>
      </c>
      <c r="BE22" s="63" t="n">
        <f aca="false">Payroll!BE122</f>
        <v>88793.2857749752</v>
      </c>
      <c r="BF22" s="63" t="n">
        <f aca="false">Payroll!BF122</f>
        <v>88363.1735595599</v>
      </c>
      <c r="BG22" s="63" t="n">
        <f aca="false">Payroll!BG122</f>
        <v>89046.8127167258</v>
      </c>
      <c r="BH22" s="63" t="n">
        <f aca="false">Payroll!BH122</f>
        <v>89721.7554561618</v>
      </c>
      <c r="BI22" s="63" t="n">
        <f aca="false">Payroll!BI122</f>
        <v>90806.7799989752</v>
      </c>
      <c r="BJ22" s="63" t="n">
        <f aca="false">Payroll!BJ122</f>
        <v>90366.9144733422</v>
      </c>
      <c r="BK22" s="63" t="n">
        <f aca="false">Payroll!BK122</f>
        <v>91019.4640113703</v>
      </c>
      <c r="BL22" s="63" t="n">
        <f aca="false">Payroll!BL122</f>
        <v>91663.5713102634</v>
      </c>
      <c r="BM22" s="63" t="n">
        <f aca="false">Payroll!BM122</f>
        <v>92299.3028464998</v>
      </c>
      <c r="BN22" s="63" t="n">
        <f aca="false">Payroll!BN122</f>
        <v>91852.2075815581</v>
      </c>
    </row>
    <row r="23" customFormat="false" ht="15" hidden="false" customHeight="false" outlineLevel="0" collapsed="false">
      <c r="A23" s="4" t="s">
        <v>924</v>
      </c>
      <c r="B23" s="59" t="n">
        <f aca="false">SUM(C23:N23)</f>
        <v>3616.14737084734</v>
      </c>
      <c r="C23" s="60" t="n">
        <f aca="false">'Revenue Streams'!C68*'Assumption Setting'!$C$154</f>
        <v>0</v>
      </c>
      <c r="D23" s="60" t="n">
        <f aca="false">'Revenue Streams'!D68*'Assumption Setting'!$C$154</f>
        <v>28.862850590975</v>
      </c>
      <c r="E23" s="60" t="n">
        <f aca="false">'Revenue Streams'!E68*'Assumption Setting'!$C$154</f>
        <v>86.4468945681608</v>
      </c>
      <c r="F23" s="60" t="n">
        <f aca="false">'Revenue Streams'!F68*'Assumption Setting'!$C$154</f>
        <v>146.175737691996</v>
      </c>
      <c r="G23" s="60" t="n">
        <f aca="false">'Revenue Streams'!G68*'Assumption Setting'!$C$154</f>
        <v>207.897110296754</v>
      </c>
      <c r="H23" s="60" t="n">
        <f aca="false">'Revenue Streams'!H68*'Assumption Setting'!$C$154</f>
        <v>269.290305744833</v>
      </c>
      <c r="I23" s="60" t="n">
        <f aca="false">'Revenue Streams'!I68*'Assumption Setting'!$C$154</f>
        <v>330.276162433184</v>
      </c>
      <c r="J23" s="60" t="n">
        <f aca="false">'Revenue Streams'!J68*'Assumption Setting'!$C$154</f>
        <v>390.782373269326</v>
      </c>
      <c r="K23" s="60" t="n">
        <f aca="false">'Revenue Streams'!K68*'Assumption Setting'!$C$154</f>
        <v>450.743048061991</v>
      </c>
      <c r="L23" s="60" t="n">
        <f aca="false">'Revenue Streams'!L68*'Assumption Setting'!$C$154</f>
        <v>510.098301459327</v>
      </c>
      <c r="M23" s="60" t="n">
        <f aca="false">'Revenue Streams'!M68*'Assumption Setting'!$C$154</f>
        <v>568.793864978295</v>
      </c>
      <c r="N23" s="60" t="n">
        <f aca="false">'Revenue Streams'!N68*'Assumption Setting'!$C$154</f>
        <v>626.780721752494</v>
      </c>
      <c r="O23" s="59" t="n">
        <f aca="false">SUM(P23:AA23)</f>
        <v>19720.5566162458</v>
      </c>
      <c r="P23" s="60" t="n">
        <f aca="false">'Revenue Streams'!P68*'Assumption Setting'!$C$154</f>
        <v>738.399990837656</v>
      </c>
      <c r="Q23" s="60" t="n">
        <f aca="false">'Revenue Streams'!Q68*'Assumption Setting'!$C$154</f>
        <v>861.79913042091</v>
      </c>
      <c r="R23" s="60" t="n">
        <f aca="false">'Revenue Streams'!R68*'Assumption Setting'!$C$154</f>
        <v>1031.45252530409</v>
      </c>
      <c r="S23" s="60" t="n">
        <f aca="false">'Revenue Streams'!S68*'Assumption Setting'!$C$154</f>
        <v>1204.05740169169</v>
      </c>
      <c r="T23" s="60" t="n">
        <f aca="false">'Revenue Streams'!T68*'Assumption Setting'!$C$154</f>
        <v>1379.34532544076</v>
      </c>
      <c r="U23" s="60" t="n">
        <f aca="false">'Revenue Streams'!U68*'Assumption Setting'!$C$154</f>
        <v>1554.18643218925</v>
      </c>
      <c r="V23" s="60" t="n">
        <f aca="false">'Revenue Streams'!V68*'Assumption Setting'!$C$154</f>
        <v>1728.40696262717</v>
      </c>
      <c r="W23" s="60" t="n">
        <f aca="false">'Revenue Streams'!W68*'Assumption Setting'!$C$154</f>
        <v>1901.84506619652</v>
      </c>
      <c r="X23" s="60" t="n">
        <f aca="false">'Revenue Streams'!X68*'Assumption Setting'!$C$154</f>
        <v>2074.35018010674</v>
      </c>
      <c r="Y23" s="60" t="n">
        <f aca="false">'Revenue Streams'!Y68*'Assumption Setting'!$C$154</f>
        <v>2245.78243815689</v>
      </c>
      <c r="Z23" s="60" t="n">
        <f aca="false">'Revenue Streams'!Z68*'Assumption Setting'!$C$154</f>
        <v>2416.01210796926</v>
      </c>
      <c r="AA23" s="60" t="n">
        <f aca="false">'Revenue Streams'!AA68*'Assumption Setting'!$C$154</f>
        <v>2584.91905530486</v>
      </c>
      <c r="AB23" s="59" t="n">
        <f aca="false">SUM(AC23:AN23)</f>
        <v>58862.3092702812</v>
      </c>
      <c r="AC23" s="60" t="n">
        <f aca="false">'Revenue Streams'!AC68*'Assumption Setting'!$C$154</f>
        <v>2965.42009324998</v>
      </c>
      <c r="AD23" s="60" t="n">
        <f aca="false">'Revenue Streams'!AD68*'Assumption Setting'!$C$154</f>
        <v>3256.021284208</v>
      </c>
      <c r="AE23" s="60" t="n">
        <f aca="false">'Revenue Streams'!AE68*'Assumption Setting'!$C$154</f>
        <v>3616.20897588029</v>
      </c>
      <c r="AF23" s="60" t="n">
        <f aca="false">'Revenue Streams'!AF68*'Assumption Setting'!$C$154</f>
        <v>3980.72718994246</v>
      </c>
      <c r="AG23" s="60" t="n">
        <f aca="false">'Revenue Streams'!AG68*'Assumption Setting'!$C$154</f>
        <v>4349.16227978895</v>
      </c>
      <c r="AH23" s="60" t="n">
        <f aca="false">'Revenue Streams'!AH68*'Assumption Setting'!$C$154</f>
        <v>4717.22829101122</v>
      </c>
      <c r="AI23" s="60" t="n">
        <f aca="false">'Revenue Streams'!AI68*'Assumption Setting'!$C$154</f>
        <v>5084.63481852572</v>
      </c>
      <c r="AJ23" s="60" t="n">
        <f aca="false">'Revenue Streams'!AJ68*'Assumption Setting'!$C$154</f>
        <v>5451.10818235235</v>
      </c>
      <c r="AK23" s="60" t="n">
        <f aca="false">'Revenue Streams'!AK68*'Assumption Setting'!$C$154</f>
        <v>5816.39066679534</v>
      </c>
      <c r="AL23" s="60" t="n">
        <f aca="false">'Revenue Streams'!AL68*'Assumption Setting'!$C$154</f>
        <v>6180.23979229702</v>
      </c>
      <c r="AM23" s="60" t="n">
        <f aca="false">'Revenue Streams'!AM68*'Assumption Setting'!$C$154</f>
        <v>6542.42761856836</v>
      </c>
      <c r="AN23" s="60" t="n">
        <f aca="false">'Revenue Streams'!AN68*'Assumption Setting'!$C$154</f>
        <v>6902.74007766149</v>
      </c>
      <c r="AO23" s="59" t="n">
        <f aca="false">SUM(AP23:BA23)</f>
        <v>130613.612491689</v>
      </c>
      <c r="AP23" s="60" t="n">
        <f aca="false">'Revenue Streams'!AP68*'Assumption Setting'!$C$154</f>
        <v>7739.1395998373</v>
      </c>
      <c r="AQ23" s="60" t="n">
        <f aca="false">'Revenue Streams'!AQ68*'Assumption Setting'!$C$154</f>
        <v>8249.60373404021</v>
      </c>
      <c r="AR23" s="60" t="n">
        <f aca="false">'Revenue Streams'!AR68*'Assumption Setting'!$C$154</f>
        <v>8832.89972577374</v>
      </c>
      <c r="AS23" s="60" t="n">
        <f aca="false">'Revenue Streams'!AS68*'Assumption Setting'!$C$154</f>
        <v>9418.99160667887</v>
      </c>
      <c r="AT23" s="60" t="n">
        <f aca="false">'Revenue Streams'!AT68*'Assumption Setting'!$C$154</f>
        <v>10007.4138970757</v>
      </c>
      <c r="AU23" s="60" t="n">
        <f aca="false">'Revenue Streams'!AU68*'Assumption Setting'!$C$154</f>
        <v>10594.4083105951</v>
      </c>
      <c r="AV23" s="60" t="n">
        <f aca="false">'Revenue Streams'!AV68*'Assumption Setting'!$C$154</f>
        <v>11179.6210662928</v>
      </c>
      <c r="AW23" s="60" t="n">
        <f aca="false">'Revenue Streams'!AW68*'Assumption Setting'!$C$154</f>
        <v>11762.7176488814</v>
      </c>
      <c r="AX23" s="60" t="n">
        <f aca="false">'Revenue Streams'!AX68*'Assumption Setting'!$C$154</f>
        <v>12343.3819987923</v>
      </c>
      <c r="AY23" s="60" t="n">
        <f aca="false">'Revenue Streams'!AY68*'Assumption Setting'!$C$154</f>
        <v>12921.3157341111</v>
      </c>
      <c r="AZ23" s="60" t="n">
        <f aca="false">'Revenue Streams'!AZ68*'Assumption Setting'!$C$154</f>
        <v>13496.2374031487</v>
      </c>
      <c r="BA23" s="60" t="n">
        <f aca="false">'Revenue Streams'!BA68*'Assumption Setting'!$C$154</f>
        <v>14067.8817664614</v>
      </c>
      <c r="BB23" s="59" t="n">
        <f aca="false">SUM(BC23:BN23)</f>
        <v>233409.14541226</v>
      </c>
      <c r="BC23" s="60" t="n">
        <f aca="false">'Revenue Streams'!BC68*'Assumption Setting'!$C$154</f>
        <v>15451.2672214667</v>
      </c>
      <c r="BD23" s="60" t="n">
        <f aca="false">'Revenue Streams'!BD68*'Assumption Setting'!$C$154</f>
        <v>16143.2641427629</v>
      </c>
      <c r="BE23" s="60" t="n">
        <f aca="false">'Revenue Streams'!BE68*'Assumption Setting'!$C$154</f>
        <v>16879.9558454633</v>
      </c>
      <c r="BF23" s="60" t="n">
        <f aca="false">'Revenue Streams'!BF68*'Assumption Setting'!$C$154</f>
        <v>17618.2154904526</v>
      </c>
      <c r="BG23" s="60" t="n">
        <f aca="false">'Revenue Streams'!BG68*'Assumption Setting'!$C$154</f>
        <v>18357.5888760075</v>
      </c>
      <c r="BH23" s="60" t="n">
        <f aca="false">'Revenue Streams'!BH68*'Assumption Setting'!$C$154</f>
        <v>19094.5270924382</v>
      </c>
      <c r="BI23" s="60" t="n">
        <f aca="false">'Revenue Streams'!BI68*'Assumption Setting'!$C$154</f>
        <v>19828.6776362742</v>
      </c>
      <c r="BJ23" s="60" t="n">
        <f aca="false">'Revenue Streams'!BJ68*'Assumption Setting'!$C$154</f>
        <v>20559.7063091681</v>
      </c>
      <c r="BK23" s="60" t="n">
        <f aca="false">'Revenue Streams'!BK68*'Assumption Setting'!$C$154</f>
        <v>21287.296493473</v>
      </c>
      <c r="BL23" s="60" t="n">
        <f aca="false">'Revenue Streams'!BL68*'Assumption Setting'!$C$154</f>
        <v>22011.1484546815</v>
      </c>
      <c r="BM23" s="60" t="n">
        <f aca="false">'Revenue Streams'!BM68*'Assumption Setting'!$C$154</f>
        <v>22730.9786697452</v>
      </c>
      <c r="BN23" s="60" t="n">
        <f aca="false">'Revenue Streams'!BN68*'Assumption Setting'!$C$154</f>
        <v>23446.5191803268</v>
      </c>
    </row>
    <row r="24" customFormat="false" ht="15" hidden="false" customHeight="false" outlineLevel="0" collapsed="false">
      <c r="A24" s="4" t="s">
        <v>497</v>
      </c>
      <c r="B24" s="59" t="n">
        <f aca="false">SUM(C24:N24)</f>
        <v>338.856119619899</v>
      </c>
      <c r="C24" s="60" t="n">
        <f aca="false">'Revenue Streams'!C73*'Assumption Setting'!$C$155</f>
        <v>0</v>
      </c>
      <c r="D24" s="60" t="n">
        <f aca="false">'Revenue Streams'!D73*'Assumption Setting'!$C$155</f>
        <v>2.48198092058947</v>
      </c>
      <c r="E24" s="60" t="n">
        <f aca="false">'Revenue Streams'!E73*'Assumption Setting'!$C$155</f>
        <v>7.42699815036454</v>
      </c>
      <c r="F24" s="60" t="n">
        <f aca="false">'Revenue Streams'!F73*'Assumption Setting'!$C$155</f>
        <v>16.7154590005335</v>
      </c>
      <c r="G24" s="60" t="n">
        <f aca="false">'Revenue Streams'!G73*'Assumption Setting'!$C$155</f>
        <v>21.7964523973001</v>
      </c>
      <c r="H24" s="60" t="n">
        <f aca="false">'Revenue Streams'!H73*'Assumption Setting'!$C$155</f>
        <v>26.8339128695158</v>
      </c>
      <c r="I24" s="60" t="n">
        <f aca="false">'Revenue Streams'!I73*'Assumption Setting'!$C$155</f>
        <v>31.8212910468286</v>
      </c>
      <c r="J24" s="60" t="n">
        <f aca="false">'Revenue Streams'!J73*'Assumption Setting'!$C$155</f>
        <v>36.752652774535</v>
      </c>
      <c r="K24" s="60" t="n">
        <f aca="false">'Revenue Streams'!K73*'Assumption Setting'!$C$155</f>
        <v>41.6226390406578</v>
      </c>
      <c r="L24" s="60" t="n">
        <f aca="false">'Revenue Streams'!L73*'Assumption Setting'!$C$155</f>
        <v>46.4264282279952</v>
      </c>
      <c r="M24" s="60" t="n">
        <f aca="false">'Revenue Streams'!M73*'Assumption Setting'!$C$155</f>
        <v>51.1597005616727</v>
      </c>
      <c r="N24" s="60" t="n">
        <f aca="false">'Revenue Streams'!N73*'Assumption Setting'!$C$155</f>
        <v>55.8186046299065</v>
      </c>
      <c r="O24" s="59" t="n">
        <f aca="false">SUM(P24:AA24)</f>
        <v>2202.76543595821</v>
      </c>
      <c r="P24" s="60" t="n">
        <f aca="false">'Revenue Streams'!P73*'Assumption Setting'!$C$155</f>
        <v>73.8913598347907</v>
      </c>
      <c r="Q24" s="60" t="n">
        <f aca="false">'Revenue Streams'!Q73*'Assumption Setting'!$C$155</f>
        <v>91.69751105801</v>
      </c>
      <c r="R24" s="60" t="n">
        <f aca="false">'Revenue Streams'!R73*'Assumption Setting'!$C$155</f>
        <v>107.919415014109</v>
      </c>
      <c r="S24" s="60" t="n">
        <f aca="false">'Revenue Streams'!S73*'Assumption Setting'!$C$155</f>
        <v>124.096468301176</v>
      </c>
      <c r="T24" s="60" t="n">
        <f aca="false">'Revenue Streams'!T73*'Assumption Setting'!$C$155</f>
        <v>140.179912202771</v>
      </c>
      <c r="U24" s="60" t="n">
        <f aca="false">'Revenue Streams'!U73*'Assumption Setting'!$C$155</f>
        <v>156.146333048376</v>
      </c>
      <c r="V24" s="60" t="n">
        <f aca="false">'Revenue Streams'!V73*'Assumption Setting'!$C$155</f>
        <v>205.142566194666</v>
      </c>
      <c r="W24" s="60" t="n">
        <f aca="false">'Revenue Streams'!W73*'Assumption Setting'!$C$155</f>
        <v>223.971287282099</v>
      </c>
      <c r="X24" s="60" t="n">
        <f aca="false">'Revenue Streams'!X73*'Assumption Setting'!$C$155</f>
        <v>242.587906737903</v>
      </c>
      <c r="Y24" s="60" t="n">
        <f aca="false">'Revenue Streams'!Y73*'Assumption Setting'!$C$155</f>
        <v>260.977914673658</v>
      </c>
      <c r="Z24" s="60" t="n">
        <f aca="false">'Revenue Streams'!Z73*'Assumption Setting'!$C$155</f>
        <v>279.12813154719</v>
      </c>
      <c r="AA24" s="60" t="n">
        <f aca="false">'Revenue Streams'!AA73*'Assumption Setting'!$C$155</f>
        <v>297.026630063458</v>
      </c>
      <c r="AB24" s="59" t="n">
        <f aca="false">SUM(AC24:AN24)</f>
        <v>7614.4514133579</v>
      </c>
      <c r="AC24" s="60" t="n">
        <f aca="false">'Revenue Streams'!AC73*'Assumption Setting'!$C$155</f>
        <v>388.717436091594</v>
      </c>
      <c r="AD24" s="60" t="n">
        <f aca="false">'Revenue Streams'!AD73*'Assumption Setting'!$C$155</f>
        <v>434.160482001047</v>
      </c>
      <c r="AE24" s="60" t="n">
        <f aca="false">'Revenue Streams'!AE73*'Assumption Setting'!$C$155</f>
        <v>479.765809780762</v>
      </c>
      <c r="AF24" s="60" t="n">
        <f aca="false">'Revenue Streams'!AF73*'Assumption Setting'!$C$155</f>
        <v>525.132464845531</v>
      </c>
      <c r="AG24" s="60" t="n">
        <f aca="false">'Revenue Streams'!AG73*'Assumption Setting'!$C$155</f>
        <v>570.179114414577</v>
      </c>
      <c r="AH24" s="60" t="n">
        <f aca="false">'Revenue Streams'!AH73*'Assumption Setting'!$C$155</f>
        <v>614.844733746302</v>
      </c>
      <c r="AI24" s="60" t="n">
        <f aca="false">'Revenue Streams'!AI73*'Assumption Setting'!$C$155</f>
        <v>659.094515667768</v>
      </c>
      <c r="AJ24" s="60" t="n">
        <f aca="false">'Revenue Streams'!AJ73*'Assumption Setting'!$C$155</f>
        <v>702.896350960645</v>
      </c>
      <c r="AK24" s="60" t="n">
        <f aca="false">'Revenue Streams'!AK73*'Assumption Setting'!$C$155</f>
        <v>746.220687744422</v>
      </c>
      <c r="AL24" s="60" t="n">
        <f aca="false">'Revenue Streams'!AL73*'Assumption Setting'!$C$155</f>
        <v>789.040397337292</v>
      </c>
      <c r="AM24" s="60" t="n">
        <f aca="false">'Revenue Streams'!AM73*'Assumption Setting'!$C$155</f>
        <v>831.330646309733</v>
      </c>
      <c r="AN24" s="60" t="n">
        <f aca="false">'Revenue Streams'!AN73*'Assumption Setting'!$C$155</f>
        <v>873.068774458229</v>
      </c>
      <c r="AO24" s="59" t="n">
        <f aca="false">SUM(AP24:BA24)</f>
        <v>17958.4288580925</v>
      </c>
      <c r="AP24" s="60" t="n">
        <f aca="false">'Revenue Streams'!AP73*'Assumption Setting'!$C$155</f>
        <v>1077.04027268077</v>
      </c>
      <c r="AQ24" s="60" t="n">
        <f aca="false">'Revenue Streams'!AQ73*'Assumption Setting'!$C$155</f>
        <v>1154.45681648306</v>
      </c>
      <c r="AR24" s="60" t="n">
        <f aca="false">'Revenue Streams'!AR73*'Assumption Setting'!$C$155</f>
        <v>1232.78662972841</v>
      </c>
      <c r="AS24" s="60" t="n">
        <f aca="false">'Revenue Streams'!AS73*'Assumption Setting'!$C$155</f>
        <v>1310.48265104481</v>
      </c>
      <c r="AT24" s="60" t="n">
        <f aca="false">'Revenue Streams'!AT73*'Assumption Setting'!$C$155</f>
        <v>1387.45942268483</v>
      </c>
      <c r="AU24" s="60" t="n">
        <f aca="false">'Revenue Streams'!AU73*'Assumption Setting'!$C$155</f>
        <v>1463.64673827307</v>
      </c>
      <c r="AV24" s="60" t="n">
        <f aca="false">'Revenue Streams'!AV73*'Assumption Setting'!$C$155</f>
        <v>1539.00122311356</v>
      </c>
      <c r="AW24" s="60" t="n">
        <f aca="false">'Revenue Streams'!AW73*'Assumption Setting'!$C$155</f>
        <v>1613.48292314279</v>
      </c>
      <c r="AX24" s="60" t="n">
        <f aca="false">'Revenue Streams'!AX73*'Assumption Setting'!$C$155</f>
        <v>1687.05513542141</v>
      </c>
      <c r="AY24" s="60" t="n">
        <f aca="false">'Revenue Streams'!AY73*'Assumption Setting'!$C$155</f>
        <v>1759.68424591629</v>
      </c>
      <c r="AZ24" s="60" t="n">
        <f aca="false">'Revenue Streams'!AZ73*'Assumption Setting'!$C$155</f>
        <v>1831.33957427744</v>
      </c>
      <c r="BA24" s="60" t="n">
        <f aca="false">'Revenue Streams'!BA73*'Assumption Setting'!$C$155</f>
        <v>1901.99322532605</v>
      </c>
      <c r="BB24" s="59" t="n">
        <f aca="false">SUM(BC24:BN24)</f>
        <v>33285.9149636205</v>
      </c>
      <c r="BC24" s="60" t="n">
        <f aca="false">'Revenue Streams'!BC73*'Assumption Setting'!$C$155</f>
        <v>2238.63106751505</v>
      </c>
      <c r="BD24" s="60" t="n">
        <f aca="false">'Revenue Streams'!BD73*'Assumption Setting'!$C$155</f>
        <v>2338.29178223457</v>
      </c>
      <c r="BE24" s="60" t="n">
        <f aca="false">'Revenue Streams'!BE73*'Assumption Setting'!$C$155</f>
        <v>2438.34829792689</v>
      </c>
      <c r="BF24" s="60" t="n">
        <f aca="false">'Revenue Streams'!BF73*'Assumption Setting'!$C$155</f>
        <v>2537.46057374838</v>
      </c>
      <c r="BG24" s="60" t="n">
        <f aca="false">'Revenue Streams'!BG73*'Assumption Setting'!$C$155</f>
        <v>2635.54448344545</v>
      </c>
      <c r="BH24" s="60" t="n">
        <f aca="false">'Revenue Streams'!BH73*'Assumption Setting'!$C$155</f>
        <v>2732.52826560874</v>
      </c>
      <c r="BI24" s="60" t="n">
        <f aca="false">'Revenue Streams'!BI73*'Assumption Setting'!$C$155</f>
        <v>2828.36795892691</v>
      </c>
      <c r="BJ24" s="60" t="n">
        <f aca="false">'Revenue Streams'!BJ73*'Assumption Setting'!$C$155</f>
        <v>2923.02310598645</v>
      </c>
      <c r="BK24" s="60" t="n">
        <f aca="false">'Revenue Streams'!BK73*'Assumption Setting'!$C$155</f>
        <v>3016.45658669265</v>
      </c>
      <c r="BL24" s="60" t="n">
        <f aca="false">'Revenue Streams'!BL73*'Assumption Setting'!$C$155</f>
        <v>3108.63445849691</v>
      </c>
      <c r="BM24" s="60" t="n">
        <f aca="false">'Revenue Streams'!BM73*'Assumption Setting'!$C$155</f>
        <v>3199.52580316975</v>
      </c>
      <c r="BN24" s="60" t="n">
        <f aca="false">'Revenue Streams'!BN73*'Assumption Setting'!$C$155</f>
        <v>3289.1025798687</v>
      </c>
    </row>
    <row r="25" customFormat="false" ht="15" hidden="false" customHeight="false" outlineLevel="0" collapsed="false">
      <c r="A25" s="4" t="s">
        <v>925</v>
      </c>
      <c r="B25" s="59" t="n">
        <f aca="false">SUM(C25:N25)</f>
        <v>40200</v>
      </c>
      <c r="C25" s="63" t="n">
        <f aca="false">Acquisitions!C13</f>
        <v>3350</v>
      </c>
      <c r="D25" s="63" t="n">
        <f aca="false">Acquisitions!D13</f>
        <v>3350</v>
      </c>
      <c r="E25" s="63" t="n">
        <f aca="false">Acquisitions!E13</f>
        <v>3350</v>
      </c>
      <c r="F25" s="63" t="n">
        <f aca="false">Acquisitions!F13</f>
        <v>3350</v>
      </c>
      <c r="G25" s="63" t="n">
        <f aca="false">Acquisitions!G13</f>
        <v>3350</v>
      </c>
      <c r="H25" s="63" t="n">
        <f aca="false">Acquisitions!H13</f>
        <v>3350</v>
      </c>
      <c r="I25" s="63" t="n">
        <f aca="false">Acquisitions!I13</f>
        <v>3350</v>
      </c>
      <c r="J25" s="63" t="n">
        <f aca="false">Acquisitions!J13</f>
        <v>3350</v>
      </c>
      <c r="K25" s="63" t="n">
        <f aca="false">Acquisitions!K13</f>
        <v>3350</v>
      </c>
      <c r="L25" s="63" t="n">
        <f aca="false">Acquisitions!L13</f>
        <v>3350</v>
      </c>
      <c r="M25" s="63" t="n">
        <f aca="false">Acquisitions!M13</f>
        <v>3350</v>
      </c>
      <c r="N25" s="63" t="n">
        <f aca="false">Acquisitions!N13</f>
        <v>3350</v>
      </c>
      <c r="O25" s="59" t="n">
        <f aca="false">SUM(P25:AA25)</f>
        <v>90000</v>
      </c>
      <c r="P25" s="63" t="n">
        <f aca="false">Acquisitions!P13</f>
        <v>7500</v>
      </c>
      <c r="Q25" s="63" t="n">
        <f aca="false">Acquisitions!Q13</f>
        <v>7500</v>
      </c>
      <c r="R25" s="63" t="n">
        <f aca="false">Acquisitions!R13</f>
        <v>7500</v>
      </c>
      <c r="S25" s="63" t="n">
        <f aca="false">Acquisitions!S13</f>
        <v>7500</v>
      </c>
      <c r="T25" s="63" t="n">
        <f aca="false">Acquisitions!T13</f>
        <v>7500</v>
      </c>
      <c r="U25" s="63" t="n">
        <f aca="false">Acquisitions!U13</f>
        <v>7500</v>
      </c>
      <c r="V25" s="63" t="n">
        <f aca="false">Acquisitions!V13</f>
        <v>7500</v>
      </c>
      <c r="W25" s="63" t="n">
        <f aca="false">Acquisitions!W13</f>
        <v>7500</v>
      </c>
      <c r="X25" s="63" t="n">
        <f aca="false">Acquisitions!X13</f>
        <v>7500</v>
      </c>
      <c r="Y25" s="63" t="n">
        <f aca="false">Acquisitions!Y13</f>
        <v>7500</v>
      </c>
      <c r="Z25" s="63" t="n">
        <f aca="false">Acquisitions!Z13</f>
        <v>7500</v>
      </c>
      <c r="AA25" s="63" t="n">
        <f aca="false">Acquisitions!AA13</f>
        <v>7500</v>
      </c>
      <c r="AB25" s="59" t="n">
        <f aca="false">SUM(AC25:AN25)</f>
        <v>156000</v>
      </c>
      <c r="AC25" s="63" t="n">
        <f aca="false">Acquisitions!AC13</f>
        <v>13000</v>
      </c>
      <c r="AD25" s="63" t="n">
        <f aca="false">Acquisitions!AD13</f>
        <v>13000</v>
      </c>
      <c r="AE25" s="63" t="n">
        <f aca="false">Acquisitions!AE13</f>
        <v>13000</v>
      </c>
      <c r="AF25" s="63" t="n">
        <f aca="false">Acquisitions!AF13</f>
        <v>13000</v>
      </c>
      <c r="AG25" s="63" t="n">
        <f aca="false">Acquisitions!AG13</f>
        <v>13000</v>
      </c>
      <c r="AH25" s="63" t="n">
        <f aca="false">Acquisitions!AH13</f>
        <v>13000</v>
      </c>
      <c r="AI25" s="63" t="n">
        <f aca="false">Acquisitions!AI13</f>
        <v>13000</v>
      </c>
      <c r="AJ25" s="63" t="n">
        <f aca="false">Acquisitions!AJ13</f>
        <v>13000</v>
      </c>
      <c r="AK25" s="63" t="n">
        <f aca="false">Acquisitions!AK13</f>
        <v>13000</v>
      </c>
      <c r="AL25" s="63" t="n">
        <f aca="false">Acquisitions!AL13</f>
        <v>13000</v>
      </c>
      <c r="AM25" s="63" t="n">
        <f aca="false">Acquisitions!AM13</f>
        <v>13000</v>
      </c>
      <c r="AN25" s="63" t="n">
        <f aca="false">Acquisitions!AN13</f>
        <v>13000</v>
      </c>
      <c r="AO25" s="59" t="n">
        <f aca="false">SUM(AP25:BA25)</f>
        <v>219600</v>
      </c>
      <c r="AP25" s="63" t="n">
        <f aca="false">Acquisitions!AP13</f>
        <v>18300</v>
      </c>
      <c r="AQ25" s="63" t="n">
        <f aca="false">Acquisitions!AQ13</f>
        <v>18300</v>
      </c>
      <c r="AR25" s="63" t="n">
        <f aca="false">Acquisitions!AR13</f>
        <v>18300</v>
      </c>
      <c r="AS25" s="63" t="n">
        <f aca="false">Acquisitions!AS13</f>
        <v>18300</v>
      </c>
      <c r="AT25" s="63" t="n">
        <f aca="false">Acquisitions!AT13</f>
        <v>18300</v>
      </c>
      <c r="AU25" s="63" t="n">
        <f aca="false">Acquisitions!AU13</f>
        <v>18300</v>
      </c>
      <c r="AV25" s="63" t="n">
        <f aca="false">Acquisitions!AV13</f>
        <v>18300</v>
      </c>
      <c r="AW25" s="63" t="n">
        <f aca="false">Acquisitions!AW13</f>
        <v>18300</v>
      </c>
      <c r="AX25" s="63" t="n">
        <f aca="false">Acquisitions!AX13</f>
        <v>18300</v>
      </c>
      <c r="AY25" s="63" t="n">
        <f aca="false">Acquisitions!AY13</f>
        <v>18300</v>
      </c>
      <c r="AZ25" s="63" t="n">
        <f aca="false">Acquisitions!AZ13</f>
        <v>18300</v>
      </c>
      <c r="BA25" s="63" t="n">
        <f aca="false">Acquisitions!BA13</f>
        <v>18300</v>
      </c>
      <c r="BB25" s="59" t="n">
        <f aca="false">SUM(BC25:BN25)</f>
        <v>282000</v>
      </c>
      <c r="BC25" s="63" t="n">
        <f aca="false">Acquisitions!BC13</f>
        <v>23500</v>
      </c>
      <c r="BD25" s="63" t="n">
        <f aca="false">Acquisitions!BD13</f>
        <v>23500</v>
      </c>
      <c r="BE25" s="63" t="n">
        <f aca="false">Acquisitions!BE13</f>
        <v>23500</v>
      </c>
      <c r="BF25" s="63" t="n">
        <f aca="false">Acquisitions!BF13</f>
        <v>23500</v>
      </c>
      <c r="BG25" s="63" t="n">
        <f aca="false">Acquisitions!BG13</f>
        <v>23500</v>
      </c>
      <c r="BH25" s="63" t="n">
        <f aca="false">Acquisitions!BH13</f>
        <v>23500</v>
      </c>
      <c r="BI25" s="63" t="n">
        <f aca="false">Acquisitions!BI13</f>
        <v>23500</v>
      </c>
      <c r="BJ25" s="63" t="n">
        <f aca="false">Acquisitions!BJ13</f>
        <v>23500</v>
      </c>
      <c r="BK25" s="63" t="n">
        <f aca="false">Acquisitions!BK13</f>
        <v>23500</v>
      </c>
      <c r="BL25" s="63" t="n">
        <f aca="false">Acquisitions!BL13</f>
        <v>23500</v>
      </c>
      <c r="BM25" s="63" t="n">
        <f aca="false">Acquisitions!BM13</f>
        <v>23500</v>
      </c>
      <c r="BN25" s="63" t="n">
        <f aca="false">Acquisitions!BN13</f>
        <v>23500</v>
      </c>
    </row>
    <row r="26" customFormat="false" ht="15" hidden="false" customHeight="false" outlineLevel="0" collapsed="false">
      <c r="A26" s="4" t="s">
        <v>926</v>
      </c>
      <c r="B26" s="59" t="n">
        <f aca="false">SUM(C26:N26)</f>
        <v>14760</v>
      </c>
      <c r="C26" s="63" t="n">
        <f aca="false">Acquisitions!C56</f>
        <v>1230</v>
      </c>
      <c r="D26" s="63" t="n">
        <f aca="false">Acquisitions!D56</f>
        <v>1230</v>
      </c>
      <c r="E26" s="63" t="n">
        <f aca="false">Acquisitions!E56</f>
        <v>1230</v>
      </c>
      <c r="F26" s="63" t="n">
        <f aca="false">Acquisitions!F56</f>
        <v>1230</v>
      </c>
      <c r="G26" s="63" t="n">
        <f aca="false">Acquisitions!G56</f>
        <v>1230</v>
      </c>
      <c r="H26" s="63" t="n">
        <f aca="false">Acquisitions!H56</f>
        <v>1230</v>
      </c>
      <c r="I26" s="63" t="n">
        <f aca="false">Acquisitions!I56</f>
        <v>1230</v>
      </c>
      <c r="J26" s="63" t="n">
        <f aca="false">Acquisitions!J56</f>
        <v>1230</v>
      </c>
      <c r="K26" s="63" t="n">
        <f aca="false">Acquisitions!K56</f>
        <v>1230</v>
      </c>
      <c r="L26" s="63" t="n">
        <f aca="false">Acquisitions!L56</f>
        <v>1230</v>
      </c>
      <c r="M26" s="63" t="n">
        <f aca="false">Acquisitions!M56</f>
        <v>1230</v>
      </c>
      <c r="N26" s="63" t="n">
        <f aca="false">Acquisitions!N56</f>
        <v>1230</v>
      </c>
      <c r="O26" s="59" t="n">
        <f aca="false">SUM(P26:AA26)</f>
        <v>34920</v>
      </c>
      <c r="P26" s="63" t="n">
        <f aca="false">Acquisitions!P56</f>
        <v>2910</v>
      </c>
      <c r="Q26" s="63" t="n">
        <f aca="false">Acquisitions!Q56</f>
        <v>2910</v>
      </c>
      <c r="R26" s="63" t="n">
        <f aca="false">Acquisitions!R56</f>
        <v>2910</v>
      </c>
      <c r="S26" s="63" t="n">
        <f aca="false">Acquisitions!S56</f>
        <v>2910</v>
      </c>
      <c r="T26" s="63" t="n">
        <f aca="false">Acquisitions!T56</f>
        <v>2910</v>
      </c>
      <c r="U26" s="63" t="n">
        <f aca="false">Acquisitions!U56</f>
        <v>2910</v>
      </c>
      <c r="V26" s="63" t="n">
        <f aca="false">Acquisitions!V56</f>
        <v>2910</v>
      </c>
      <c r="W26" s="63" t="n">
        <f aca="false">Acquisitions!W56</f>
        <v>2910</v>
      </c>
      <c r="X26" s="63" t="n">
        <f aca="false">Acquisitions!X56</f>
        <v>2910</v>
      </c>
      <c r="Y26" s="63" t="n">
        <f aca="false">Acquisitions!Y56</f>
        <v>2910</v>
      </c>
      <c r="Z26" s="63" t="n">
        <f aca="false">Acquisitions!Z56</f>
        <v>2910</v>
      </c>
      <c r="AA26" s="63" t="n">
        <f aca="false">Acquisitions!AA56</f>
        <v>2910</v>
      </c>
      <c r="AB26" s="59" t="n">
        <f aca="false">SUM(AC26:AN26)</f>
        <v>55080</v>
      </c>
      <c r="AC26" s="63" t="n">
        <f aca="false">Acquisitions!AC56</f>
        <v>4590</v>
      </c>
      <c r="AD26" s="63" t="n">
        <f aca="false">Acquisitions!AD56</f>
        <v>4590</v>
      </c>
      <c r="AE26" s="63" t="n">
        <f aca="false">Acquisitions!AE56</f>
        <v>4590</v>
      </c>
      <c r="AF26" s="63" t="n">
        <f aca="false">Acquisitions!AF56</f>
        <v>4590</v>
      </c>
      <c r="AG26" s="63" t="n">
        <f aca="false">Acquisitions!AG56</f>
        <v>4590</v>
      </c>
      <c r="AH26" s="63" t="n">
        <f aca="false">Acquisitions!AH56</f>
        <v>4590</v>
      </c>
      <c r="AI26" s="63" t="n">
        <f aca="false">Acquisitions!AI56</f>
        <v>4590</v>
      </c>
      <c r="AJ26" s="63" t="n">
        <f aca="false">Acquisitions!AJ56</f>
        <v>4590</v>
      </c>
      <c r="AK26" s="63" t="n">
        <f aca="false">Acquisitions!AK56</f>
        <v>4590</v>
      </c>
      <c r="AL26" s="63" t="n">
        <f aca="false">Acquisitions!AL56</f>
        <v>4590</v>
      </c>
      <c r="AM26" s="63" t="n">
        <f aca="false">Acquisitions!AM56</f>
        <v>4590</v>
      </c>
      <c r="AN26" s="63" t="n">
        <f aca="false">Acquisitions!AN56</f>
        <v>4590</v>
      </c>
      <c r="AO26" s="59" t="n">
        <f aca="false">SUM(AP26:BA26)</f>
        <v>75240</v>
      </c>
      <c r="AP26" s="63" t="n">
        <f aca="false">Acquisitions!AP56</f>
        <v>6270</v>
      </c>
      <c r="AQ26" s="63" t="n">
        <f aca="false">Acquisitions!AQ56</f>
        <v>6270</v>
      </c>
      <c r="AR26" s="63" t="n">
        <f aca="false">Acquisitions!AR56</f>
        <v>6270</v>
      </c>
      <c r="AS26" s="63" t="n">
        <f aca="false">Acquisitions!AS56</f>
        <v>6270</v>
      </c>
      <c r="AT26" s="63" t="n">
        <f aca="false">Acquisitions!AT56</f>
        <v>6270</v>
      </c>
      <c r="AU26" s="63" t="n">
        <f aca="false">Acquisitions!AU56</f>
        <v>6270</v>
      </c>
      <c r="AV26" s="63" t="n">
        <f aca="false">Acquisitions!AV56</f>
        <v>6270</v>
      </c>
      <c r="AW26" s="63" t="n">
        <f aca="false">Acquisitions!AW56</f>
        <v>6270</v>
      </c>
      <c r="AX26" s="63" t="n">
        <f aca="false">Acquisitions!AX56</f>
        <v>6270</v>
      </c>
      <c r="AY26" s="63" t="n">
        <f aca="false">Acquisitions!AY56</f>
        <v>6270</v>
      </c>
      <c r="AZ26" s="63" t="n">
        <f aca="false">Acquisitions!AZ56</f>
        <v>6270</v>
      </c>
      <c r="BA26" s="63" t="n">
        <f aca="false">Acquisitions!BA56</f>
        <v>6270</v>
      </c>
      <c r="BB26" s="59" t="n">
        <f aca="false">SUM(BC26:BN26)</f>
        <v>95400</v>
      </c>
      <c r="BC26" s="63" t="n">
        <f aca="false">Acquisitions!BC56</f>
        <v>7950</v>
      </c>
      <c r="BD26" s="63" t="n">
        <f aca="false">Acquisitions!BD56</f>
        <v>7950</v>
      </c>
      <c r="BE26" s="63" t="n">
        <f aca="false">Acquisitions!BE56</f>
        <v>7950</v>
      </c>
      <c r="BF26" s="63" t="n">
        <f aca="false">Acquisitions!BF56</f>
        <v>7950</v>
      </c>
      <c r="BG26" s="63" t="n">
        <f aca="false">Acquisitions!BG56</f>
        <v>7950</v>
      </c>
      <c r="BH26" s="63" t="n">
        <f aca="false">Acquisitions!BH56</f>
        <v>7950</v>
      </c>
      <c r="BI26" s="63" t="n">
        <f aca="false">Acquisitions!BI56</f>
        <v>7950</v>
      </c>
      <c r="BJ26" s="63" t="n">
        <f aca="false">Acquisitions!BJ56</f>
        <v>7950</v>
      </c>
      <c r="BK26" s="63" t="n">
        <f aca="false">Acquisitions!BK56</f>
        <v>7950</v>
      </c>
      <c r="BL26" s="63" t="n">
        <f aca="false">Acquisitions!BL56</f>
        <v>7950</v>
      </c>
      <c r="BM26" s="63" t="n">
        <f aca="false">Acquisitions!BM56</f>
        <v>7950</v>
      </c>
      <c r="BN26" s="63" t="n">
        <f aca="false">Acquisitions!BN56</f>
        <v>7950</v>
      </c>
    </row>
    <row r="27" customFormat="false" ht="15" hidden="false" customHeight="false" outlineLevel="0" collapsed="false">
      <c r="A27" s="4" t="s">
        <v>927</v>
      </c>
      <c r="B27" s="59" t="n">
        <f aca="false">SUM(C27:N27)</f>
        <v>10800</v>
      </c>
      <c r="C27" s="60" t="n">
        <f aca="false">'Assumption Setting'!$C$174*'Timeline and FX'!C11</f>
        <v>900</v>
      </c>
      <c r="D27" s="60" t="n">
        <f aca="false">'Assumption Setting'!$C$174*'Timeline and FX'!D11</f>
        <v>900</v>
      </c>
      <c r="E27" s="60" t="n">
        <f aca="false">'Assumption Setting'!$C$174*'Timeline and FX'!E11</f>
        <v>900</v>
      </c>
      <c r="F27" s="60" t="n">
        <f aca="false">'Assumption Setting'!$C$174*'Timeline and FX'!F11</f>
        <v>900</v>
      </c>
      <c r="G27" s="60" t="n">
        <f aca="false">'Assumption Setting'!$C$174*'Timeline and FX'!G11</f>
        <v>900</v>
      </c>
      <c r="H27" s="60" t="n">
        <f aca="false">'Assumption Setting'!$C$174*'Timeline and FX'!H11</f>
        <v>900</v>
      </c>
      <c r="I27" s="60" t="n">
        <f aca="false">'Assumption Setting'!$C$174*'Timeline and FX'!I11</f>
        <v>900</v>
      </c>
      <c r="J27" s="60" t="n">
        <f aca="false">'Assumption Setting'!$C$174*'Timeline and FX'!J11</f>
        <v>900</v>
      </c>
      <c r="K27" s="60" t="n">
        <f aca="false">'Assumption Setting'!$C$174*'Timeline and FX'!K11</f>
        <v>900</v>
      </c>
      <c r="L27" s="60" t="n">
        <f aca="false">'Assumption Setting'!$C$174*'Timeline and FX'!L11</f>
        <v>900</v>
      </c>
      <c r="M27" s="60" t="n">
        <f aca="false">'Assumption Setting'!$C$174*'Timeline and FX'!M11</f>
        <v>900</v>
      </c>
      <c r="N27" s="60" t="n">
        <f aca="false">'Assumption Setting'!$C$174*'Timeline and FX'!N11</f>
        <v>900</v>
      </c>
      <c r="O27" s="59" t="n">
        <f aca="false">SUM(P27:AA27)</f>
        <v>11664</v>
      </c>
      <c r="P27" s="60" t="n">
        <f aca="false">'Assumption Setting'!$C$174*'Timeline and FX'!P11</f>
        <v>972</v>
      </c>
      <c r="Q27" s="60" t="n">
        <f aca="false">'Assumption Setting'!$C$174*'Timeline and FX'!Q11</f>
        <v>972</v>
      </c>
      <c r="R27" s="60" t="n">
        <f aca="false">'Assumption Setting'!$C$174*'Timeline and FX'!R11</f>
        <v>972</v>
      </c>
      <c r="S27" s="60" t="n">
        <f aca="false">'Assumption Setting'!$C$174*'Timeline and FX'!S11</f>
        <v>972</v>
      </c>
      <c r="T27" s="60" t="n">
        <f aca="false">'Assumption Setting'!$C$174*'Timeline and FX'!T11</f>
        <v>972</v>
      </c>
      <c r="U27" s="60" t="n">
        <f aca="false">'Assumption Setting'!$C$174*'Timeline and FX'!U11</f>
        <v>972</v>
      </c>
      <c r="V27" s="60" t="n">
        <f aca="false">'Assumption Setting'!$C$174*'Timeline and FX'!V11</f>
        <v>972</v>
      </c>
      <c r="W27" s="60" t="n">
        <f aca="false">'Assumption Setting'!$C$174*'Timeline and FX'!W11</f>
        <v>972</v>
      </c>
      <c r="X27" s="60" t="n">
        <f aca="false">'Assumption Setting'!$C$174*'Timeline and FX'!X11</f>
        <v>972</v>
      </c>
      <c r="Y27" s="60" t="n">
        <f aca="false">'Assumption Setting'!$C$174*'Timeline and FX'!Y11</f>
        <v>972</v>
      </c>
      <c r="Z27" s="60" t="n">
        <f aca="false">'Assumption Setting'!$C$174*'Timeline and FX'!Z11</f>
        <v>972</v>
      </c>
      <c r="AA27" s="60" t="n">
        <f aca="false">'Assumption Setting'!$C$174*'Timeline and FX'!AA11</f>
        <v>972</v>
      </c>
      <c r="AB27" s="59" t="n">
        <f aca="false">SUM(AC27:AN27)</f>
        <v>12597.12</v>
      </c>
      <c r="AC27" s="60" t="n">
        <f aca="false">'Assumption Setting'!$C$174*'Timeline and FX'!AC11</f>
        <v>1049.76</v>
      </c>
      <c r="AD27" s="60" t="n">
        <f aca="false">'Assumption Setting'!$C$174*'Timeline and FX'!AD11</f>
        <v>1049.76</v>
      </c>
      <c r="AE27" s="60" t="n">
        <f aca="false">'Assumption Setting'!$C$174*'Timeline and FX'!AE11</f>
        <v>1049.76</v>
      </c>
      <c r="AF27" s="60" t="n">
        <f aca="false">'Assumption Setting'!$C$174*'Timeline and FX'!AF11</f>
        <v>1049.76</v>
      </c>
      <c r="AG27" s="60" t="n">
        <f aca="false">'Assumption Setting'!$C$174*'Timeline and FX'!AG11</f>
        <v>1049.76</v>
      </c>
      <c r="AH27" s="60" t="n">
        <f aca="false">'Assumption Setting'!$C$174*'Timeline and FX'!AH11</f>
        <v>1049.76</v>
      </c>
      <c r="AI27" s="60" t="n">
        <f aca="false">'Assumption Setting'!$C$174*'Timeline and FX'!AI11</f>
        <v>1049.76</v>
      </c>
      <c r="AJ27" s="60" t="n">
        <f aca="false">'Assumption Setting'!$C$174*'Timeline and FX'!AJ11</f>
        <v>1049.76</v>
      </c>
      <c r="AK27" s="60" t="n">
        <f aca="false">'Assumption Setting'!$C$174*'Timeline and FX'!AK11</f>
        <v>1049.76</v>
      </c>
      <c r="AL27" s="60" t="n">
        <f aca="false">'Assumption Setting'!$C$174*'Timeline and FX'!AL11</f>
        <v>1049.76</v>
      </c>
      <c r="AM27" s="60" t="n">
        <f aca="false">'Assumption Setting'!$C$174*'Timeline and FX'!AM11</f>
        <v>1049.76</v>
      </c>
      <c r="AN27" s="60" t="n">
        <f aca="false">'Assumption Setting'!$C$174*'Timeline and FX'!AN11</f>
        <v>1049.76</v>
      </c>
      <c r="AO27" s="59" t="n">
        <f aca="false">SUM(AP27:BA27)</f>
        <v>13478.9184</v>
      </c>
      <c r="AP27" s="60" t="n">
        <f aca="false">'Assumption Setting'!$C$174*'Timeline and FX'!AP11</f>
        <v>1123.2432</v>
      </c>
      <c r="AQ27" s="60" t="n">
        <f aca="false">'Assumption Setting'!$C$174*'Timeline and FX'!AQ11</f>
        <v>1123.2432</v>
      </c>
      <c r="AR27" s="60" t="n">
        <f aca="false">'Assumption Setting'!$C$174*'Timeline and FX'!AR11</f>
        <v>1123.2432</v>
      </c>
      <c r="AS27" s="60" t="n">
        <f aca="false">'Assumption Setting'!$C$174*'Timeline and FX'!AS11</f>
        <v>1123.2432</v>
      </c>
      <c r="AT27" s="60" t="n">
        <f aca="false">'Assumption Setting'!$C$174*'Timeline and FX'!AT11</f>
        <v>1123.2432</v>
      </c>
      <c r="AU27" s="60" t="n">
        <f aca="false">'Assumption Setting'!$C$174*'Timeline and FX'!AU11</f>
        <v>1123.2432</v>
      </c>
      <c r="AV27" s="60" t="n">
        <f aca="false">'Assumption Setting'!$C$174*'Timeline and FX'!AV11</f>
        <v>1123.2432</v>
      </c>
      <c r="AW27" s="60" t="n">
        <f aca="false">'Assumption Setting'!$C$174*'Timeline and FX'!AW11</f>
        <v>1123.2432</v>
      </c>
      <c r="AX27" s="60" t="n">
        <f aca="false">'Assumption Setting'!$C$174*'Timeline and FX'!AX11</f>
        <v>1123.2432</v>
      </c>
      <c r="AY27" s="60" t="n">
        <f aca="false">'Assumption Setting'!$C$174*'Timeline and FX'!AY11</f>
        <v>1123.2432</v>
      </c>
      <c r="AZ27" s="60" t="n">
        <f aca="false">'Assumption Setting'!$C$174*'Timeline and FX'!AZ11</f>
        <v>1123.2432</v>
      </c>
      <c r="BA27" s="60" t="n">
        <f aca="false">'Assumption Setting'!$C$174*'Timeline and FX'!BA11</f>
        <v>1123.2432</v>
      </c>
      <c r="BB27" s="59" t="n">
        <f aca="false">SUM(BC27:BN27)</f>
        <v>14287.653504</v>
      </c>
      <c r="BC27" s="60" t="n">
        <f aca="false">'Assumption Setting'!$C$174*'Timeline and FX'!BC11</f>
        <v>1190.637792</v>
      </c>
      <c r="BD27" s="60" t="n">
        <f aca="false">'Assumption Setting'!$C$174*'Timeline and FX'!BD11</f>
        <v>1190.637792</v>
      </c>
      <c r="BE27" s="60" t="n">
        <f aca="false">'Assumption Setting'!$C$174*'Timeline and FX'!BE11</f>
        <v>1190.637792</v>
      </c>
      <c r="BF27" s="60" t="n">
        <f aca="false">'Assumption Setting'!$C$174*'Timeline and FX'!BF11</f>
        <v>1190.637792</v>
      </c>
      <c r="BG27" s="60" t="n">
        <f aca="false">'Assumption Setting'!$C$174*'Timeline and FX'!BG11</f>
        <v>1190.637792</v>
      </c>
      <c r="BH27" s="60" t="n">
        <f aca="false">'Assumption Setting'!$C$174*'Timeline and FX'!BH11</f>
        <v>1190.637792</v>
      </c>
      <c r="BI27" s="60" t="n">
        <f aca="false">'Assumption Setting'!$C$174*'Timeline and FX'!BI11</f>
        <v>1190.637792</v>
      </c>
      <c r="BJ27" s="60" t="n">
        <f aca="false">'Assumption Setting'!$C$174*'Timeline and FX'!BJ11</f>
        <v>1190.637792</v>
      </c>
      <c r="BK27" s="60" t="n">
        <f aca="false">'Assumption Setting'!$C$174*'Timeline and FX'!BK11</f>
        <v>1190.637792</v>
      </c>
      <c r="BL27" s="60" t="n">
        <f aca="false">'Assumption Setting'!$C$174*'Timeline and FX'!BL11</f>
        <v>1190.637792</v>
      </c>
      <c r="BM27" s="60" t="n">
        <f aca="false">'Assumption Setting'!$C$174*'Timeline and FX'!BM11</f>
        <v>1190.637792</v>
      </c>
      <c r="BN27" s="60" t="n">
        <f aca="false">'Assumption Setting'!$C$174*'Timeline and FX'!BN11</f>
        <v>1190.637792</v>
      </c>
    </row>
    <row r="28" customFormat="false" ht="15" hidden="false" customHeight="false" outlineLevel="0" collapsed="false">
      <c r="A28" s="4" t="s">
        <v>928</v>
      </c>
      <c r="B28" s="59" t="n">
        <f aca="false">SUM(C28:N28)</f>
        <v>6000</v>
      </c>
      <c r="C28" s="60" t="n">
        <f aca="false">'Assumption Setting'!$C$175*'Timeline and FX'!C11</f>
        <v>500</v>
      </c>
      <c r="D28" s="60" t="n">
        <f aca="false">'Assumption Setting'!$C$175*'Timeline and FX'!D11</f>
        <v>500</v>
      </c>
      <c r="E28" s="60" t="n">
        <f aca="false">'Assumption Setting'!$C$175*'Timeline and FX'!E11</f>
        <v>500</v>
      </c>
      <c r="F28" s="60" t="n">
        <f aca="false">'Assumption Setting'!$C$175*'Timeline and FX'!F11</f>
        <v>500</v>
      </c>
      <c r="G28" s="60" t="n">
        <f aca="false">'Assumption Setting'!$C$175*'Timeline and FX'!G11</f>
        <v>500</v>
      </c>
      <c r="H28" s="60" t="n">
        <f aca="false">'Assumption Setting'!$C$175*'Timeline and FX'!H11</f>
        <v>500</v>
      </c>
      <c r="I28" s="60" t="n">
        <f aca="false">'Assumption Setting'!$C$175*'Timeline and FX'!I11</f>
        <v>500</v>
      </c>
      <c r="J28" s="60" t="n">
        <f aca="false">'Assumption Setting'!$C$175*'Timeline and FX'!J11</f>
        <v>500</v>
      </c>
      <c r="K28" s="60" t="n">
        <f aca="false">'Assumption Setting'!$C$175*'Timeline and FX'!K11</f>
        <v>500</v>
      </c>
      <c r="L28" s="60" t="n">
        <f aca="false">'Assumption Setting'!$C$175*'Timeline and FX'!L11</f>
        <v>500</v>
      </c>
      <c r="M28" s="60" t="n">
        <f aca="false">'Assumption Setting'!$C$175*'Timeline and FX'!M11</f>
        <v>500</v>
      </c>
      <c r="N28" s="60" t="n">
        <f aca="false">'Assumption Setting'!$C$175*'Timeline and FX'!N11</f>
        <v>500</v>
      </c>
      <c r="O28" s="59" t="n">
        <f aca="false">SUM(P28:AA28)</f>
        <v>6480</v>
      </c>
      <c r="P28" s="60" t="n">
        <f aca="false">'Assumption Setting'!$C$175*'Timeline and FX'!P11</f>
        <v>540</v>
      </c>
      <c r="Q28" s="60" t="n">
        <f aca="false">'Assumption Setting'!$C$175*'Timeline and FX'!Q11</f>
        <v>540</v>
      </c>
      <c r="R28" s="60" t="n">
        <f aca="false">'Assumption Setting'!$C$175*'Timeline and FX'!R11</f>
        <v>540</v>
      </c>
      <c r="S28" s="60" t="n">
        <f aca="false">'Assumption Setting'!$C$175*'Timeline and FX'!S11</f>
        <v>540</v>
      </c>
      <c r="T28" s="60" t="n">
        <f aca="false">'Assumption Setting'!$C$175*'Timeline and FX'!T11</f>
        <v>540</v>
      </c>
      <c r="U28" s="60" t="n">
        <f aca="false">'Assumption Setting'!$C$175*'Timeline and FX'!U11</f>
        <v>540</v>
      </c>
      <c r="V28" s="60" t="n">
        <f aca="false">'Assumption Setting'!$C$175*'Timeline and FX'!V11</f>
        <v>540</v>
      </c>
      <c r="W28" s="60" t="n">
        <f aca="false">'Assumption Setting'!$C$175*'Timeline and FX'!W11</f>
        <v>540</v>
      </c>
      <c r="X28" s="60" t="n">
        <f aca="false">'Assumption Setting'!$C$175*'Timeline and FX'!X11</f>
        <v>540</v>
      </c>
      <c r="Y28" s="60" t="n">
        <f aca="false">'Assumption Setting'!$C$175*'Timeline and FX'!Y11</f>
        <v>540</v>
      </c>
      <c r="Z28" s="60" t="n">
        <f aca="false">'Assumption Setting'!$C$175*'Timeline and FX'!Z11</f>
        <v>540</v>
      </c>
      <c r="AA28" s="60" t="n">
        <f aca="false">'Assumption Setting'!$C$175*'Timeline and FX'!AA11</f>
        <v>540</v>
      </c>
      <c r="AB28" s="59" t="n">
        <f aca="false">SUM(AC28:AN28)</f>
        <v>6998.4</v>
      </c>
      <c r="AC28" s="60" t="n">
        <f aca="false">'Assumption Setting'!$C$175*'Timeline and FX'!AC11</f>
        <v>583.2</v>
      </c>
      <c r="AD28" s="60" t="n">
        <f aca="false">'Assumption Setting'!$C$175*'Timeline and FX'!AD11</f>
        <v>583.2</v>
      </c>
      <c r="AE28" s="60" t="n">
        <f aca="false">'Assumption Setting'!$C$175*'Timeline and FX'!AE11</f>
        <v>583.2</v>
      </c>
      <c r="AF28" s="60" t="n">
        <f aca="false">'Assumption Setting'!$C$175*'Timeline and FX'!AF11</f>
        <v>583.2</v>
      </c>
      <c r="AG28" s="60" t="n">
        <f aca="false">'Assumption Setting'!$C$175*'Timeline and FX'!AG11</f>
        <v>583.2</v>
      </c>
      <c r="AH28" s="60" t="n">
        <f aca="false">'Assumption Setting'!$C$175*'Timeline and FX'!AH11</f>
        <v>583.2</v>
      </c>
      <c r="AI28" s="60" t="n">
        <f aca="false">'Assumption Setting'!$C$175*'Timeline and FX'!AI11</f>
        <v>583.2</v>
      </c>
      <c r="AJ28" s="60" t="n">
        <f aca="false">'Assumption Setting'!$C$175*'Timeline and FX'!AJ11</f>
        <v>583.2</v>
      </c>
      <c r="AK28" s="60" t="n">
        <f aca="false">'Assumption Setting'!$C$175*'Timeline and FX'!AK11</f>
        <v>583.2</v>
      </c>
      <c r="AL28" s="60" t="n">
        <f aca="false">'Assumption Setting'!$C$175*'Timeline and FX'!AL11</f>
        <v>583.2</v>
      </c>
      <c r="AM28" s="60" t="n">
        <f aca="false">'Assumption Setting'!$C$175*'Timeline and FX'!AM11</f>
        <v>583.2</v>
      </c>
      <c r="AN28" s="60" t="n">
        <f aca="false">'Assumption Setting'!$C$175*'Timeline and FX'!AN11</f>
        <v>583.2</v>
      </c>
      <c r="AO28" s="59" t="n">
        <f aca="false">SUM(AP28:BA28)</f>
        <v>7488.288</v>
      </c>
      <c r="AP28" s="60" t="n">
        <f aca="false">'Assumption Setting'!$C$175*'Timeline and FX'!AP11</f>
        <v>624.024</v>
      </c>
      <c r="AQ28" s="60" t="n">
        <f aca="false">'Assumption Setting'!$C$175*'Timeline and FX'!AQ11</f>
        <v>624.024</v>
      </c>
      <c r="AR28" s="60" t="n">
        <f aca="false">'Assumption Setting'!$C$175*'Timeline and FX'!AR11</f>
        <v>624.024</v>
      </c>
      <c r="AS28" s="60" t="n">
        <f aca="false">'Assumption Setting'!$C$175*'Timeline and FX'!AS11</f>
        <v>624.024</v>
      </c>
      <c r="AT28" s="60" t="n">
        <f aca="false">'Assumption Setting'!$C$175*'Timeline and FX'!AT11</f>
        <v>624.024</v>
      </c>
      <c r="AU28" s="60" t="n">
        <f aca="false">'Assumption Setting'!$C$175*'Timeline and FX'!AU11</f>
        <v>624.024</v>
      </c>
      <c r="AV28" s="60" t="n">
        <f aca="false">'Assumption Setting'!$C$175*'Timeline and FX'!AV11</f>
        <v>624.024</v>
      </c>
      <c r="AW28" s="60" t="n">
        <f aca="false">'Assumption Setting'!$C$175*'Timeline and FX'!AW11</f>
        <v>624.024</v>
      </c>
      <c r="AX28" s="60" t="n">
        <f aca="false">'Assumption Setting'!$C$175*'Timeline and FX'!AX11</f>
        <v>624.024</v>
      </c>
      <c r="AY28" s="60" t="n">
        <f aca="false">'Assumption Setting'!$C$175*'Timeline and FX'!AY11</f>
        <v>624.024</v>
      </c>
      <c r="AZ28" s="60" t="n">
        <f aca="false">'Assumption Setting'!$C$175*'Timeline and FX'!AZ11</f>
        <v>624.024</v>
      </c>
      <c r="BA28" s="60" t="n">
        <f aca="false">'Assumption Setting'!$C$175*'Timeline and FX'!BA11</f>
        <v>624.024</v>
      </c>
      <c r="BB28" s="59" t="n">
        <f aca="false">SUM(BC28:BN28)</f>
        <v>7937.58528</v>
      </c>
      <c r="BC28" s="60" t="n">
        <f aca="false">'Assumption Setting'!$C$175*'Timeline and FX'!BC11</f>
        <v>661.46544</v>
      </c>
      <c r="BD28" s="60" t="n">
        <f aca="false">'Assumption Setting'!$C$175*'Timeline and FX'!BD11</f>
        <v>661.46544</v>
      </c>
      <c r="BE28" s="60" t="n">
        <f aca="false">'Assumption Setting'!$C$175*'Timeline and FX'!BE11</f>
        <v>661.46544</v>
      </c>
      <c r="BF28" s="60" t="n">
        <f aca="false">'Assumption Setting'!$C$175*'Timeline and FX'!BF11</f>
        <v>661.46544</v>
      </c>
      <c r="BG28" s="60" t="n">
        <f aca="false">'Assumption Setting'!$C$175*'Timeline and FX'!BG11</f>
        <v>661.46544</v>
      </c>
      <c r="BH28" s="60" t="n">
        <f aca="false">'Assumption Setting'!$C$175*'Timeline and FX'!BH11</f>
        <v>661.46544</v>
      </c>
      <c r="BI28" s="60" t="n">
        <f aca="false">'Assumption Setting'!$C$175*'Timeline and FX'!BI11</f>
        <v>661.46544</v>
      </c>
      <c r="BJ28" s="60" t="n">
        <f aca="false">'Assumption Setting'!$C$175*'Timeline and FX'!BJ11</f>
        <v>661.46544</v>
      </c>
      <c r="BK28" s="60" t="n">
        <f aca="false">'Assumption Setting'!$C$175*'Timeline and FX'!BK11</f>
        <v>661.46544</v>
      </c>
      <c r="BL28" s="60" t="n">
        <f aca="false">'Assumption Setting'!$C$175*'Timeline and FX'!BL11</f>
        <v>661.46544</v>
      </c>
      <c r="BM28" s="60" t="n">
        <f aca="false">'Assumption Setting'!$C$175*'Timeline and FX'!BM11</f>
        <v>661.46544</v>
      </c>
      <c r="BN28" s="60" t="n">
        <f aca="false">'Assumption Setting'!$C$175*'Timeline and FX'!BN11</f>
        <v>661.46544</v>
      </c>
    </row>
    <row r="29" customFormat="false" ht="15" hidden="false" customHeight="false" outlineLevel="0" collapsed="false">
      <c r="A29" s="4" t="s">
        <v>929</v>
      </c>
      <c r="B29" s="59" t="n">
        <f aca="false">SUM(C29:N29)</f>
        <v>4200</v>
      </c>
      <c r="C29" s="60" t="n">
        <f aca="false">'Assumption Setting'!$C$176*'Timeline and FX'!C11</f>
        <v>350</v>
      </c>
      <c r="D29" s="60" t="n">
        <f aca="false">'Assumption Setting'!$C$176*'Timeline and FX'!D11</f>
        <v>350</v>
      </c>
      <c r="E29" s="60" t="n">
        <f aca="false">'Assumption Setting'!$C$176*'Timeline and FX'!E11</f>
        <v>350</v>
      </c>
      <c r="F29" s="60" t="n">
        <f aca="false">'Assumption Setting'!$C$176*'Timeline and FX'!F11</f>
        <v>350</v>
      </c>
      <c r="G29" s="60" t="n">
        <f aca="false">'Assumption Setting'!$C$176*'Timeline and FX'!G11</f>
        <v>350</v>
      </c>
      <c r="H29" s="60" t="n">
        <f aca="false">'Assumption Setting'!$C$176*'Timeline and FX'!H11</f>
        <v>350</v>
      </c>
      <c r="I29" s="60" t="n">
        <f aca="false">'Assumption Setting'!$C$176*'Timeline and FX'!I11</f>
        <v>350</v>
      </c>
      <c r="J29" s="60" t="n">
        <f aca="false">'Assumption Setting'!$C$176*'Timeline and FX'!J11</f>
        <v>350</v>
      </c>
      <c r="K29" s="60" t="n">
        <f aca="false">'Assumption Setting'!$C$176*'Timeline and FX'!K11</f>
        <v>350</v>
      </c>
      <c r="L29" s="60" t="n">
        <f aca="false">'Assumption Setting'!$C$176*'Timeline and FX'!L11</f>
        <v>350</v>
      </c>
      <c r="M29" s="60" t="n">
        <f aca="false">'Assumption Setting'!$C$176*'Timeline and FX'!M11</f>
        <v>350</v>
      </c>
      <c r="N29" s="60" t="n">
        <f aca="false">'Assumption Setting'!$C$176*'Timeline and FX'!N11</f>
        <v>350</v>
      </c>
      <c r="O29" s="59" t="n">
        <f aca="false">SUM(P29:AA29)</f>
        <v>4536</v>
      </c>
      <c r="P29" s="60" t="n">
        <f aca="false">'Assumption Setting'!$C$176*'Timeline and FX'!P11</f>
        <v>378</v>
      </c>
      <c r="Q29" s="60" t="n">
        <f aca="false">'Assumption Setting'!$C$176*'Timeline and FX'!Q11</f>
        <v>378</v>
      </c>
      <c r="R29" s="60" t="n">
        <f aca="false">'Assumption Setting'!$C$176*'Timeline and FX'!R11</f>
        <v>378</v>
      </c>
      <c r="S29" s="60" t="n">
        <f aca="false">'Assumption Setting'!$C$176*'Timeline and FX'!S11</f>
        <v>378</v>
      </c>
      <c r="T29" s="60" t="n">
        <f aca="false">'Assumption Setting'!$C$176*'Timeline and FX'!T11</f>
        <v>378</v>
      </c>
      <c r="U29" s="60" t="n">
        <f aca="false">'Assumption Setting'!$C$176*'Timeline and FX'!U11</f>
        <v>378</v>
      </c>
      <c r="V29" s="60" t="n">
        <f aca="false">'Assumption Setting'!$C$176*'Timeline and FX'!V11</f>
        <v>378</v>
      </c>
      <c r="W29" s="60" t="n">
        <f aca="false">'Assumption Setting'!$C$176*'Timeline and FX'!W11</f>
        <v>378</v>
      </c>
      <c r="X29" s="60" t="n">
        <f aca="false">'Assumption Setting'!$C$176*'Timeline and FX'!X11</f>
        <v>378</v>
      </c>
      <c r="Y29" s="60" t="n">
        <f aca="false">'Assumption Setting'!$C$176*'Timeline and FX'!Y11</f>
        <v>378</v>
      </c>
      <c r="Z29" s="60" t="n">
        <f aca="false">'Assumption Setting'!$C$176*'Timeline and FX'!Z11</f>
        <v>378</v>
      </c>
      <c r="AA29" s="60" t="n">
        <f aca="false">'Assumption Setting'!$C$176*'Timeline and FX'!AA11</f>
        <v>378</v>
      </c>
      <c r="AB29" s="59" t="n">
        <f aca="false">SUM(AC29:AN29)</f>
        <v>4898.88</v>
      </c>
      <c r="AC29" s="60" t="n">
        <f aca="false">'Assumption Setting'!$C$176*'Timeline and FX'!AC11</f>
        <v>408.24</v>
      </c>
      <c r="AD29" s="60" t="n">
        <f aca="false">'Assumption Setting'!$C$176*'Timeline and FX'!AD11</f>
        <v>408.24</v>
      </c>
      <c r="AE29" s="60" t="n">
        <f aca="false">'Assumption Setting'!$C$176*'Timeline and FX'!AE11</f>
        <v>408.24</v>
      </c>
      <c r="AF29" s="60" t="n">
        <f aca="false">'Assumption Setting'!$C$176*'Timeline and FX'!AF11</f>
        <v>408.24</v>
      </c>
      <c r="AG29" s="60" t="n">
        <f aca="false">'Assumption Setting'!$C$176*'Timeline and FX'!AG11</f>
        <v>408.24</v>
      </c>
      <c r="AH29" s="60" t="n">
        <f aca="false">'Assumption Setting'!$C$176*'Timeline and FX'!AH11</f>
        <v>408.24</v>
      </c>
      <c r="AI29" s="60" t="n">
        <f aca="false">'Assumption Setting'!$C$176*'Timeline and FX'!AI11</f>
        <v>408.24</v>
      </c>
      <c r="AJ29" s="60" t="n">
        <f aca="false">'Assumption Setting'!$C$176*'Timeline and FX'!AJ11</f>
        <v>408.24</v>
      </c>
      <c r="AK29" s="60" t="n">
        <f aca="false">'Assumption Setting'!$C$176*'Timeline and FX'!AK11</f>
        <v>408.24</v>
      </c>
      <c r="AL29" s="60" t="n">
        <f aca="false">'Assumption Setting'!$C$176*'Timeline and FX'!AL11</f>
        <v>408.24</v>
      </c>
      <c r="AM29" s="60" t="n">
        <f aca="false">'Assumption Setting'!$C$176*'Timeline and FX'!AM11</f>
        <v>408.24</v>
      </c>
      <c r="AN29" s="60" t="n">
        <f aca="false">'Assumption Setting'!$C$176*'Timeline and FX'!AN11</f>
        <v>408.24</v>
      </c>
      <c r="AO29" s="59" t="n">
        <f aca="false">SUM(AP29:BA29)</f>
        <v>5241.8016</v>
      </c>
      <c r="AP29" s="60" t="n">
        <f aca="false">'Assumption Setting'!$C$176*'Timeline and FX'!AP11</f>
        <v>436.8168</v>
      </c>
      <c r="AQ29" s="60" t="n">
        <f aca="false">'Assumption Setting'!$C$176*'Timeline and FX'!AQ11</f>
        <v>436.8168</v>
      </c>
      <c r="AR29" s="60" t="n">
        <f aca="false">'Assumption Setting'!$C$176*'Timeline and FX'!AR11</f>
        <v>436.8168</v>
      </c>
      <c r="AS29" s="60" t="n">
        <f aca="false">'Assumption Setting'!$C$176*'Timeline and FX'!AS11</f>
        <v>436.8168</v>
      </c>
      <c r="AT29" s="60" t="n">
        <f aca="false">'Assumption Setting'!$C$176*'Timeline and FX'!AT11</f>
        <v>436.8168</v>
      </c>
      <c r="AU29" s="60" t="n">
        <f aca="false">'Assumption Setting'!$C$176*'Timeline and FX'!AU11</f>
        <v>436.8168</v>
      </c>
      <c r="AV29" s="60" t="n">
        <f aca="false">'Assumption Setting'!$C$176*'Timeline and FX'!AV11</f>
        <v>436.8168</v>
      </c>
      <c r="AW29" s="60" t="n">
        <f aca="false">'Assumption Setting'!$C$176*'Timeline and FX'!AW11</f>
        <v>436.8168</v>
      </c>
      <c r="AX29" s="60" t="n">
        <f aca="false">'Assumption Setting'!$C$176*'Timeline and FX'!AX11</f>
        <v>436.8168</v>
      </c>
      <c r="AY29" s="60" t="n">
        <f aca="false">'Assumption Setting'!$C$176*'Timeline and FX'!AY11</f>
        <v>436.8168</v>
      </c>
      <c r="AZ29" s="60" t="n">
        <f aca="false">'Assumption Setting'!$C$176*'Timeline and FX'!AZ11</f>
        <v>436.8168</v>
      </c>
      <c r="BA29" s="60" t="n">
        <f aca="false">'Assumption Setting'!$C$176*'Timeline and FX'!BA11</f>
        <v>436.8168</v>
      </c>
      <c r="BB29" s="59" t="n">
        <f aca="false">SUM(BC29:BN29)</f>
        <v>5556.309696</v>
      </c>
      <c r="BC29" s="60" t="n">
        <f aca="false">'Assumption Setting'!$C$176*'Timeline and FX'!BC11</f>
        <v>463.025808</v>
      </c>
      <c r="BD29" s="60" t="n">
        <f aca="false">'Assumption Setting'!$C$176*'Timeline and FX'!BD11</f>
        <v>463.025808</v>
      </c>
      <c r="BE29" s="60" t="n">
        <f aca="false">'Assumption Setting'!$C$176*'Timeline and FX'!BE11</f>
        <v>463.025808</v>
      </c>
      <c r="BF29" s="60" t="n">
        <f aca="false">'Assumption Setting'!$C$176*'Timeline and FX'!BF11</f>
        <v>463.025808</v>
      </c>
      <c r="BG29" s="60" t="n">
        <f aca="false">'Assumption Setting'!$C$176*'Timeline and FX'!BG11</f>
        <v>463.025808</v>
      </c>
      <c r="BH29" s="60" t="n">
        <f aca="false">'Assumption Setting'!$C$176*'Timeline and FX'!BH11</f>
        <v>463.025808</v>
      </c>
      <c r="BI29" s="60" t="n">
        <f aca="false">'Assumption Setting'!$C$176*'Timeline and FX'!BI11</f>
        <v>463.025808</v>
      </c>
      <c r="BJ29" s="60" t="n">
        <f aca="false">'Assumption Setting'!$C$176*'Timeline and FX'!BJ11</f>
        <v>463.025808</v>
      </c>
      <c r="BK29" s="60" t="n">
        <f aca="false">'Assumption Setting'!$C$176*'Timeline and FX'!BK11</f>
        <v>463.025808</v>
      </c>
      <c r="BL29" s="60" t="n">
        <f aca="false">'Assumption Setting'!$C$176*'Timeline and FX'!BL11</f>
        <v>463.025808</v>
      </c>
      <c r="BM29" s="60" t="n">
        <f aca="false">'Assumption Setting'!$C$176*'Timeline and FX'!BM11</f>
        <v>463.025808</v>
      </c>
      <c r="BN29" s="60" t="n">
        <f aca="false">'Assumption Setting'!$C$176*'Timeline and FX'!BN11</f>
        <v>463.025808</v>
      </c>
    </row>
    <row r="30" customFormat="false" ht="15" hidden="false" customHeight="false" outlineLevel="0" collapsed="false">
      <c r="A30" s="4" t="s">
        <v>930</v>
      </c>
      <c r="B30" s="59" t="n">
        <f aca="false">SUM(C30:N30)</f>
        <v>1991.22767027093</v>
      </c>
      <c r="C30" s="60" t="n">
        <f aca="false">Acquisitions!C127*'Assumption Setting'!$C$177*'Timeline and FX'!C11</f>
        <v>0</v>
      </c>
      <c r="D30" s="60" t="n">
        <f aca="false">Acquisitions!D127*'Assumption Setting'!$C$177*'Timeline and FX'!D11</f>
        <v>148.158146396894</v>
      </c>
      <c r="E30" s="60" t="n">
        <f aca="false">Acquisitions!E127*'Assumption Setting'!$C$177*'Timeline and FX'!E11</f>
        <v>155.267533280505</v>
      </c>
      <c r="F30" s="60" t="n">
        <f aca="false">Acquisitions!F127*'Assumption Setting'!$C$177*'Timeline and FX'!F11</f>
        <v>163.463522596513</v>
      </c>
      <c r="G30" s="60" t="n">
        <f aca="false">Acquisitions!G127*'Assumption Setting'!$C$177*'Timeline and FX'!G11</f>
        <v>170.037391784986</v>
      </c>
      <c r="H30" s="60" t="n">
        <f aca="false">Acquisitions!H127*'Assumption Setting'!$C$177*'Timeline and FX'!H11</f>
        <v>176.358824396621</v>
      </c>
      <c r="I30" s="60" t="n">
        <f aca="false">Acquisitions!I127*'Assumption Setting'!$C$177*'Timeline and FX'!I11</f>
        <v>182.43751399597</v>
      </c>
      <c r="J30" s="60" t="n">
        <f aca="false">Acquisitions!J127*'Assumption Setting'!$C$177*'Timeline and FX'!J11</f>
        <v>188.282781914703</v>
      </c>
      <c r="K30" s="60" t="n">
        <f aca="false">Acquisitions!K127*'Assumption Setting'!$C$177*'Timeline and FX'!K11</f>
        <v>193.903591545358</v>
      </c>
      <c r="L30" s="60" t="n">
        <f aca="false">Acquisitions!L127*'Assumption Setting'!$C$177*'Timeline and FX'!L11</f>
        <v>199.308562086195</v>
      </c>
      <c r="M30" s="60" t="n">
        <f aca="false">Acquisitions!M127*'Assumption Setting'!$C$177*'Timeline and FX'!M11</f>
        <v>204.505981758264</v>
      </c>
      <c r="N30" s="60" t="n">
        <f aca="false">Acquisitions!N127*'Assumption Setting'!$C$177*'Timeline and FX'!N11</f>
        <v>209.503820514925</v>
      </c>
      <c r="O30" s="59" t="n">
        <f aca="false">SUM(P30:AA30)</f>
        <v>6756.64229424485</v>
      </c>
      <c r="P30" s="60" t="n">
        <f aca="false">Acquisitions!P127*'Assumption Setting'!$C$177*'Timeline and FX'!P11</f>
        <v>258.907573371697</v>
      </c>
      <c r="Q30" s="60" t="n">
        <f aca="false">Acquisitions!Q127*'Assumption Setting'!$C$177*'Timeline and FX'!Q11</f>
        <v>512.467993731491</v>
      </c>
      <c r="R30" s="60" t="n">
        <f aca="false">Acquisitions!R127*'Assumption Setting'!$C$177*'Timeline and FX'!R11</f>
        <v>529.420223992219</v>
      </c>
      <c r="S30" s="60" t="n">
        <f aca="false">Acquisitions!S127*'Assumption Setting'!$C$177*'Timeline and FX'!S11</f>
        <v>547.701279585729</v>
      </c>
      <c r="T30" s="60" t="n">
        <f aca="false">Acquisitions!T127*'Assumption Setting'!$C$177*'Timeline and FX'!T11</f>
        <v>563.520354966908</v>
      </c>
      <c r="U30" s="60" t="n">
        <f aca="false">Acquisitions!U127*'Assumption Setting'!$C$177*'Timeline and FX'!U11</f>
        <v>578.801581785128</v>
      </c>
      <c r="V30" s="60" t="n">
        <f aca="false">Acquisitions!V127*'Assumption Setting'!$C$177*'Timeline and FX'!V11</f>
        <v>593.563246891528</v>
      </c>
      <c r="W30" s="60" t="n">
        <f aca="false">Acquisitions!W127*'Assumption Setting'!$C$177*'Timeline and FX'!W11</f>
        <v>607.823015384311</v>
      </c>
      <c r="X30" s="60" t="n">
        <f aca="false">Acquisitions!X127*'Assumption Setting'!$C$177*'Timeline and FX'!X11</f>
        <v>621.597951748339</v>
      </c>
      <c r="Y30" s="60" t="n">
        <f aca="false">Acquisitions!Y127*'Assumption Setting'!$C$177*'Timeline and FX'!Y11</f>
        <v>634.90454027599</v>
      </c>
      <c r="Z30" s="60" t="n">
        <f aca="false">Acquisitions!Z127*'Assumption Setting'!$C$177*'Timeline and FX'!Z11</f>
        <v>647.758704793701</v>
      </c>
      <c r="AA30" s="60" t="n">
        <f aca="false">Acquisitions!AA127*'Assumption Setting'!$C$177*'Timeline and FX'!AA11</f>
        <v>660.175827717809</v>
      </c>
      <c r="AB30" s="59" t="n">
        <f aca="false">SUM(AC30:AN30)</f>
        <v>15660.2312295272</v>
      </c>
      <c r="AC30" s="60" t="n">
        <f aca="false">Acquisitions!AC127*'Assumption Setting'!$C$177*'Timeline and FX'!AC11</f>
        <v>803.199454461274</v>
      </c>
      <c r="AD30" s="60" t="n">
        <f aca="false">Acquisitions!AD127*'Assumption Setting'!$C$177*'Timeline and FX'!AD11</f>
        <v>1208.08761696795</v>
      </c>
      <c r="AE30" s="60" t="n">
        <f aca="false">Acquisitions!AE127*'Assumption Setting'!$C$177*'Timeline and FX'!AE11</f>
        <v>1238.8941744577</v>
      </c>
      <c r="AF30" s="60" t="n">
        <f aca="false">Acquisitions!AF127*'Assumption Setting'!$C$177*'Timeline and FX'!AF11</f>
        <v>1271.46240246852</v>
      </c>
      <c r="AG30" s="60" t="n">
        <f aca="false">Acquisitions!AG127*'Assumption Setting'!$C$177*'Timeline and FX'!AG11</f>
        <v>1300.35274772097</v>
      </c>
      <c r="AH30" s="60" t="n">
        <f aca="false">Acquisitions!AH127*'Assumption Setting'!$C$177*'Timeline and FX'!AH11</f>
        <v>1328.33015806344</v>
      </c>
      <c r="AI30" s="60" t="n">
        <f aca="false">Acquisitions!AI127*'Assumption Setting'!$C$177*'Timeline and FX'!AI11</f>
        <v>1355.42348223908</v>
      </c>
      <c r="AJ30" s="60" t="n">
        <f aca="false">Acquisitions!AJ127*'Assumption Setting'!$C$177*'Timeline and FX'!AJ11</f>
        <v>1381.66065737078</v>
      </c>
      <c r="AK30" s="60" t="n">
        <f aca="false">Acquisitions!AK127*'Assumption Setting'!$C$177*'Timeline and FX'!AK11</f>
        <v>1407.06873776832</v>
      </c>
      <c r="AL30" s="60" t="n">
        <f aca="false">Acquisitions!AL127*'Assumption Setting'!$C$177*'Timeline and FX'!AL11</f>
        <v>1431.67392282529</v>
      </c>
      <c r="AM30" s="60" t="n">
        <f aca="false">Acquisitions!AM127*'Assumption Setting'!$C$177*'Timeline and FX'!AM11</f>
        <v>1455.50158403446</v>
      </c>
      <c r="AN30" s="60" t="n">
        <f aca="false">Acquisitions!AN127*'Assumption Setting'!$C$177*'Timeline and FX'!AN11</f>
        <v>1478.57629114942</v>
      </c>
      <c r="AO30" s="59" t="n">
        <f aca="false">SUM(AP30:BA30)</f>
        <v>28001.1925585115</v>
      </c>
      <c r="AP30" s="60" t="n">
        <f aca="false">Acquisitions!AP127*'Assumption Setting'!$C$177*'Timeline and FX'!AP11</f>
        <v>1732.33328320001</v>
      </c>
      <c r="AQ30" s="60" t="n">
        <f aca="false">Acquisitions!AQ127*'Assumption Setting'!$C$177*'Timeline and FX'!AQ11</f>
        <v>2192.15722251006</v>
      </c>
      <c r="AR30" s="60" t="n">
        <f aca="false">Acquisitions!AR127*'Assumption Setting'!$C$177*'Timeline and FX'!AR11</f>
        <v>2234.55591556061</v>
      </c>
      <c r="AS30" s="60" t="n">
        <f aca="false">Acquisitions!AS127*'Assumption Setting'!$C$177*'Timeline and FX'!AS11</f>
        <v>2278.14495798079</v>
      </c>
      <c r="AT30" s="60" t="n">
        <f aca="false">Acquisitions!AT127*'Assumption Setting'!$C$177*'Timeline and FX'!AT11</f>
        <v>2318.0214392751</v>
      </c>
      <c r="AU30" s="60" t="n">
        <f aca="false">Acquisitions!AU127*'Assumption Setting'!$C$177*'Timeline and FX'!AU11</f>
        <v>2356.69365083432</v>
      </c>
      <c r="AV30" s="60" t="n">
        <f aca="false">Acquisitions!AV127*'Assumption Setting'!$C$177*'Timeline and FX'!AV11</f>
        <v>2394.19796160445</v>
      </c>
      <c r="AW30" s="60" t="n">
        <f aca="false">Acquisitions!AW127*'Assumption Setting'!$C$177*'Timeline and FX'!AW11</f>
        <v>2430.56964218932</v>
      </c>
      <c r="AX30" s="60" t="n">
        <f aca="false">Acquisitions!AX127*'Assumption Setting'!$C$177*'Timeline and FX'!AX11</f>
        <v>2465.84289802053</v>
      </c>
      <c r="AY30" s="60" t="n">
        <f aca="false">Acquisitions!AY127*'Assumption Setting'!$C$177*'Timeline and FX'!AY11</f>
        <v>2500.05090152564</v>
      </c>
      <c r="AZ30" s="60" t="n">
        <f aca="false">Acquisitions!AZ127*'Assumption Setting'!$C$177*'Timeline and FX'!AZ11</f>
        <v>2533.22582332489</v>
      </c>
      <c r="BA30" s="60" t="n">
        <f aca="false">Acquisitions!BA127*'Assumption Setting'!$C$177*'Timeline and FX'!BA11</f>
        <v>2565.3988624858</v>
      </c>
      <c r="BB30" s="59" t="n">
        <f aca="false">SUM(BC30:BN30)</f>
        <v>39721.9309105202</v>
      </c>
      <c r="BC30" s="60" t="n">
        <f aca="false">Acquisitions!BC127*'Assumption Setting'!$C$177*'Timeline and FX'!BC11</f>
        <v>2802.76067739844</v>
      </c>
      <c r="BD30" s="60" t="n">
        <f aca="false">Acquisitions!BD127*'Assumption Setting'!$C$177*'Timeline and FX'!BD11</f>
        <v>3138.38458223395</v>
      </c>
      <c r="BE30" s="60" t="n">
        <f aca="false">Acquisitions!BE127*'Assumption Setting'!$C$177*'Timeline and FX'!BE11</f>
        <v>3185.45441499802</v>
      </c>
      <c r="BF30" s="60" t="n">
        <f aca="false">Acquisitions!BF127*'Assumption Setting'!$C$177*'Timeline and FX'!BF11</f>
        <v>3233.61239971409</v>
      </c>
      <c r="BG30" s="60" t="n">
        <f aca="false">Acquisitions!BG127*'Assumption Setting'!$C$177*'Timeline and FX'!BG11</f>
        <v>3277.97348786694</v>
      </c>
      <c r="BH30" s="60" t="n">
        <f aca="false">Acquisitions!BH127*'Assumption Setting'!$C$177*'Timeline and FX'!BH11</f>
        <v>3321.03923224573</v>
      </c>
      <c r="BI30" s="60" t="n">
        <f aca="false">Acquisitions!BI127*'Assumption Setting'!$C$177*'Timeline and FX'!BI11</f>
        <v>3362.84745688866</v>
      </c>
      <c r="BJ30" s="60" t="n">
        <f aca="false">Acquisitions!BJ127*'Assumption Setting'!$C$177*'Timeline and FX'!BJ11</f>
        <v>3403.43488137202</v>
      </c>
      <c r="BK30" s="60" t="n">
        <f aca="false">Acquisitions!BK127*'Assumption Setting'!$C$177*'Timeline and FX'!BK11</f>
        <v>3442.83715306046</v>
      </c>
      <c r="BL30" s="60" t="n">
        <f aca="false">Acquisitions!BL127*'Assumption Setting'!$C$177*'Timeline and FX'!BL11</f>
        <v>3481.0888784156</v>
      </c>
      <c r="BM30" s="60" t="n">
        <f aca="false">Acquisitions!BM127*'Assumption Setting'!$C$177*'Timeline and FX'!BM11</f>
        <v>3518.22365339037</v>
      </c>
      <c r="BN30" s="60" t="n">
        <f aca="false">Acquisitions!BN127*'Assumption Setting'!$C$177*'Timeline and FX'!BN11</f>
        <v>3554.27409293588</v>
      </c>
    </row>
    <row r="31" customFormat="false" ht="15" hidden="false" customHeight="false" outlineLevel="0" collapsed="false">
      <c r="A31" s="4" t="s">
        <v>931</v>
      </c>
      <c r="B31" s="59" t="n">
        <f aca="false">SUM(C31:N31)</f>
        <v>10080</v>
      </c>
      <c r="C31" s="60" t="n">
        <f aca="false">Payroll!C73*'Assumption Setting'!$C$163*'Timeline and FX'!C11</f>
        <v>840</v>
      </c>
      <c r="D31" s="60" t="n">
        <f aca="false">Payroll!D73*'Assumption Setting'!$C$163*'Timeline and FX'!D11</f>
        <v>840</v>
      </c>
      <c r="E31" s="60" t="n">
        <f aca="false">Payroll!E73*'Assumption Setting'!$C$163*'Timeline and FX'!E11</f>
        <v>840</v>
      </c>
      <c r="F31" s="60" t="n">
        <f aca="false">Payroll!F73*'Assumption Setting'!$C$163*'Timeline and FX'!F11</f>
        <v>840</v>
      </c>
      <c r="G31" s="60" t="n">
        <f aca="false">Payroll!G73*'Assumption Setting'!$C$163*'Timeline and FX'!G11</f>
        <v>840</v>
      </c>
      <c r="H31" s="60" t="n">
        <f aca="false">Payroll!H73*'Assumption Setting'!$C$163*'Timeline and FX'!H11</f>
        <v>840</v>
      </c>
      <c r="I31" s="60" t="n">
        <f aca="false">Payroll!I73*'Assumption Setting'!$C$163*'Timeline and FX'!I11</f>
        <v>840</v>
      </c>
      <c r="J31" s="60" t="n">
        <f aca="false">Payroll!J73*'Assumption Setting'!$C$163*'Timeline and FX'!J11</f>
        <v>840</v>
      </c>
      <c r="K31" s="60" t="n">
        <f aca="false">Payroll!K73*'Assumption Setting'!$C$163*'Timeline and FX'!K11</f>
        <v>840</v>
      </c>
      <c r="L31" s="60" t="n">
        <f aca="false">Payroll!L73*'Assumption Setting'!$C$163*'Timeline and FX'!L11</f>
        <v>840</v>
      </c>
      <c r="M31" s="60" t="n">
        <f aca="false">Payroll!M73*'Assumption Setting'!$C$163*'Timeline and FX'!M11</f>
        <v>840</v>
      </c>
      <c r="N31" s="60" t="n">
        <f aca="false">Payroll!N73*'Assumption Setting'!$C$163*'Timeline and FX'!N11</f>
        <v>840</v>
      </c>
      <c r="O31" s="59" t="n">
        <f aca="false">SUM(P31:AA31)</f>
        <v>17236.8</v>
      </c>
      <c r="P31" s="60" t="n">
        <f aca="false">Payroll!P73*'Assumption Setting'!$C$163*'Timeline and FX'!P11</f>
        <v>1360.8</v>
      </c>
      <c r="Q31" s="60" t="n">
        <f aca="false">Payroll!Q73*'Assumption Setting'!$C$163*'Timeline and FX'!Q11</f>
        <v>1360.8</v>
      </c>
      <c r="R31" s="60" t="n">
        <f aca="false">Payroll!R73*'Assumption Setting'!$C$163*'Timeline and FX'!R11</f>
        <v>1360.8</v>
      </c>
      <c r="S31" s="60" t="n">
        <f aca="false">Payroll!S73*'Assumption Setting'!$C$163*'Timeline and FX'!S11</f>
        <v>1360.8</v>
      </c>
      <c r="T31" s="60" t="n">
        <f aca="false">Payroll!T73*'Assumption Setting'!$C$163*'Timeline and FX'!T11</f>
        <v>1398.6</v>
      </c>
      <c r="U31" s="60" t="n">
        <f aca="false">Payroll!U73*'Assumption Setting'!$C$163*'Timeline and FX'!U11</f>
        <v>1398.6</v>
      </c>
      <c r="V31" s="60" t="n">
        <f aca="false">Payroll!V73*'Assumption Setting'!$C$163*'Timeline and FX'!V11</f>
        <v>1474.2</v>
      </c>
      <c r="W31" s="60" t="n">
        <f aca="false">Payroll!W73*'Assumption Setting'!$C$163*'Timeline and FX'!W11</f>
        <v>1474.2</v>
      </c>
      <c r="X31" s="60" t="n">
        <f aca="false">Payroll!X73*'Assumption Setting'!$C$163*'Timeline and FX'!X11</f>
        <v>1512</v>
      </c>
      <c r="Y31" s="60" t="n">
        <f aca="false">Payroll!Y73*'Assumption Setting'!$C$163*'Timeline and FX'!Y11</f>
        <v>1512</v>
      </c>
      <c r="Z31" s="60" t="n">
        <f aca="false">Payroll!Z73*'Assumption Setting'!$C$163*'Timeline and FX'!Z11</f>
        <v>1512</v>
      </c>
      <c r="AA31" s="60" t="n">
        <f aca="false">Payroll!AA73*'Assumption Setting'!$C$163*'Timeline and FX'!AA11</f>
        <v>1512</v>
      </c>
      <c r="AB31" s="59" t="n">
        <f aca="false">SUM(AC31:AN31)</f>
        <v>27923.616</v>
      </c>
      <c r="AC31" s="60" t="n">
        <f aca="false">Payroll!AC73*'Assumption Setting'!$C$163*'Timeline and FX'!AC11</f>
        <v>2204.496</v>
      </c>
      <c r="AD31" s="60" t="n">
        <f aca="false">Payroll!AD73*'Assumption Setting'!$C$163*'Timeline and FX'!AD11</f>
        <v>2204.496</v>
      </c>
      <c r="AE31" s="60" t="n">
        <f aca="false">Payroll!AE73*'Assumption Setting'!$C$163*'Timeline and FX'!AE11</f>
        <v>2204.496</v>
      </c>
      <c r="AF31" s="60" t="n">
        <f aca="false">Payroll!AF73*'Assumption Setting'!$C$163*'Timeline and FX'!AF11</f>
        <v>2245.32</v>
      </c>
      <c r="AG31" s="60" t="n">
        <f aca="false">Payroll!AG73*'Assumption Setting'!$C$163*'Timeline and FX'!AG11</f>
        <v>2286.144</v>
      </c>
      <c r="AH31" s="60" t="n">
        <f aca="false">Payroll!AH73*'Assumption Setting'!$C$163*'Timeline and FX'!AH11</f>
        <v>2286.144</v>
      </c>
      <c r="AI31" s="60" t="n">
        <f aca="false">Payroll!AI73*'Assumption Setting'!$C$163*'Timeline and FX'!AI11</f>
        <v>2367.792</v>
      </c>
      <c r="AJ31" s="60" t="n">
        <f aca="false">Payroll!AJ73*'Assumption Setting'!$C$163*'Timeline and FX'!AJ11</f>
        <v>2367.792</v>
      </c>
      <c r="AK31" s="60" t="n">
        <f aca="false">Payroll!AK73*'Assumption Setting'!$C$163*'Timeline and FX'!AK11</f>
        <v>2408.616</v>
      </c>
      <c r="AL31" s="60" t="n">
        <f aca="false">Payroll!AL73*'Assumption Setting'!$C$163*'Timeline and FX'!AL11</f>
        <v>2449.44</v>
      </c>
      <c r="AM31" s="60" t="n">
        <f aca="false">Payroll!AM73*'Assumption Setting'!$C$163*'Timeline and FX'!AM11</f>
        <v>2449.44</v>
      </c>
      <c r="AN31" s="60" t="n">
        <f aca="false">Payroll!AN73*'Assumption Setting'!$C$163*'Timeline and FX'!AN11</f>
        <v>2449.44</v>
      </c>
      <c r="AO31" s="59" t="n">
        <f aca="false">SUM(AP31:BA31)</f>
        <v>41366.55096</v>
      </c>
      <c r="AP31" s="60" t="n">
        <f aca="false">Payroll!AP73*'Assumption Setting'!$C$163*'Timeline and FX'!AP11</f>
        <v>3188.76264</v>
      </c>
      <c r="AQ31" s="60" t="n">
        <f aca="false">Payroll!AQ73*'Assumption Setting'!$C$163*'Timeline and FX'!AQ11</f>
        <v>3232.44432</v>
      </c>
      <c r="AR31" s="60" t="n">
        <f aca="false">Payroll!AR73*'Assumption Setting'!$C$163*'Timeline and FX'!AR11</f>
        <v>3276.126</v>
      </c>
      <c r="AS31" s="60" t="n">
        <f aca="false">Payroll!AS73*'Assumption Setting'!$C$163*'Timeline and FX'!AS11</f>
        <v>3319.80768</v>
      </c>
      <c r="AT31" s="60" t="n">
        <f aca="false">Payroll!AT73*'Assumption Setting'!$C$163*'Timeline and FX'!AT11</f>
        <v>3363.48936</v>
      </c>
      <c r="AU31" s="60" t="n">
        <f aca="false">Payroll!AU73*'Assumption Setting'!$C$163*'Timeline and FX'!AU11</f>
        <v>3407.17104</v>
      </c>
      <c r="AV31" s="60" t="n">
        <f aca="false">Payroll!AV73*'Assumption Setting'!$C$163*'Timeline and FX'!AV11</f>
        <v>3494.5344</v>
      </c>
      <c r="AW31" s="60" t="n">
        <f aca="false">Payroll!AW73*'Assumption Setting'!$C$163*'Timeline and FX'!AW11</f>
        <v>3538.21608</v>
      </c>
      <c r="AX31" s="60" t="n">
        <f aca="false">Payroll!AX73*'Assumption Setting'!$C$163*'Timeline and FX'!AX11</f>
        <v>3581.89776</v>
      </c>
      <c r="AY31" s="60" t="n">
        <f aca="false">Payroll!AY73*'Assumption Setting'!$C$163*'Timeline and FX'!AY11</f>
        <v>3625.57944</v>
      </c>
      <c r="AZ31" s="60" t="n">
        <f aca="false">Payroll!AZ73*'Assumption Setting'!$C$163*'Timeline and FX'!AZ11</f>
        <v>3669.26112</v>
      </c>
      <c r="BA31" s="60" t="n">
        <f aca="false">Payroll!BA73*'Assumption Setting'!$C$163*'Timeline and FX'!BA11</f>
        <v>3669.26112</v>
      </c>
      <c r="BB31" s="59" t="n">
        <f aca="false">SUM(BC31:BN31)</f>
        <v>59452.5137472</v>
      </c>
      <c r="BC31" s="60" t="n">
        <f aca="false">Payroll!BC73*'Assumption Setting'!$C$163*'Timeline and FX'!BC11</f>
        <v>4537.6529184</v>
      </c>
      <c r="BD31" s="60" t="n">
        <f aca="false">Payroll!BD73*'Assumption Setting'!$C$163*'Timeline and FX'!BD11</f>
        <v>4630.25808</v>
      </c>
      <c r="BE31" s="60" t="n">
        <f aca="false">Payroll!BE73*'Assumption Setting'!$C$163*'Timeline and FX'!BE11</f>
        <v>4722.8632416</v>
      </c>
      <c r="BF31" s="60" t="n">
        <f aca="false">Payroll!BF73*'Assumption Setting'!$C$163*'Timeline and FX'!BF11</f>
        <v>4722.8632416</v>
      </c>
      <c r="BG31" s="60" t="n">
        <f aca="false">Payroll!BG73*'Assumption Setting'!$C$163*'Timeline and FX'!BG11</f>
        <v>4815.4684032</v>
      </c>
      <c r="BH31" s="60" t="n">
        <f aca="false">Payroll!BH73*'Assumption Setting'!$C$163*'Timeline and FX'!BH11</f>
        <v>4908.0735648</v>
      </c>
      <c r="BI31" s="60" t="n">
        <f aca="false">Payroll!BI73*'Assumption Setting'!$C$163*'Timeline and FX'!BI11</f>
        <v>5046.9813072</v>
      </c>
      <c r="BJ31" s="60" t="n">
        <f aca="false">Payroll!BJ73*'Assumption Setting'!$C$163*'Timeline and FX'!BJ11</f>
        <v>5046.9813072</v>
      </c>
      <c r="BK31" s="60" t="n">
        <f aca="false">Payroll!BK73*'Assumption Setting'!$C$163*'Timeline and FX'!BK11</f>
        <v>5139.5864688</v>
      </c>
      <c r="BL31" s="60" t="n">
        <f aca="false">Payroll!BL73*'Assumption Setting'!$C$163*'Timeline and FX'!BL11</f>
        <v>5232.1916304</v>
      </c>
      <c r="BM31" s="60" t="n">
        <f aca="false">Payroll!BM73*'Assumption Setting'!$C$163*'Timeline and FX'!BM11</f>
        <v>5324.796792</v>
      </c>
      <c r="BN31" s="60" t="n">
        <f aca="false">Payroll!BN73*'Assumption Setting'!$C$163*'Timeline and FX'!BN11</f>
        <v>5324.796792</v>
      </c>
    </row>
    <row r="32" customFormat="false" ht="15" hidden="false" customHeight="false" outlineLevel="0" collapsed="false">
      <c r="A32" s="4" t="s">
        <v>932</v>
      </c>
      <c r="B32" s="59" t="n">
        <f aca="false">SUM(C32:N32)</f>
        <v>6239.77888635322</v>
      </c>
      <c r="C32" s="60" t="n">
        <f aca="false">'Assumption Setting'!$C$180/'Timeline and FX'!C8</f>
        <v>533.980582524272</v>
      </c>
      <c r="D32" s="60" t="n">
        <f aca="false">'Assumption Setting'!$C$180/'Timeline and FX'!D8</f>
        <v>531.393995381632</v>
      </c>
      <c r="E32" s="60" t="n">
        <f aca="false">'Assumption Setting'!$C$180/'Timeline and FX'!E8</f>
        <v>528.819937595425</v>
      </c>
      <c r="F32" s="60" t="n">
        <f aca="false">'Assumption Setting'!$C$180/'Timeline and FX'!F8</f>
        <v>526.258348473795</v>
      </c>
      <c r="G32" s="60" t="n">
        <f aca="false">'Assumption Setting'!$C$180/'Timeline and FX'!G8</f>
        <v>523.709167618876</v>
      </c>
      <c r="H32" s="60" t="n">
        <f aca="false">'Assumption Setting'!$C$180/'Timeline and FX'!H8</f>
        <v>521.172334925369</v>
      </c>
      <c r="I32" s="60" t="n">
        <f aca="false">'Assumption Setting'!$C$180/'Timeline and FX'!I8</f>
        <v>518.647790579122</v>
      </c>
      <c r="J32" s="60" t="n">
        <f aca="false">'Assumption Setting'!$C$180/'Timeline and FX'!J8</f>
        <v>516.135475055721</v>
      </c>
      <c r="K32" s="60" t="n">
        <f aca="false">'Assumption Setting'!$C$180/'Timeline and FX'!K8</f>
        <v>513.635329119087</v>
      </c>
      <c r="L32" s="60" t="n">
        <f aca="false">'Assumption Setting'!$C$180/'Timeline and FX'!L8</f>
        <v>511.147293820079</v>
      </c>
      <c r="M32" s="60" t="n">
        <f aca="false">'Assumption Setting'!$C$180/'Timeline and FX'!M8</f>
        <v>508.671310495105</v>
      </c>
      <c r="N32" s="60" t="n">
        <f aca="false">'Assumption Setting'!$C$180/'Timeline and FX'!N8</f>
        <v>506.207320764736</v>
      </c>
      <c r="O32" s="59" t="n">
        <f aca="false">SUM(P32:AA32)</f>
        <v>7063.90062606025</v>
      </c>
      <c r="P32" s="60" t="n">
        <f aca="false">'Assumption Setting'!$D$180/'Timeline and FX'!P8</f>
        <v>604.506319838798</v>
      </c>
      <c r="Q32" s="60" t="n">
        <f aca="false">'Assumption Setting'!$D$180/'Timeline and FX'!Q8</f>
        <v>601.578107979206</v>
      </c>
      <c r="R32" s="60" t="n">
        <f aca="false">'Assumption Setting'!$D$180/'Timeline and FX'!R8</f>
        <v>598.664080296707</v>
      </c>
      <c r="S32" s="60" t="n">
        <f aca="false">'Assumption Setting'!$D$180/'Timeline and FX'!S8</f>
        <v>595.764168083541</v>
      </c>
      <c r="T32" s="60" t="n">
        <f aca="false">'Assumption Setting'!$D$180/'Timeline and FX'!T8</f>
        <v>592.878302964765</v>
      </c>
      <c r="U32" s="60" t="n">
        <f aca="false">'Assumption Setting'!$D$180/'Timeline and FX'!U8</f>
        <v>590.006416896644</v>
      </c>
      <c r="V32" s="60" t="n">
        <f aca="false">'Assumption Setting'!$D$180/'Timeline and FX'!V8</f>
        <v>587.148442165043</v>
      </c>
      <c r="W32" s="60" t="n">
        <f aca="false">'Assumption Setting'!$D$180/'Timeline and FX'!W8</f>
        <v>584.304311383835</v>
      </c>
      <c r="X32" s="60" t="n">
        <f aca="false">'Assumption Setting'!$D$180/'Timeline and FX'!X8</f>
        <v>581.473957493306</v>
      </c>
      <c r="Y32" s="60" t="n">
        <f aca="false">'Assumption Setting'!$D$180/'Timeline and FX'!Y8</f>
        <v>578.65731375858</v>
      </c>
      <c r="Z32" s="60" t="n">
        <f aca="false">'Assumption Setting'!$D$180/'Timeline and FX'!Z8</f>
        <v>575.854313768043</v>
      </c>
      <c r="AA32" s="60" t="n">
        <f aca="false">'Assumption Setting'!$D$180/'Timeline and FX'!AA8</f>
        <v>573.064891431777</v>
      </c>
      <c r="AB32" s="59" t="n">
        <f aca="false">SUM(AC32:AN32)</f>
        <v>8481.52733832277</v>
      </c>
      <c r="AC32" s="60" t="n">
        <f aca="false">'Assumption Setting'!$E$180/'Timeline and FX'!AC8</f>
        <v>725.822339429089</v>
      </c>
      <c r="AD32" s="60" t="n">
        <f aca="false">'Assumption Setting'!$E$180/'Timeline and FX'!AD8</f>
        <v>722.306476132838</v>
      </c>
      <c r="AE32" s="60" t="n">
        <f aca="false">'Assumption Setting'!$E$180/'Timeline and FX'!AE8</f>
        <v>718.807643580952</v>
      </c>
      <c r="AF32" s="60" t="n">
        <f aca="false">'Assumption Setting'!$E$180/'Timeline and FX'!AF8</f>
        <v>715.325759276979</v>
      </c>
      <c r="AG32" s="60" t="n">
        <f aca="false">'Assumption Setting'!$E$180/'Timeline and FX'!AG8</f>
        <v>711.860741124075</v>
      </c>
      <c r="AH32" s="60" t="n">
        <f aca="false">'Assumption Setting'!$E$180/'Timeline and FX'!AH8</f>
        <v>708.412507423072</v>
      </c>
      <c r="AI32" s="60" t="n">
        <f aca="false">'Assumption Setting'!$E$180/'Timeline and FX'!AI8</f>
        <v>704.980976870549</v>
      </c>
      <c r="AJ32" s="60" t="n">
        <f aca="false">'Assumption Setting'!$E$180/'Timeline and FX'!AJ8</f>
        <v>701.56606855692</v>
      </c>
      <c r="AK32" s="60" t="n">
        <f aca="false">'Assumption Setting'!$E$180/'Timeline and FX'!AK8</f>
        <v>698.167701964518</v>
      </c>
      <c r="AL32" s="60" t="n">
        <f aca="false">'Assumption Setting'!$E$180/'Timeline and FX'!AL8</f>
        <v>694.785796965705</v>
      </c>
      <c r="AM32" s="60" t="n">
        <f aca="false">'Assumption Setting'!$E$180/'Timeline and FX'!AM8</f>
        <v>691.420273820978</v>
      </c>
      <c r="AN32" s="60" t="n">
        <f aca="false">'Assumption Setting'!$E$180/'Timeline and FX'!AN8</f>
        <v>688.07105317709</v>
      </c>
      <c r="AO32" s="59" t="n">
        <f aca="false">SUM(AP32:BA32)</f>
        <v>9906.54585787924</v>
      </c>
      <c r="AP32" s="60" t="n">
        <f aca="false">'Assumption Setting'!$F$180/'Timeline and FX'!AP8</f>
        <v>847.770926556887</v>
      </c>
      <c r="AQ32" s="60" t="n">
        <f aca="false">'Assumption Setting'!$F$180/'Timeline and FX'!AQ8</f>
        <v>843.664347684356</v>
      </c>
      <c r="AR32" s="60" t="n">
        <f aca="false">'Assumption Setting'!$F$180/'Timeline and FX'!AR8</f>
        <v>839.577660966072</v>
      </c>
      <c r="AS32" s="60" t="n">
        <f aca="false">'Assumption Setting'!$F$180/'Timeline and FX'!AS8</f>
        <v>835.510770044989</v>
      </c>
      <c r="AT32" s="60" t="n">
        <f aca="false">'Assumption Setting'!$F$180/'Timeline and FX'!AT8</f>
        <v>831.463579030815</v>
      </c>
      <c r="AU32" s="60" t="n">
        <f aca="false">'Assumption Setting'!$F$180/'Timeline and FX'!AU8</f>
        <v>827.435992497748</v>
      </c>
      <c r="AV32" s="60" t="n">
        <f aca="false">'Assumption Setting'!$F$180/'Timeline and FX'!AV8</f>
        <v>823.427915482223</v>
      </c>
      <c r="AW32" s="60" t="n">
        <f aca="false">'Assumption Setting'!$F$180/'Timeline and FX'!AW8</f>
        <v>819.439253480679</v>
      </c>
      <c r="AX32" s="60" t="n">
        <f aca="false">'Assumption Setting'!$F$180/'Timeline and FX'!AX8</f>
        <v>815.469912447326</v>
      </c>
      <c r="AY32" s="60" t="n">
        <f aca="false">'Assumption Setting'!$F$180/'Timeline and FX'!AY8</f>
        <v>811.519798791929</v>
      </c>
      <c r="AZ32" s="60" t="n">
        <f aca="false">'Assumption Setting'!$F$180/'Timeline and FX'!AZ8</f>
        <v>807.588819377603</v>
      </c>
      <c r="BA32" s="60" t="n">
        <f aca="false">'Assumption Setting'!$F$180/'Timeline and FX'!BA8</f>
        <v>803.676881518614</v>
      </c>
      <c r="BB32" s="59" t="n">
        <f aca="false">SUM(BC32:BN32)</f>
        <v>10783.6130528439</v>
      </c>
      <c r="BC32" s="60" t="n">
        <f aca="false">'Assumption Setting'!$G$180/'Timeline and FX'!BC8</f>
        <v>922.827568820995</v>
      </c>
      <c r="BD32" s="60" t="n">
        <f aca="false">'Assumption Setting'!$G$180/'Timeline and FX'!BD8</f>
        <v>918.357417653508</v>
      </c>
      <c r="BE32" s="60" t="n">
        <f aca="false">'Assumption Setting'!$G$180/'Timeline and FX'!BE8</f>
        <v>913.908919774388</v>
      </c>
      <c r="BF32" s="60" t="n">
        <f aca="false">'Assumption Setting'!$G$180/'Timeline and FX'!BF8</f>
        <v>909.481970295706</v>
      </c>
      <c r="BG32" s="60" t="n">
        <f aca="false">'Assumption Setting'!$G$180/'Timeline and FX'!BG8</f>
        <v>905.076464837607</v>
      </c>
      <c r="BH32" s="60" t="n">
        <f aca="false">'Assumption Setting'!$G$180/'Timeline and FX'!BH8</f>
        <v>900.69229952585</v>
      </c>
      <c r="BI32" s="60" t="n">
        <f aca="false">'Assumption Setting'!$G$180/'Timeline and FX'!BI8</f>
        <v>896.329370989357</v>
      </c>
      <c r="BJ32" s="60" t="n">
        <f aca="false">'Assumption Setting'!$G$180/'Timeline and FX'!BJ8</f>
        <v>891.987576357778</v>
      </c>
      <c r="BK32" s="60" t="n">
        <f aca="false">'Assumption Setting'!$G$180/'Timeline and FX'!BK8</f>
        <v>887.666813259063</v>
      </c>
      <c r="BL32" s="60" t="n">
        <f aca="false">'Assumption Setting'!$G$180/'Timeline and FX'!BL8</f>
        <v>883.366979817049</v>
      </c>
      <c r="BM32" s="60" t="n">
        <f aca="false">'Assumption Setting'!$G$180/'Timeline and FX'!BM8</f>
        <v>879.08797464906</v>
      </c>
      <c r="BN32" s="60" t="n">
        <f aca="false">'Assumption Setting'!$G$180/'Timeline and FX'!BN8</f>
        <v>874.829696863513</v>
      </c>
    </row>
    <row r="33" customFormat="false" ht="15" hidden="false" customHeight="false" outlineLevel="0" collapsed="false">
      <c r="A33" s="4" t="s">
        <v>933</v>
      </c>
      <c r="B33" s="59" t="n">
        <f aca="false">SUM(C33:N33)</f>
        <v>8064</v>
      </c>
      <c r="C33" s="60" t="n">
        <f aca="false">Payroll!C73*'Assumption Setting'!$C$164*'Timeline and FX'!C11</f>
        <v>672</v>
      </c>
      <c r="D33" s="60" t="n">
        <f aca="false">Payroll!D73*'Assumption Setting'!$C$164*'Timeline and FX'!D11</f>
        <v>672</v>
      </c>
      <c r="E33" s="60" t="n">
        <f aca="false">Payroll!E73*'Assumption Setting'!$C$164*'Timeline and FX'!E11</f>
        <v>672</v>
      </c>
      <c r="F33" s="60" t="n">
        <f aca="false">Payroll!F73*'Assumption Setting'!$C$164*'Timeline and FX'!F11</f>
        <v>672</v>
      </c>
      <c r="G33" s="60" t="n">
        <f aca="false">Payroll!G73*'Assumption Setting'!$C$164*'Timeline and FX'!G11</f>
        <v>672</v>
      </c>
      <c r="H33" s="60" t="n">
        <f aca="false">Payroll!H73*'Assumption Setting'!$C$164*'Timeline and FX'!H11</f>
        <v>672</v>
      </c>
      <c r="I33" s="60" t="n">
        <f aca="false">Payroll!I73*'Assumption Setting'!$C$164*'Timeline and FX'!I11</f>
        <v>672</v>
      </c>
      <c r="J33" s="60" t="n">
        <f aca="false">Payroll!J73*'Assumption Setting'!$C$164*'Timeline and FX'!J11</f>
        <v>672</v>
      </c>
      <c r="K33" s="60" t="n">
        <f aca="false">Payroll!K73*'Assumption Setting'!$C$164*'Timeline and FX'!K11</f>
        <v>672</v>
      </c>
      <c r="L33" s="60" t="n">
        <f aca="false">Payroll!L73*'Assumption Setting'!$C$164*'Timeline and FX'!L11</f>
        <v>672</v>
      </c>
      <c r="M33" s="60" t="n">
        <f aca="false">Payroll!M73*'Assumption Setting'!$C$164*'Timeline and FX'!M11</f>
        <v>672</v>
      </c>
      <c r="N33" s="60" t="n">
        <f aca="false">Payroll!N73*'Assumption Setting'!$C$164*'Timeline and FX'!N11</f>
        <v>672</v>
      </c>
      <c r="O33" s="59" t="n">
        <f aca="false">SUM(P33:AA33)</f>
        <v>13789.44</v>
      </c>
      <c r="P33" s="60" t="n">
        <f aca="false">Payroll!P73*'Assumption Setting'!$C$164*'Timeline and FX'!P11</f>
        <v>1088.64</v>
      </c>
      <c r="Q33" s="60" t="n">
        <f aca="false">Payroll!Q73*'Assumption Setting'!$C$164*'Timeline and FX'!Q11</f>
        <v>1088.64</v>
      </c>
      <c r="R33" s="60" t="n">
        <f aca="false">Payroll!R73*'Assumption Setting'!$C$164*'Timeline and FX'!R11</f>
        <v>1088.64</v>
      </c>
      <c r="S33" s="60" t="n">
        <f aca="false">Payroll!S73*'Assumption Setting'!$C$164*'Timeline and FX'!S11</f>
        <v>1088.64</v>
      </c>
      <c r="T33" s="60" t="n">
        <f aca="false">Payroll!T73*'Assumption Setting'!$C$164*'Timeline and FX'!T11</f>
        <v>1118.88</v>
      </c>
      <c r="U33" s="60" t="n">
        <f aca="false">Payroll!U73*'Assumption Setting'!$C$164*'Timeline and FX'!U11</f>
        <v>1118.88</v>
      </c>
      <c r="V33" s="60" t="n">
        <f aca="false">Payroll!V73*'Assumption Setting'!$C$164*'Timeline and FX'!V11</f>
        <v>1179.36</v>
      </c>
      <c r="W33" s="60" t="n">
        <f aca="false">Payroll!W73*'Assumption Setting'!$C$164*'Timeline and FX'!W11</f>
        <v>1179.36</v>
      </c>
      <c r="X33" s="60" t="n">
        <f aca="false">Payroll!X73*'Assumption Setting'!$C$164*'Timeline and FX'!X11</f>
        <v>1209.6</v>
      </c>
      <c r="Y33" s="60" t="n">
        <f aca="false">Payroll!Y73*'Assumption Setting'!$C$164*'Timeline and FX'!Y11</f>
        <v>1209.6</v>
      </c>
      <c r="Z33" s="60" t="n">
        <f aca="false">Payroll!Z73*'Assumption Setting'!$C$164*'Timeline and FX'!Z11</f>
        <v>1209.6</v>
      </c>
      <c r="AA33" s="60" t="n">
        <f aca="false">Payroll!AA73*'Assumption Setting'!$C$164*'Timeline and FX'!AA11</f>
        <v>1209.6</v>
      </c>
      <c r="AB33" s="59" t="n">
        <f aca="false">SUM(AC33:AN33)</f>
        <v>22338.8928</v>
      </c>
      <c r="AC33" s="60" t="n">
        <f aca="false">Payroll!AC73*'Assumption Setting'!$C$164*'Timeline and FX'!AC11</f>
        <v>1763.5968</v>
      </c>
      <c r="AD33" s="60" t="n">
        <f aca="false">Payroll!AD73*'Assumption Setting'!$C$164*'Timeline and FX'!AD11</f>
        <v>1763.5968</v>
      </c>
      <c r="AE33" s="60" t="n">
        <f aca="false">Payroll!AE73*'Assumption Setting'!$C$164*'Timeline and FX'!AE11</f>
        <v>1763.5968</v>
      </c>
      <c r="AF33" s="60" t="n">
        <f aca="false">Payroll!AF73*'Assumption Setting'!$C$164*'Timeline and FX'!AF11</f>
        <v>1796.256</v>
      </c>
      <c r="AG33" s="60" t="n">
        <f aca="false">Payroll!AG73*'Assumption Setting'!$C$164*'Timeline and FX'!AG11</f>
        <v>1828.9152</v>
      </c>
      <c r="AH33" s="60" t="n">
        <f aca="false">Payroll!AH73*'Assumption Setting'!$C$164*'Timeline and FX'!AH11</f>
        <v>1828.9152</v>
      </c>
      <c r="AI33" s="60" t="n">
        <f aca="false">Payroll!AI73*'Assumption Setting'!$C$164*'Timeline and FX'!AI11</f>
        <v>1894.2336</v>
      </c>
      <c r="AJ33" s="60" t="n">
        <f aca="false">Payroll!AJ73*'Assumption Setting'!$C$164*'Timeline and FX'!AJ11</f>
        <v>1894.2336</v>
      </c>
      <c r="AK33" s="60" t="n">
        <f aca="false">Payroll!AK73*'Assumption Setting'!$C$164*'Timeline and FX'!AK11</f>
        <v>1926.8928</v>
      </c>
      <c r="AL33" s="60" t="n">
        <f aca="false">Payroll!AL73*'Assumption Setting'!$C$164*'Timeline and FX'!AL11</f>
        <v>1959.552</v>
      </c>
      <c r="AM33" s="60" t="n">
        <f aca="false">Payroll!AM73*'Assumption Setting'!$C$164*'Timeline and FX'!AM11</f>
        <v>1959.552</v>
      </c>
      <c r="AN33" s="60" t="n">
        <f aca="false">Payroll!AN73*'Assumption Setting'!$C$164*'Timeline and FX'!AN11</f>
        <v>1959.552</v>
      </c>
      <c r="AO33" s="59" t="n">
        <f aca="false">SUM(AP33:BA33)</f>
        <v>33093.240768</v>
      </c>
      <c r="AP33" s="60" t="n">
        <f aca="false">Payroll!AP73*'Assumption Setting'!$C$164*'Timeline and FX'!AP11</f>
        <v>2551.010112</v>
      </c>
      <c r="AQ33" s="60" t="n">
        <f aca="false">Payroll!AQ73*'Assumption Setting'!$C$164*'Timeline and FX'!AQ11</f>
        <v>2585.955456</v>
      </c>
      <c r="AR33" s="60" t="n">
        <f aca="false">Payroll!AR73*'Assumption Setting'!$C$164*'Timeline and FX'!AR11</f>
        <v>2620.9008</v>
      </c>
      <c r="AS33" s="60" t="n">
        <f aca="false">Payroll!AS73*'Assumption Setting'!$C$164*'Timeline and FX'!AS11</f>
        <v>2655.846144</v>
      </c>
      <c r="AT33" s="60" t="n">
        <f aca="false">Payroll!AT73*'Assumption Setting'!$C$164*'Timeline and FX'!AT11</f>
        <v>2690.791488</v>
      </c>
      <c r="AU33" s="60" t="n">
        <f aca="false">Payroll!AU73*'Assumption Setting'!$C$164*'Timeline and FX'!AU11</f>
        <v>2725.736832</v>
      </c>
      <c r="AV33" s="60" t="n">
        <f aca="false">Payroll!AV73*'Assumption Setting'!$C$164*'Timeline and FX'!AV11</f>
        <v>2795.62752</v>
      </c>
      <c r="AW33" s="60" t="n">
        <f aca="false">Payroll!AW73*'Assumption Setting'!$C$164*'Timeline and FX'!AW11</f>
        <v>2830.572864</v>
      </c>
      <c r="AX33" s="60" t="n">
        <f aca="false">Payroll!AX73*'Assumption Setting'!$C$164*'Timeline and FX'!AX11</f>
        <v>2865.518208</v>
      </c>
      <c r="AY33" s="60" t="n">
        <f aca="false">Payroll!AY73*'Assumption Setting'!$C$164*'Timeline and FX'!AY11</f>
        <v>2900.463552</v>
      </c>
      <c r="AZ33" s="60" t="n">
        <f aca="false">Payroll!AZ73*'Assumption Setting'!$C$164*'Timeline and FX'!AZ11</f>
        <v>2935.408896</v>
      </c>
      <c r="BA33" s="60" t="n">
        <f aca="false">Payroll!BA73*'Assumption Setting'!$C$164*'Timeline and FX'!BA11</f>
        <v>2935.408896</v>
      </c>
      <c r="BB33" s="59" t="n">
        <f aca="false">SUM(BC33:BN33)</f>
        <v>47562.01099776</v>
      </c>
      <c r="BC33" s="60" t="n">
        <f aca="false">Payroll!BC73*'Assumption Setting'!$C$164*'Timeline and FX'!BC11</f>
        <v>3630.12233472</v>
      </c>
      <c r="BD33" s="60" t="n">
        <f aca="false">Payroll!BD73*'Assumption Setting'!$C$164*'Timeline and FX'!BD11</f>
        <v>3704.206464</v>
      </c>
      <c r="BE33" s="60" t="n">
        <f aca="false">Payroll!BE73*'Assumption Setting'!$C$164*'Timeline and FX'!BE11</f>
        <v>3778.29059328</v>
      </c>
      <c r="BF33" s="60" t="n">
        <f aca="false">Payroll!BF73*'Assumption Setting'!$C$164*'Timeline and FX'!BF11</f>
        <v>3778.29059328</v>
      </c>
      <c r="BG33" s="60" t="n">
        <f aca="false">Payroll!BG73*'Assumption Setting'!$C$164*'Timeline and FX'!BG11</f>
        <v>3852.37472256</v>
      </c>
      <c r="BH33" s="60" t="n">
        <f aca="false">Payroll!BH73*'Assumption Setting'!$C$164*'Timeline and FX'!BH11</f>
        <v>3926.45885184</v>
      </c>
      <c r="BI33" s="60" t="n">
        <f aca="false">Payroll!BI73*'Assumption Setting'!$C$164*'Timeline and FX'!BI11</f>
        <v>4037.58504576</v>
      </c>
      <c r="BJ33" s="60" t="n">
        <f aca="false">Payroll!BJ73*'Assumption Setting'!$C$164*'Timeline and FX'!BJ11</f>
        <v>4037.58504576</v>
      </c>
      <c r="BK33" s="60" t="n">
        <f aca="false">Payroll!BK73*'Assumption Setting'!$C$164*'Timeline and FX'!BK11</f>
        <v>4111.66917504</v>
      </c>
      <c r="BL33" s="60" t="n">
        <f aca="false">Payroll!BL73*'Assumption Setting'!$C$164*'Timeline and FX'!BL11</f>
        <v>4185.75330432</v>
      </c>
      <c r="BM33" s="60" t="n">
        <f aca="false">Payroll!BM73*'Assumption Setting'!$C$164*'Timeline and FX'!BM11</f>
        <v>4259.8374336</v>
      </c>
      <c r="BN33" s="60" t="n">
        <f aca="false">Payroll!BN73*'Assumption Setting'!$C$164*'Timeline and FX'!BN11</f>
        <v>4259.8374336</v>
      </c>
    </row>
    <row r="34" customFormat="false" ht="15" hidden="false" customHeight="false" outlineLevel="0" collapsed="false">
      <c r="A34" s="4" t="s">
        <v>934</v>
      </c>
      <c r="B34" s="59" t="n">
        <f aca="false">SUM(C34:N34)</f>
        <v>21600</v>
      </c>
      <c r="C34" s="60" t="n">
        <f aca="false">Payroll!C73*'Assumption Setting'!$C$165*'Timeline and FX'!C11</f>
        <v>1800</v>
      </c>
      <c r="D34" s="60" t="n">
        <f aca="false">Payroll!D73*'Assumption Setting'!$C$165*'Timeline and FX'!D11</f>
        <v>1800</v>
      </c>
      <c r="E34" s="60" t="n">
        <f aca="false">Payroll!E73*'Assumption Setting'!$C$165*'Timeline and FX'!E11</f>
        <v>1800</v>
      </c>
      <c r="F34" s="60" t="n">
        <f aca="false">Payroll!F73*'Assumption Setting'!$C$165*'Timeline and FX'!F11</f>
        <v>1800</v>
      </c>
      <c r="G34" s="60" t="n">
        <f aca="false">Payroll!G73*'Assumption Setting'!$C$165*'Timeline and FX'!G11</f>
        <v>1800</v>
      </c>
      <c r="H34" s="60" t="n">
        <f aca="false">Payroll!H73*'Assumption Setting'!$C$165*'Timeline and FX'!H11</f>
        <v>1800</v>
      </c>
      <c r="I34" s="60" t="n">
        <f aca="false">Payroll!I73*'Assumption Setting'!$C$165*'Timeline and FX'!I11</f>
        <v>1800</v>
      </c>
      <c r="J34" s="60" t="n">
        <f aca="false">Payroll!J73*'Assumption Setting'!$C$165*'Timeline and FX'!J11</f>
        <v>1800</v>
      </c>
      <c r="K34" s="60" t="n">
        <f aca="false">Payroll!K73*'Assumption Setting'!$C$165*'Timeline and FX'!K11</f>
        <v>1800</v>
      </c>
      <c r="L34" s="60" t="n">
        <f aca="false">Payroll!L73*'Assumption Setting'!$C$165*'Timeline and FX'!L11</f>
        <v>1800</v>
      </c>
      <c r="M34" s="60" t="n">
        <f aca="false">Payroll!M73*'Assumption Setting'!$C$165*'Timeline and FX'!M11</f>
        <v>1800</v>
      </c>
      <c r="N34" s="60" t="n">
        <f aca="false">Payroll!N73*'Assumption Setting'!$C$165*'Timeline and FX'!N11</f>
        <v>1800</v>
      </c>
      <c r="O34" s="59" t="n">
        <f aca="false">SUM(P34:AA34)</f>
        <v>36936</v>
      </c>
      <c r="P34" s="60" t="n">
        <f aca="false">Payroll!P73*'Assumption Setting'!$C$165*'Timeline and FX'!P11</f>
        <v>2916</v>
      </c>
      <c r="Q34" s="60" t="n">
        <f aca="false">Payroll!Q73*'Assumption Setting'!$C$165*'Timeline and FX'!Q11</f>
        <v>2916</v>
      </c>
      <c r="R34" s="60" t="n">
        <f aca="false">Payroll!R73*'Assumption Setting'!$C$165*'Timeline and FX'!R11</f>
        <v>2916</v>
      </c>
      <c r="S34" s="60" t="n">
        <f aca="false">Payroll!S73*'Assumption Setting'!$C$165*'Timeline and FX'!S11</f>
        <v>2916</v>
      </c>
      <c r="T34" s="60" t="n">
        <f aca="false">Payroll!T73*'Assumption Setting'!$C$165*'Timeline and FX'!T11</f>
        <v>2997</v>
      </c>
      <c r="U34" s="60" t="n">
        <f aca="false">Payroll!U73*'Assumption Setting'!$C$165*'Timeline and FX'!U11</f>
        <v>2997</v>
      </c>
      <c r="V34" s="60" t="n">
        <f aca="false">Payroll!V73*'Assumption Setting'!$C$165*'Timeline and FX'!V11</f>
        <v>3159</v>
      </c>
      <c r="W34" s="60" t="n">
        <f aca="false">Payroll!W73*'Assumption Setting'!$C$165*'Timeline and FX'!W11</f>
        <v>3159</v>
      </c>
      <c r="X34" s="60" t="n">
        <f aca="false">Payroll!X73*'Assumption Setting'!$C$165*'Timeline and FX'!X11</f>
        <v>3240</v>
      </c>
      <c r="Y34" s="60" t="n">
        <f aca="false">Payroll!Y73*'Assumption Setting'!$C$165*'Timeline and FX'!Y11</f>
        <v>3240</v>
      </c>
      <c r="Z34" s="60" t="n">
        <f aca="false">Payroll!Z73*'Assumption Setting'!$C$165*'Timeline and FX'!Z11</f>
        <v>3240</v>
      </c>
      <c r="AA34" s="60" t="n">
        <f aca="false">Payroll!AA73*'Assumption Setting'!$C$165*'Timeline and FX'!AA11</f>
        <v>3240</v>
      </c>
      <c r="AB34" s="59" t="n">
        <f aca="false">SUM(AC34:AN34)</f>
        <v>59836.32</v>
      </c>
      <c r="AC34" s="60" t="n">
        <f aca="false">Payroll!AC73*'Assumption Setting'!$C$165*'Timeline and FX'!AC11</f>
        <v>4723.92</v>
      </c>
      <c r="AD34" s="60" t="n">
        <f aca="false">Payroll!AD73*'Assumption Setting'!$C$165*'Timeline and FX'!AD11</f>
        <v>4723.92</v>
      </c>
      <c r="AE34" s="60" t="n">
        <f aca="false">Payroll!AE73*'Assumption Setting'!$C$165*'Timeline and FX'!AE11</f>
        <v>4723.92</v>
      </c>
      <c r="AF34" s="60" t="n">
        <f aca="false">Payroll!AF73*'Assumption Setting'!$C$165*'Timeline and FX'!AF11</f>
        <v>4811.4</v>
      </c>
      <c r="AG34" s="60" t="n">
        <f aca="false">Payroll!AG73*'Assumption Setting'!$C$165*'Timeline and FX'!AG11</f>
        <v>4898.88</v>
      </c>
      <c r="AH34" s="60" t="n">
        <f aca="false">Payroll!AH73*'Assumption Setting'!$C$165*'Timeline and FX'!AH11</f>
        <v>4898.88</v>
      </c>
      <c r="AI34" s="60" t="n">
        <f aca="false">Payroll!AI73*'Assumption Setting'!$C$165*'Timeline and FX'!AI11</f>
        <v>5073.84</v>
      </c>
      <c r="AJ34" s="60" t="n">
        <f aca="false">Payroll!AJ73*'Assumption Setting'!$C$165*'Timeline and FX'!AJ11</f>
        <v>5073.84</v>
      </c>
      <c r="AK34" s="60" t="n">
        <f aca="false">Payroll!AK73*'Assumption Setting'!$C$165*'Timeline and FX'!AK11</f>
        <v>5161.32</v>
      </c>
      <c r="AL34" s="60" t="n">
        <f aca="false">Payroll!AL73*'Assumption Setting'!$C$165*'Timeline and FX'!AL11</f>
        <v>5248.8</v>
      </c>
      <c r="AM34" s="60" t="n">
        <f aca="false">Payroll!AM73*'Assumption Setting'!$C$165*'Timeline and FX'!AM11</f>
        <v>5248.8</v>
      </c>
      <c r="AN34" s="60" t="n">
        <f aca="false">Payroll!AN73*'Assumption Setting'!$C$165*'Timeline and FX'!AN11</f>
        <v>5248.8</v>
      </c>
      <c r="AO34" s="59" t="n">
        <f aca="false">SUM(AP34:BA34)</f>
        <v>88642.6092</v>
      </c>
      <c r="AP34" s="60" t="n">
        <f aca="false">Payroll!AP73*'Assumption Setting'!$C$165*'Timeline and FX'!AP11</f>
        <v>6833.0628</v>
      </c>
      <c r="AQ34" s="60" t="n">
        <f aca="false">Payroll!AQ73*'Assumption Setting'!$C$165*'Timeline and FX'!AQ11</f>
        <v>6926.6664</v>
      </c>
      <c r="AR34" s="60" t="n">
        <f aca="false">Payroll!AR73*'Assumption Setting'!$C$165*'Timeline and FX'!AR11</f>
        <v>7020.27</v>
      </c>
      <c r="AS34" s="60" t="n">
        <f aca="false">Payroll!AS73*'Assumption Setting'!$C$165*'Timeline and FX'!AS11</f>
        <v>7113.8736</v>
      </c>
      <c r="AT34" s="60" t="n">
        <f aca="false">Payroll!AT73*'Assumption Setting'!$C$165*'Timeline and FX'!AT11</f>
        <v>7207.4772</v>
      </c>
      <c r="AU34" s="60" t="n">
        <f aca="false">Payroll!AU73*'Assumption Setting'!$C$165*'Timeline and FX'!AU11</f>
        <v>7301.0808</v>
      </c>
      <c r="AV34" s="60" t="n">
        <f aca="false">Payroll!AV73*'Assumption Setting'!$C$165*'Timeline and FX'!AV11</f>
        <v>7488.288</v>
      </c>
      <c r="AW34" s="60" t="n">
        <f aca="false">Payroll!AW73*'Assumption Setting'!$C$165*'Timeline and FX'!AW11</f>
        <v>7581.8916</v>
      </c>
      <c r="AX34" s="60" t="n">
        <f aca="false">Payroll!AX73*'Assumption Setting'!$C$165*'Timeline and FX'!AX11</f>
        <v>7675.4952</v>
      </c>
      <c r="AY34" s="60" t="n">
        <f aca="false">Payroll!AY73*'Assumption Setting'!$C$165*'Timeline and FX'!AY11</f>
        <v>7769.0988</v>
      </c>
      <c r="AZ34" s="60" t="n">
        <f aca="false">Payroll!AZ73*'Assumption Setting'!$C$165*'Timeline and FX'!AZ11</f>
        <v>7862.7024</v>
      </c>
      <c r="BA34" s="60" t="n">
        <f aca="false">Payroll!BA73*'Assumption Setting'!$C$165*'Timeline and FX'!BA11</f>
        <v>7862.7024</v>
      </c>
      <c r="BB34" s="59" t="n">
        <f aca="false">SUM(BC34:BN34)</f>
        <v>127398.243744</v>
      </c>
      <c r="BC34" s="60" t="n">
        <f aca="false">Payroll!BC73*'Assumption Setting'!$C$165*'Timeline and FX'!BC11</f>
        <v>9723.541968</v>
      </c>
      <c r="BD34" s="60" t="n">
        <f aca="false">Payroll!BD73*'Assumption Setting'!$C$165*'Timeline and FX'!BD11</f>
        <v>9921.9816</v>
      </c>
      <c r="BE34" s="60" t="n">
        <f aca="false">Payroll!BE73*'Assumption Setting'!$C$165*'Timeline and FX'!BE11</f>
        <v>10120.421232</v>
      </c>
      <c r="BF34" s="60" t="n">
        <f aca="false">Payroll!BF73*'Assumption Setting'!$C$165*'Timeline and FX'!BF11</f>
        <v>10120.421232</v>
      </c>
      <c r="BG34" s="60" t="n">
        <f aca="false">Payroll!BG73*'Assumption Setting'!$C$165*'Timeline and FX'!BG11</f>
        <v>10318.860864</v>
      </c>
      <c r="BH34" s="60" t="n">
        <f aca="false">Payroll!BH73*'Assumption Setting'!$C$165*'Timeline and FX'!BH11</f>
        <v>10517.300496</v>
      </c>
      <c r="BI34" s="60" t="n">
        <f aca="false">Payroll!BI73*'Assumption Setting'!$C$165*'Timeline and FX'!BI11</f>
        <v>10814.959944</v>
      </c>
      <c r="BJ34" s="60" t="n">
        <f aca="false">Payroll!BJ73*'Assumption Setting'!$C$165*'Timeline and FX'!BJ11</f>
        <v>10814.959944</v>
      </c>
      <c r="BK34" s="60" t="n">
        <f aca="false">Payroll!BK73*'Assumption Setting'!$C$165*'Timeline and FX'!BK11</f>
        <v>11013.399576</v>
      </c>
      <c r="BL34" s="60" t="n">
        <f aca="false">Payroll!BL73*'Assumption Setting'!$C$165*'Timeline and FX'!BL11</f>
        <v>11211.839208</v>
      </c>
      <c r="BM34" s="60" t="n">
        <f aca="false">Payroll!BM73*'Assumption Setting'!$C$165*'Timeline and FX'!BM11</f>
        <v>11410.27884</v>
      </c>
      <c r="BN34" s="60" t="n">
        <f aca="false">Payroll!BN73*'Assumption Setting'!$C$165*'Timeline and FX'!BN11</f>
        <v>11410.27884</v>
      </c>
    </row>
    <row r="35" customFormat="false" ht="15" hidden="false" customHeight="false" outlineLevel="0" collapsed="false">
      <c r="A35" s="4" t="s">
        <v>935</v>
      </c>
      <c r="B35" s="59" t="n">
        <f aca="false">SUM(C35:N35)</f>
        <v>5040</v>
      </c>
      <c r="C35" s="60" t="n">
        <f aca="false">'Assumption Setting'!$C$166*'Timeline and FX'!C11</f>
        <v>420</v>
      </c>
      <c r="D35" s="60" t="n">
        <f aca="false">'Assumption Setting'!$C$166*'Timeline and FX'!D11</f>
        <v>420</v>
      </c>
      <c r="E35" s="60" t="n">
        <f aca="false">'Assumption Setting'!$C$166*'Timeline and FX'!E11</f>
        <v>420</v>
      </c>
      <c r="F35" s="60" t="n">
        <f aca="false">'Assumption Setting'!$C$166*'Timeline and FX'!F11</f>
        <v>420</v>
      </c>
      <c r="G35" s="60" t="n">
        <f aca="false">'Assumption Setting'!$C$166*'Timeline and FX'!G11</f>
        <v>420</v>
      </c>
      <c r="H35" s="60" t="n">
        <f aca="false">'Assumption Setting'!$C$166*'Timeline and FX'!H11</f>
        <v>420</v>
      </c>
      <c r="I35" s="60" t="n">
        <f aca="false">'Assumption Setting'!$C$166*'Timeline and FX'!I11</f>
        <v>420</v>
      </c>
      <c r="J35" s="60" t="n">
        <f aca="false">'Assumption Setting'!$C$166*'Timeline and FX'!J11</f>
        <v>420</v>
      </c>
      <c r="K35" s="60" t="n">
        <f aca="false">'Assumption Setting'!$C$166*'Timeline and FX'!K11</f>
        <v>420</v>
      </c>
      <c r="L35" s="60" t="n">
        <f aca="false">'Assumption Setting'!$C$166*'Timeline and FX'!L11</f>
        <v>420</v>
      </c>
      <c r="M35" s="60" t="n">
        <f aca="false">'Assumption Setting'!$C$166*'Timeline and FX'!M11</f>
        <v>420</v>
      </c>
      <c r="N35" s="60" t="n">
        <f aca="false">'Assumption Setting'!$C$166*'Timeline and FX'!N11</f>
        <v>420</v>
      </c>
      <c r="O35" s="59" t="n">
        <f aca="false">SUM(P35:AA35)</f>
        <v>5443.2</v>
      </c>
      <c r="P35" s="60" t="n">
        <f aca="false">'Assumption Setting'!$C$166*'Timeline and FX'!P11</f>
        <v>453.6</v>
      </c>
      <c r="Q35" s="60" t="n">
        <f aca="false">'Assumption Setting'!$C$166*'Timeline and FX'!Q11</f>
        <v>453.6</v>
      </c>
      <c r="R35" s="60" t="n">
        <f aca="false">'Assumption Setting'!$C$166*'Timeline and FX'!R11</f>
        <v>453.6</v>
      </c>
      <c r="S35" s="60" t="n">
        <f aca="false">'Assumption Setting'!$C$166*'Timeline and FX'!S11</f>
        <v>453.6</v>
      </c>
      <c r="T35" s="60" t="n">
        <f aca="false">'Assumption Setting'!$C$166*'Timeline and FX'!T11</f>
        <v>453.6</v>
      </c>
      <c r="U35" s="60" t="n">
        <f aca="false">'Assumption Setting'!$C$166*'Timeline and FX'!U11</f>
        <v>453.6</v>
      </c>
      <c r="V35" s="60" t="n">
        <f aca="false">'Assumption Setting'!$C$166*'Timeline and FX'!V11</f>
        <v>453.6</v>
      </c>
      <c r="W35" s="60" t="n">
        <f aca="false">'Assumption Setting'!$C$166*'Timeline and FX'!W11</f>
        <v>453.6</v>
      </c>
      <c r="X35" s="60" t="n">
        <f aca="false">'Assumption Setting'!$C$166*'Timeline and FX'!X11</f>
        <v>453.6</v>
      </c>
      <c r="Y35" s="60" t="n">
        <f aca="false">'Assumption Setting'!$C$166*'Timeline and FX'!Y11</f>
        <v>453.6</v>
      </c>
      <c r="Z35" s="60" t="n">
        <f aca="false">'Assumption Setting'!$C$166*'Timeline and FX'!Z11</f>
        <v>453.6</v>
      </c>
      <c r="AA35" s="60" t="n">
        <f aca="false">'Assumption Setting'!$C$166*'Timeline and FX'!AA11</f>
        <v>453.6</v>
      </c>
      <c r="AB35" s="59" t="n">
        <f aca="false">SUM(AC35:AN35)</f>
        <v>5878.656</v>
      </c>
      <c r="AC35" s="60" t="n">
        <f aca="false">'Assumption Setting'!$C$166*'Timeline and FX'!AC11</f>
        <v>489.888</v>
      </c>
      <c r="AD35" s="60" t="n">
        <f aca="false">'Assumption Setting'!$C$166*'Timeline and FX'!AD11</f>
        <v>489.888</v>
      </c>
      <c r="AE35" s="60" t="n">
        <f aca="false">'Assumption Setting'!$C$166*'Timeline and FX'!AE11</f>
        <v>489.888</v>
      </c>
      <c r="AF35" s="60" t="n">
        <f aca="false">'Assumption Setting'!$C$166*'Timeline and FX'!AF11</f>
        <v>489.888</v>
      </c>
      <c r="AG35" s="60" t="n">
        <f aca="false">'Assumption Setting'!$C$166*'Timeline and FX'!AG11</f>
        <v>489.888</v>
      </c>
      <c r="AH35" s="60" t="n">
        <f aca="false">'Assumption Setting'!$C$166*'Timeline and FX'!AH11</f>
        <v>489.888</v>
      </c>
      <c r="AI35" s="60" t="n">
        <f aca="false">'Assumption Setting'!$C$166*'Timeline and FX'!AI11</f>
        <v>489.888</v>
      </c>
      <c r="AJ35" s="60" t="n">
        <f aca="false">'Assumption Setting'!$C$166*'Timeline and FX'!AJ11</f>
        <v>489.888</v>
      </c>
      <c r="AK35" s="60" t="n">
        <f aca="false">'Assumption Setting'!$C$166*'Timeline and FX'!AK11</f>
        <v>489.888</v>
      </c>
      <c r="AL35" s="60" t="n">
        <f aca="false">'Assumption Setting'!$C$166*'Timeline and FX'!AL11</f>
        <v>489.888</v>
      </c>
      <c r="AM35" s="60" t="n">
        <f aca="false">'Assumption Setting'!$C$166*'Timeline and FX'!AM11</f>
        <v>489.888</v>
      </c>
      <c r="AN35" s="60" t="n">
        <f aca="false">'Assumption Setting'!$C$166*'Timeline and FX'!AN11</f>
        <v>489.888</v>
      </c>
      <c r="AO35" s="59" t="n">
        <f aca="false">SUM(AP35:BA35)</f>
        <v>6290.16192</v>
      </c>
      <c r="AP35" s="60" t="n">
        <f aca="false">'Assumption Setting'!$C$166*'Timeline and FX'!AP11</f>
        <v>524.18016</v>
      </c>
      <c r="AQ35" s="60" t="n">
        <f aca="false">'Assumption Setting'!$C$166*'Timeline and FX'!AQ11</f>
        <v>524.18016</v>
      </c>
      <c r="AR35" s="60" t="n">
        <f aca="false">'Assumption Setting'!$C$166*'Timeline and FX'!AR11</f>
        <v>524.18016</v>
      </c>
      <c r="AS35" s="60" t="n">
        <f aca="false">'Assumption Setting'!$C$166*'Timeline and FX'!AS11</f>
        <v>524.18016</v>
      </c>
      <c r="AT35" s="60" t="n">
        <f aca="false">'Assumption Setting'!$C$166*'Timeline and FX'!AT11</f>
        <v>524.18016</v>
      </c>
      <c r="AU35" s="60" t="n">
        <f aca="false">'Assumption Setting'!$C$166*'Timeline and FX'!AU11</f>
        <v>524.18016</v>
      </c>
      <c r="AV35" s="60" t="n">
        <f aca="false">'Assumption Setting'!$C$166*'Timeline and FX'!AV11</f>
        <v>524.18016</v>
      </c>
      <c r="AW35" s="60" t="n">
        <f aca="false">'Assumption Setting'!$C$166*'Timeline and FX'!AW11</f>
        <v>524.18016</v>
      </c>
      <c r="AX35" s="60" t="n">
        <f aca="false">'Assumption Setting'!$C$166*'Timeline and FX'!AX11</f>
        <v>524.18016</v>
      </c>
      <c r="AY35" s="60" t="n">
        <f aca="false">'Assumption Setting'!$C$166*'Timeline and FX'!AY11</f>
        <v>524.18016</v>
      </c>
      <c r="AZ35" s="60" t="n">
        <f aca="false">'Assumption Setting'!$C$166*'Timeline and FX'!AZ11</f>
        <v>524.18016</v>
      </c>
      <c r="BA35" s="60" t="n">
        <f aca="false">'Assumption Setting'!$C$166*'Timeline and FX'!BA11</f>
        <v>524.18016</v>
      </c>
      <c r="BB35" s="59" t="n">
        <f aca="false">SUM(BC35:BN35)</f>
        <v>6667.5716352</v>
      </c>
      <c r="BC35" s="60" t="n">
        <f aca="false">'Assumption Setting'!$C$166*'Timeline and FX'!BC11</f>
        <v>555.6309696</v>
      </c>
      <c r="BD35" s="60" t="n">
        <f aca="false">'Assumption Setting'!$C$166*'Timeline and FX'!BD11</f>
        <v>555.6309696</v>
      </c>
      <c r="BE35" s="60" t="n">
        <f aca="false">'Assumption Setting'!$C$166*'Timeline and FX'!BE11</f>
        <v>555.6309696</v>
      </c>
      <c r="BF35" s="60" t="n">
        <f aca="false">'Assumption Setting'!$C$166*'Timeline and FX'!BF11</f>
        <v>555.6309696</v>
      </c>
      <c r="BG35" s="60" t="n">
        <f aca="false">'Assumption Setting'!$C$166*'Timeline and FX'!BG11</f>
        <v>555.6309696</v>
      </c>
      <c r="BH35" s="60" t="n">
        <f aca="false">'Assumption Setting'!$C$166*'Timeline and FX'!BH11</f>
        <v>555.6309696</v>
      </c>
      <c r="BI35" s="60" t="n">
        <f aca="false">'Assumption Setting'!$C$166*'Timeline and FX'!BI11</f>
        <v>555.6309696</v>
      </c>
      <c r="BJ35" s="60" t="n">
        <f aca="false">'Assumption Setting'!$C$166*'Timeline and FX'!BJ11</f>
        <v>555.6309696</v>
      </c>
      <c r="BK35" s="60" t="n">
        <f aca="false">'Assumption Setting'!$C$166*'Timeline and FX'!BK11</f>
        <v>555.6309696</v>
      </c>
      <c r="BL35" s="60" t="n">
        <f aca="false">'Assumption Setting'!$C$166*'Timeline and FX'!BL11</f>
        <v>555.6309696</v>
      </c>
      <c r="BM35" s="60" t="n">
        <f aca="false">'Assumption Setting'!$C$166*'Timeline and FX'!BM11</f>
        <v>555.6309696</v>
      </c>
      <c r="BN35" s="60" t="n">
        <f aca="false">'Assumption Setting'!$C$166*'Timeline and FX'!BN11</f>
        <v>555.6309696</v>
      </c>
    </row>
    <row r="36" customFormat="false" ht="15" hidden="false" customHeight="false" outlineLevel="0" collapsed="false">
      <c r="A36" s="4" t="s">
        <v>936</v>
      </c>
      <c r="B36" s="59" t="n">
        <f aca="false">SUM(C36:N36)</f>
        <v>4200</v>
      </c>
      <c r="C36" s="60" t="n">
        <f aca="false">'Assumption Setting'!$C$170*'Timeline and FX'!C11</f>
        <v>350</v>
      </c>
      <c r="D36" s="60" t="n">
        <f aca="false">'Assumption Setting'!$C$170*'Timeline and FX'!D11</f>
        <v>350</v>
      </c>
      <c r="E36" s="60" t="n">
        <f aca="false">'Assumption Setting'!$C$170*'Timeline and FX'!E11</f>
        <v>350</v>
      </c>
      <c r="F36" s="60" t="n">
        <f aca="false">'Assumption Setting'!$C$170*'Timeline and FX'!F11</f>
        <v>350</v>
      </c>
      <c r="G36" s="60" t="n">
        <f aca="false">'Assumption Setting'!$C$170*'Timeline and FX'!G11</f>
        <v>350</v>
      </c>
      <c r="H36" s="60" t="n">
        <f aca="false">'Assumption Setting'!$C$170*'Timeline and FX'!H11</f>
        <v>350</v>
      </c>
      <c r="I36" s="60" t="n">
        <f aca="false">'Assumption Setting'!$C$170*'Timeline and FX'!I11</f>
        <v>350</v>
      </c>
      <c r="J36" s="60" t="n">
        <f aca="false">'Assumption Setting'!$C$170*'Timeline and FX'!J11</f>
        <v>350</v>
      </c>
      <c r="K36" s="60" t="n">
        <f aca="false">'Assumption Setting'!$C$170*'Timeline and FX'!K11</f>
        <v>350</v>
      </c>
      <c r="L36" s="60" t="n">
        <f aca="false">'Assumption Setting'!$C$170*'Timeline and FX'!L11</f>
        <v>350</v>
      </c>
      <c r="M36" s="60" t="n">
        <f aca="false">'Assumption Setting'!$C$170*'Timeline and FX'!M11</f>
        <v>350</v>
      </c>
      <c r="N36" s="60" t="n">
        <f aca="false">'Assumption Setting'!$C$170*'Timeline and FX'!N11</f>
        <v>350</v>
      </c>
      <c r="O36" s="59" t="n">
        <f aca="false">SUM(P36:AA36)</f>
        <v>4536</v>
      </c>
      <c r="P36" s="60" t="n">
        <f aca="false">'Assumption Setting'!$C$170*'Timeline and FX'!P11</f>
        <v>378</v>
      </c>
      <c r="Q36" s="60" t="n">
        <f aca="false">'Assumption Setting'!$C$170*'Timeline and FX'!Q11</f>
        <v>378</v>
      </c>
      <c r="R36" s="60" t="n">
        <f aca="false">'Assumption Setting'!$C$170*'Timeline and FX'!R11</f>
        <v>378</v>
      </c>
      <c r="S36" s="60" t="n">
        <f aca="false">'Assumption Setting'!$C$170*'Timeline and FX'!S11</f>
        <v>378</v>
      </c>
      <c r="T36" s="60" t="n">
        <f aca="false">'Assumption Setting'!$C$170*'Timeline and FX'!T11</f>
        <v>378</v>
      </c>
      <c r="U36" s="60" t="n">
        <f aca="false">'Assumption Setting'!$C$170*'Timeline and FX'!U11</f>
        <v>378</v>
      </c>
      <c r="V36" s="60" t="n">
        <f aca="false">'Assumption Setting'!$C$170*'Timeline and FX'!V11</f>
        <v>378</v>
      </c>
      <c r="W36" s="60" t="n">
        <f aca="false">'Assumption Setting'!$C$170*'Timeline and FX'!W11</f>
        <v>378</v>
      </c>
      <c r="X36" s="60" t="n">
        <f aca="false">'Assumption Setting'!$C$170*'Timeline and FX'!X11</f>
        <v>378</v>
      </c>
      <c r="Y36" s="60" t="n">
        <f aca="false">'Assumption Setting'!$C$170*'Timeline and FX'!Y11</f>
        <v>378</v>
      </c>
      <c r="Z36" s="60" t="n">
        <f aca="false">'Assumption Setting'!$C$170*'Timeline and FX'!Z11</f>
        <v>378</v>
      </c>
      <c r="AA36" s="60" t="n">
        <f aca="false">'Assumption Setting'!$C$170*'Timeline and FX'!AA11</f>
        <v>378</v>
      </c>
      <c r="AB36" s="59" t="n">
        <f aca="false">SUM(AC36:AN36)</f>
        <v>4898.88</v>
      </c>
      <c r="AC36" s="60" t="n">
        <f aca="false">'Assumption Setting'!$C$170*'Timeline and FX'!AC11</f>
        <v>408.24</v>
      </c>
      <c r="AD36" s="60" t="n">
        <f aca="false">'Assumption Setting'!$C$170*'Timeline and FX'!AD11</f>
        <v>408.24</v>
      </c>
      <c r="AE36" s="60" t="n">
        <f aca="false">'Assumption Setting'!$C$170*'Timeline and FX'!AE11</f>
        <v>408.24</v>
      </c>
      <c r="AF36" s="60" t="n">
        <f aca="false">'Assumption Setting'!$C$170*'Timeline and FX'!AF11</f>
        <v>408.24</v>
      </c>
      <c r="AG36" s="60" t="n">
        <f aca="false">'Assumption Setting'!$C$170*'Timeline and FX'!AG11</f>
        <v>408.24</v>
      </c>
      <c r="AH36" s="60" t="n">
        <f aca="false">'Assumption Setting'!$C$170*'Timeline and FX'!AH11</f>
        <v>408.24</v>
      </c>
      <c r="AI36" s="60" t="n">
        <f aca="false">'Assumption Setting'!$C$170*'Timeline and FX'!AI11</f>
        <v>408.24</v>
      </c>
      <c r="AJ36" s="60" t="n">
        <f aca="false">'Assumption Setting'!$C$170*'Timeline and FX'!AJ11</f>
        <v>408.24</v>
      </c>
      <c r="AK36" s="60" t="n">
        <f aca="false">'Assumption Setting'!$C$170*'Timeline and FX'!AK11</f>
        <v>408.24</v>
      </c>
      <c r="AL36" s="60" t="n">
        <f aca="false">'Assumption Setting'!$C$170*'Timeline and FX'!AL11</f>
        <v>408.24</v>
      </c>
      <c r="AM36" s="60" t="n">
        <f aca="false">'Assumption Setting'!$C$170*'Timeline and FX'!AM11</f>
        <v>408.24</v>
      </c>
      <c r="AN36" s="60" t="n">
        <f aca="false">'Assumption Setting'!$C$170*'Timeline and FX'!AN11</f>
        <v>408.24</v>
      </c>
      <c r="AO36" s="59" t="n">
        <f aca="false">SUM(AP36:BA36)</f>
        <v>5241.8016</v>
      </c>
      <c r="AP36" s="60" t="n">
        <f aca="false">'Assumption Setting'!$C$170*'Timeline and FX'!AP11</f>
        <v>436.8168</v>
      </c>
      <c r="AQ36" s="60" t="n">
        <f aca="false">'Assumption Setting'!$C$170*'Timeline and FX'!AQ11</f>
        <v>436.8168</v>
      </c>
      <c r="AR36" s="60" t="n">
        <f aca="false">'Assumption Setting'!$C$170*'Timeline and FX'!AR11</f>
        <v>436.8168</v>
      </c>
      <c r="AS36" s="60" t="n">
        <f aca="false">'Assumption Setting'!$C$170*'Timeline and FX'!AS11</f>
        <v>436.8168</v>
      </c>
      <c r="AT36" s="60" t="n">
        <f aca="false">'Assumption Setting'!$C$170*'Timeline and FX'!AT11</f>
        <v>436.8168</v>
      </c>
      <c r="AU36" s="60" t="n">
        <f aca="false">'Assumption Setting'!$C$170*'Timeline and FX'!AU11</f>
        <v>436.8168</v>
      </c>
      <c r="AV36" s="60" t="n">
        <f aca="false">'Assumption Setting'!$C$170*'Timeline and FX'!AV11</f>
        <v>436.8168</v>
      </c>
      <c r="AW36" s="60" t="n">
        <f aca="false">'Assumption Setting'!$C$170*'Timeline and FX'!AW11</f>
        <v>436.8168</v>
      </c>
      <c r="AX36" s="60" t="n">
        <f aca="false">'Assumption Setting'!$C$170*'Timeline and FX'!AX11</f>
        <v>436.8168</v>
      </c>
      <c r="AY36" s="60" t="n">
        <f aca="false">'Assumption Setting'!$C$170*'Timeline and FX'!AY11</f>
        <v>436.8168</v>
      </c>
      <c r="AZ36" s="60" t="n">
        <f aca="false">'Assumption Setting'!$C$170*'Timeline and FX'!AZ11</f>
        <v>436.8168</v>
      </c>
      <c r="BA36" s="60" t="n">
        <f aca="false">'Assumption Setting'!$C$170*'Timeline and FX'!BA11</f>
        <v>436.8168</v>
      </c>
      <c r="BB36" s="59" t="n">
        <f aca="false">SUM(BC36:BN36)</f>
        <v>5556.309696</v>
      </c>
      <c r="BC36" s="60" t="n">
        <f aca="false">'Assumption Setting'!$C$170*'Timeline and FX'!BC11</f>
        <v>463.025808</v>
      </c>
      <c r="BD36" s="60" t="n">
        <f aca="false">'Assumption Setting'!$C$170*'Timeline and FX'!BD11</f>
        <v>463.025808</v>
      </c>
      <c r="BE36" s="60" t="n">
        <f aca="false">'Assumption Setting'!$C$170*'Timeline and FX'!BE11</f>
        <v>463.025808</v>
      </c>
      <c r="BF36" s="60" t="n">
        <f aca="false">'Assumption Setting'!$C$170*'Timeline and FX'!BF11</f>
        <v>463.025808</v>
      </c>
      <c r="BG36" s="60" t="n">
        <f aca="false">'Assumption Setting'!$C$170*'Timeline and FX'!BG11</f>
        <v>463.025808</v>
      </c>
      <c r="BH36" s="60" t="n">
        <f aca="false">'Assumption Setting'!$C$170*'Timeline and FX'!BH11</f>
        <v>463.025808</v>
      </c>
      <c r="BI36" s="60" t="n">
        <f aca="false">'Assumption Setting'!$C$170*'Timeline and FX'!BI11</f>
        <v>463.025808</v>
      </c>
      <c r="BJ36" s="60" t="n">
        <f aca="false">'Assumption Setting'!$C$170*'Timeline and FX'!BJ11</f>
        <v>463.025808</v>
      </c>
      <c r="BK36" s="60" t="n">
        <f aca="false">'Assumption Setting'!$C$170*'Timeline and FX'!BK11</f>
        <v>463.025808</v>
      </c>
      <c r="BL36" s="60" t="n">
        <f aca="false">'Assumption Setting'!$C$170*'Timeline and FX'!BL11</f>
        <v>463.025808</v>
      </c>
      <c r="BM36" s="60" t="n">
        <f aca="false">'Assumption Setting'!$C$170*'Timeline and FX'!BM11</f>
        <v>463.025808</v>
      </c>
      <c r="BN36" s="60" t="n">
        <f aca="false">'Assumption Setting'!$C$170*'Timeline and FX'!BN11</f>
        <v>463.025808</v>
      </c>
    </row>
    <row r="37" customFormat="false" ht="15" hidden="false" customHeight="false" outlineLevel="0" collapsed="false">
      <c r="A37" s="4" t="s">
        <v>937</v>
      </c>
      <c r="B37" s="59" t="n">
        <f aca="false">SUM(C37:N37)</f>
        <v>1440</v>
      </c>
      <c r="C37" s="60" t="n">
        <f aca="false">'Assumption Setting'!$C$171*'Timeline and FX'!C11</f>
        <v>120</v>
      </c>
      <c r="D37" s="60" t="n">
        <f aca="false">'Assumption Setting'!$C$171*'Timeline and FX'!D11</f>
        <v>120</v>
      </c>
      <c r="E37" s="60" t="n">
        <f aca="false">'Assumption Setting'!$C$171*'Timeline and FX'!E11</f>
        <v>120</v>
      </c>
      <c r="F37" s="60" t="n">
        <f aca="false">'Assumption Setting'!$C$171*'Timeline and FX'!F11</f>
        <v>120</v>
      </c>
      <c r="G37" s="60" t="n">
        <f aca="false">'Assumption Setting'!$C$171*'Timeline and FX'!G11</f>
        <v>120</v>
      </c>
      <c r="H37" s="60" t="n">
        <f aca="false">'Assumption Setting'!$C$171*'Timeline and FX'!H11</f>
        <v>120</v>
      </c>
      <c r="I37" s="60" t="n">
        <f aca="false">'Assumption Setting'!$C$171*'Timeline and FX'!I11</f>
        <v>120</v>
      </c>
      <c r="J37" s="60" t="n">
        <f aca="false">'Assumption Setting'!$C$171*'Timeline and FX'!J11</f>
        <v>120</v>
      </c>
      <c r="K37" s="60" t="n">
        <f aca="false">'Assumption Setting'!$C$171*'Timeline and FX'!K11</f>
        <v>120</v>
      </c>
      <c r="L37" s="60" t="n">
        <f aca="false">'Assumption Setting'!$C$171*'Timeline and FX'!L11</f>
        <v>120</v>
      </c>
      <c r="M37" s="60" t="n">
        <f aca="false">'Assumption Setting'!$C$171*'Timeline and FX'!M11</f>
        <v>120</v>
      </c>
      <c r="N37" s="60" t="n">
        <f aca="false">'Assumption Setting'!$C$171*'Timeline and FX'!N11</f>
        <v>120</v>
      </c>
      <c r="O37" s="59" t="n">
        <f aca="false">SUM(P37:AA37)</f>
        <v>1555.2</v>
      </c>
      <c r="P37" s="60" t="n">
        <f aca="false">'Assumption Setting'!$C$171*'Timeline and FX'!P11</f>
        <v>129.6</v>
      </c>
      <c r="Q37" s="60" t="n">
        <f aca="false">'Assumption Setting'!$C$171*'Timeline and FX'!Q11</f>
        <v>129.6</v>
      </c>
      <c r="R37" s="60" t="n">
        <f aca="false">'Assumption Setting'!$C$171*'Timeline and FX'!R11</f>
        <v>129.6</v>
      </c>
      <c r="S37" s="60" t="n">
        <f aca="false">'Assumption Setting'!$C$171*'Timeline and FX'!S11</f>
        <v>129.6</v>
      </c>
      <c r="T37" s="60" t="n">
        <f aca="false">'Assumption Setting'!$C$171*'Timeline and FX'!T11</f>
        <v>129.6</v>
      </c>
      <c r="U37" s="60" t="n">
        <f aca="false">'Assumption Setting'!$C$171*'Timeline and FX'!U11</f>
        <v>129.6</v>
      </c>
      <c r="V37" s="60" t="n">
        <f aca="false">'Assumption Setting'!$C$171*'Timeline and FX'!V11</f>
        <v>129.6</v>
      </c>
      <c r="W37" s="60" t="n">
        <f aca="false">'Assumption Setting'!$C$171*'Timeline and FX'!W11</f>
        <v>129.6</v>
      </c>
      <c r="X37" s="60" t="n">
        <f aca="false">'Assumption Setting'!$C$171*'Timeline and FX'!X11</f>
        <v>129.6</v>
      </c>
      <c r="Y37" s="60" t="n">
        <f aca="false">'Assumption Setting'!$C$171*'Timeline and FX'!Y11</f>
        <v>129.6</v>
      </c>
      <c r="Z37" s="60" t="n">
        <f aca="false">'Assumption Setting'!$C$171*'Timeline and FX'!Z11</f>
        <v>129.6</v>
      </c>
      <c r="AA37" s="60" t="n">
        <f aca="false">'Assumption Setting'!$C$171*'Timeline and FX'!AA11</f>
        <v>129.6</v>
      </c>
      <c r="AB37" s="59" t="n">
        <f aca="false">SUM(AC37:AN37)</f>
        <v>1679.616</v>
      </c>
      <c r="AC37" s="60" t="n">
        <f aca="false">'Assumption Setting'!$C$171*'Timeline and FX'!AC11</f>
        <v>139.968</v>
      </c>
      <c r="AD37" s="60" t="n">
        <f aca="false">'Assumption Setting'!$C$171*'Timeline and FX'!AD11</f>
        <v>139.968</v>
      </c>
      <c r="AE37" s="60" t="n">
        <f aca="false">'Assumption Setting'!$C$171*'Timeline and FX'!AE11</f>
        <v>139.968</v>
      </c>
      <c r="AF37" s="60" t="n">
        <f aca="false">'Assumption Setting'!$C$171*'Timeline and FX'!AF11</f>
        <v>139.968</v>
      </c>
      <c r="AG37" s="60" t="n">
        <f aca="false">'Assumption Setting'!$C$171*'Timeline and FX'!AG11</f>
        <v>139.968</v>
      </c>
      <c r="AH37" s="60" t="n">
        <f aca="false">'Assumption Setting'!$C$171*'Timeline and FX'!AH11</f>
        <v>139.968</v>
      </c>
      <c r="AI37" s="60" t="n">
        <f aca="false">'Assumption Setting'!$C$171*'Timeline and FX'!AI11</f>
        <v>139.968</v>
      </c>
      <c r="AJ37" s="60" t="n">
        <f aca="false">'Assumption Setting'!$C$171*'Timeline and FX'!AJ11</f>
        <v>139.968</v>
      </c>
      <c r="AK37" s="60" t="n">
        <f aca="false">'Assumption Setting'!$C$171*'Timeline and FX'!AK11</f>
        <v>139.968</v>
      </c>
      <c r="AL37" s="60" t="n">
        <f aca="false">'Assumption Setting'!$C$171*'Timeline and FX'!AL11</f>
        <v>139.968</v>
      </c>
      <c r="AM37" s="60" t="n">
        <f aca="false">'Assumption Setting'!$C$171*'Timeline and FX'!AM11</f>
        <v>139.968</v>
      </c>
      <c r="AN37" s="60" t="n">
        <f aca="false">'Assumption Setting'!$C$171*'Timeline and FX'!AN11</f>
        <v>139.968</v>
      </c>
      <c r="AO37" s="59" t="n">
        <f aca="false">SUM(AP37:BA37)</f>
        <v>1797.18912</v>
      </c>
      <c r="AP37" s="60" t="n">
        <f aca="false">'Assumption Setting'!$C$171*'Timeline and FX'!AP11</f>
        <v>149.76576</v>
      </c>
      <c r="AQ37" s="60" t="n">
        <f aca="false">'Assumption Setting'!$C$171*'Timeline and FX'!AQ11</f>
        <v>149.76576</v>
      </c>
      <c r="AR37" s="60" t="n">
        <f aca="false">'Assumption Setting'!$C$171*'Timeline and FX'!AR11</f>
        <v>149.76576</v>
      </c>
      <c r="AS37" s="60" t="n">
        <f aca="false">'Assumption Setting'!$C$171*'Timeline and FX'!AS11</f>
        <v>149.76576</v>
      </c>
      <c r="AT37" s="60" t="n">
        <f aca="false">'Assumption Setting'!$C$171*'Timeline and FX'!AT11</f>
        <v>149.76576</v>
      </c>
      <c r="AU37" s="60" t="n">
        <f aca="false">'Assumption Setting'!$C$171*'Timeline and FX'!AU11</f>
        <v>149.76576</v>
      </c>
      <c r="AV37" s="60" t="n">
        <f aca="false">'Assumption Setting'!$C$171*'Timeline and FX'!AV11</f>
        <v>149.76576</v>
      </c>
      <c r="AW37" s="60" t="n">
        <f aca="false">'Assumption Setting'!$C$171*'Timeline and FX'!AW11</f>
        <v>149.76576</v>
      </c>
      <c r="AX37" s="60" t="n">
        <f aca="false">'Assumption Setting'!$C$171*'Timeline and FX'!AX11</f>
        <v>149.76576</v>
      </c>
      <c r="AY37" s="60" t="n">
        <f aca="false">'Assumption Setting'!$C$171*'Timeline and FX'!AY11</f>
        <v>149.76576</v>
      </c>
      <c r="AZ37" s="60" t="n">
        <f aca="false">'Assumption Setting'!$C$171*'Timeline and FX'!AZ11</f>
        <v>149.76576</v>
      </c>
      <c r="BA37" s="60" t="n">
        <f aca="false">'Assumption Setting'!$C$171*'Timeline and FX'!BA11</f>
        <v>149.76576</v>
      </c>
      <c r="BB37" s="59" t="n">
        <f aca="false">SUM(BC37:BN37)</f>
        <v>1905.0204672</v>
      </c>
      <c r="BC37" s="60" t="n">
        <f aca="false">'Assumption Setting'!$C$171*'Timeline and FX'!BC11</f>
        <v>158.7517056</v>
      </c>
      <c r="BD37" s="60" t="n">
        <f aca="false">'Assumption Setting'!$C$171*'Timeline and FX'!BD11</f>
        <v>158.7517056</v>
      </c>
      <c r="BE37" s="60" t="n">
        <f aca="false">'Assumption Setting'!$C$171*'Timeline and FX'!BE11</f>
        <v>158.7517056</v>
      </c>
      <c r="BF37" s="60" t="n">
        <f aca="false">'Assumption Setting'!$C$171*'Timeline and FX'!BF11</f>
        <v>158.7517056</v>
      </c>
      <c r="BG37" s="60" t="n">
        <f aca="false">'Assumption Setting'!$C$171*'Timeline and FX'!BG11</f>
        <v>158.7517056</v>
      </c>
      <c r="BH37" s="60" t="n">
        <f aca="false">'Assumption Setting'!$C$171*'Timeline and FX'!BH11</f>
        <v>158.7517056</v>
      </c>
      <c r="BI37" s="60" t="n">
        <f aca="false">'Assumption Setting'!$C$171*'Timeline and FX'!BI11</f>
        <v>158.7517056</v>
      </c>
      <c r="BJ37" s="60" t="n">
        <f aca="false">'Assumption Setting'!$C$171*'Timeline and FX'!BJ11</f>
        <v>158.7517056</v>
      </c>
      <c r="BK37" s="60" t="n">
        <f aca="false">'Assumption Setting'!$C$171*'Timeline and FX'!BK11</f>
        <v>158.7517056</v>
      </c>
      <c r="BL37" s="60" t="n">
        <f aca="false">'Assumption Setting'!$C$171*'Timeline and FX'!BL11</f>
        <v>158.7517056</v>
      </c>
      <c r="BM37" s="60" t="n">
        <f aca="false">'Assumption Setting'!$C$171*'Timeline and FX'!BM11</f>
        <v>158.7517056</v>
      </c>
      <c r="BN37" s="60" t="n">
        <f aca="false">'Assumption Setting'!$C$171*'Timeline and FX'!BN11</f>
        <v>158.7517056</v>
      </c>
    </row>
    <row r="38" customFormat="false" ht="15" hidden="false" customHeight="false" outlineLevel="0" collapsed="false">
      <c r="A38" s="4" t="s">
        <v>938</v>
      </c>
      <c r="B38" s="59" t="n">
        <f aca="false">SUM(C38:N38)</f>
        <v>4200</v>
      </c>
      <c r="C38" s="60" t="n">
        <f aca="false">Payroll!C81*'Assumption Setting'!$C$167*'Timeline and FX'!C11</f>
        <v>350</v>
      </c>
      <c r="D38" s="60" t="n">
        <f aca="false">Payroll!D81*'Assumption Setting'!$C$167*'Timeline and FX'!D11</f>
        <v>350</v>
      </c>
      <c r="E38" s="60" t="n">
        <f aca="false">Payroll!E81*'Assumption Setting'!$C$167*'Timeline and FX'!E11</f>
        <v>350</v>
      </c>
      <c r="F38" s="60" t="n">
        <f aca="false">Payroll!F81*'Assumption Setting'!$C$167*'Timeline and FX'!F11</f>
        <v>350</v>
      </c>
      <c r="G38" s="60" t="n">
        <f aca="false">Payroll!G81*'Assumption Setting'!$C$167*'Timeline and FX'!G11</f>
        <v>350</v>
      </c>
      <c r="H38" s="60" t="n">
        <f aca="false">Payroll!H81*'Assumption Setting'!$C$167*'Timeline and FX'!H11</f>
        <v>350</v>
      </c>
      <c r="I38" s="60" t="n">
        <f aca="false">Payroll!I81*'Assumption Setting'!$C$167*'Timeline and FX'!I11</f>
        <v>350</v>
      </c>
      <c r="J38" s="60" t="n">
        <f aca="false">Payroll!J81*'Assumption Setting'!$C$167*'Timeline and FX'!J11</f>
        <v>350</v>
      </c>
      <c r="K38" s="60" t="n">
        <f aca="false">Payroll!K81*'Assumption Setting'!$C$167*'Timeline and FX'!K11</f>
        <v>350</v>
      </c>
      <c r="L38" s="60" t="n">
        <f aca="false">Payroll!L81*'Assumption Setting'!$C$167*'Timeline and FX'!L11</f>
        <v>350</v>
      </c>
      <c r="M38" s="60" t="n">
        <f aca="false">Payroll!M81*'Assumption Setting'!$C$167*'Timeline and FX'!M11</f>
        <v>350</v>
      </c>
      <c r="N38" s="60" t="n">
        <f aca="false">Payroll!N81*'Assumption Setting'!$C$167*'Timeline and FX'!N11</f>
        <v>350</v>
      </c>
      <c r="O38" s="59" t="n">
        <f aca="false">SUM(P38:AA38)</f>
        <v>11793.6</v>
      </c>
      <c r="P38" s="60" t="n">
        <f aca="false">Payroll!P81*'Assumption Setting'!$C$167*'Timeline and FX'!P11</f>
        <v>831.6</v>
      </c>
      <c r="Q38" s="60" t="n">
        <f aca="false">Payroll!Q81*'Assumption Setting'!$C$167*'Timeline and FX'!Q11</f>
        <v>831.6</v>
      </c>
      <c r="R38" s="60" t="n">
        <f aca="false">Payroll!R81*'Assumption Setting'!$C$167*'Timeline and FX'!R11</f>
        <v>831.6</v>
      </c>
      <c r="S38" s="60" t="n">
        <f aca="false">Payroll!S81*'Assumption Setting'!$C$167*'Timeline and FX'!S11</f>
        <v>831.6</v>
      </c>
      <c r="T38" s="60" t="n">
        <f aca="false">Payroll!T81*'Assumption Setting'!$C$167*'Timeline and FX'!T11</f>
        <v>907.2</v>
      </c>
      <c r="U38" s="60" t="n">
        <f aca="false">Payroll!U81*'Assumption Setting'!$C$167*'Timeline and FX'!U11</f>
        <v>907.2</v>
      </c>
      <c r="V38" s="60" t="n">
        <f aca="false">Payroll!V81*'Assumption Setting'!$C$167*'Timeline and FX'!V11</f>
        <v>1058.4</v>
      </c>
      <c r="W38" s="60" t="n">
        <f aca="false">Payroll!W81*'Assumption Setting'!$C$167*'Timeline and FX'!W11</f>
        <v>1058.4</v>
      </c>
      <c r="X38" s="60" t="n">
        <f aca="false">Payroll!X81*'Assumption Setting'!$C$167*'Timeline and FX'!X11</f>
        <v>1134</v>
      </c>
      <c r="Y38" s="60" t="n">
        <f aca="false">Payroll!Y81*'Assumption Setting'!$C$167*'Timeline and FX'!Y11</f>
        <v>1134</v>
      </c>
      <c r="Z38" s="60" t="n">
        <f aca="false">Payroll!Z81*'Assumption Setting'!$C$167*'Timeline and FX'!Z11</f>
        <v>1134</v>
      </c>
      <c r="AA38" s="60" t="n">
        <f aca="false">Payroll!AA81*'Assumption Setting'!$C$167*'Timeline and FX'!AA11</f>
        <v>1134</v>
      </c>
      <c r="AB38" s="59" t="n">
        <f aca="false">SUM(AC38:AN38)</f>
        <v>23514.624</v>
      </c>
      <c r="AC38" s="60" t="n">
        <f aca="false">Payroll!AC81*'Assumption Setting'!$C$167*'Timeline and FX'!AC11</f>
        <v>1714.608</v>
      </c>
      <c r="AD38" s="60" t="n">
        <f aca="false">Payroll!AD81*'Assumption Setting'!$C$167*'Timeline and FX'!AD11</f>
        <v>1714.608</v>
      </c>
      <c r="AE38" s="60" t="n">
        <f aca="false">Payroll!AE81*'Assumption Setting'!$C$167*'Timeline and FX'!AE11</f>
        <v>1714.608</v>
      </c>
      <c r="AF38" s="60" t="n">
        <f aca="false">Payroll!AF81*'Assumption Setting'!$C$167*'Timeline and FX'!AF11</f>
        <v>1796.256</v>
      </c>
      <c r="AG38" s="60" t="n">
        <f aca="false">Payroll!AG81*'Assumption Setting'!$C$167*'Timeline and FX'!AG11</f>
        <v>1877.904</v>
      </c>
      <c r="AH38" s="60" t="n">
        <f aca="false">Payroll!AH81*'Assumption Setting'!$C$167*'Timeline and FX'!AH11</f>
        <v>1877.904</v>
      </c>
      <c r="AI38" s="60" t="n">
        <f aca="false">Payroll!AI81*'Assumption Setting'!$C$167*'Timeline and FX'!AI11</f>
        <v>2041.2</v>
      </c>
      <c r="AJ38" s="60" t="n">
        <f aca="false">Payroll!AJ81*'Assumption Setting'!$C$167*'Timeline and FX'!AJ11</f>
        <v>2041.2</v>
      </c>
      <c r="AK38" s="60" t="n">
        <f aca="false">Payroll!AK81*'Assumption Setting'!$C$167*'Timeline and FX'!AK11</f>
        <v>2122.848</v>
      </c>
      <c r="AL38" s="60" t="n">
        <f aca="false">Payroll!AL81*'Assumption Setting'!$C$167*'Timeline and FX'!AL11</f>
        <v>2204.496</v>
      </c>
      <c r="AM38" s="60" t="n">
        <f aca="false">Payroll!AM81*'Assumption Setting'!$C$167*'Timeline and FX'!AM11</f>
        <v>2204.496</v>
      </c>
      <c r="AN38" s="60" t="n">
        <f aca="false">Payroll!AN81*'Assumption Setting'!$C$167*'Timeline and FX'!AN11</f>
        <v>2204.496</v>
      </c>
      <c r="AO38" s="59" t="n">
        <f aca="false">SUM(AP38:BA38)</f>
        <v>39750.3288</v>
      </c>
      <c r="AP38" s="60" t="n">
        <f aca="false">Payroll!AP81*'Assumption Setting'!$C$167*'Timeline and FX'!AP11</f>
        <v>2795.62752</v>
      </c>
      <c r="AQ38" s="60" t="n">
        <f aca="false">Payroll!AQ81*'Assumption Setting'!$C$167*'Timeline and FX'!AQ11</f>
        <v>2882.99088</v>
      </c>
      <c r="AR38" s="60" t="n">
        <f aca="false">Payroll!AR81*'Assumption Setting'!$C$167*'Timeline and FX'!AR11</f>
        <v>2970.35424</v>
      </c>
      <c r="AS38" s="60" t="n">
        <f aca="false">Payroll!AS81*'Assumption Setting'!$C$167*'Timeline and FX'!AS11</f>
        <v>3057.7176</v>
      </c>
      <c r="AT38" s="60" t="n">
        <f aca="false">Payroll!AT81*'Assumption Setting'!$C$167*'Timeline and FX'!AT11</f>
        <v>3145.08096</v>
      </c>
      <c r="AU38" s="60" t="n">
        <f aca="false">Payroll!AU81*'Assumption Setting'!$C$167*'Timeline and FX'!AU11</f>
        <v>3232.44432</v>
      </c>
      <c r="AV38" s="60" t="n">
        <f aca="false">Payroll!AV81*'Assumption Setting'!$C$167*'Timeline and FX'!AV11</f>
        <v>3407.17104</v>
      </c>
      <c r="AW38" s="60" t="n">
        <f aca="false">Payroll!AW81*'Assumption Setting'!$C$167*'Timeline and FX'!AW11</f>
        <v>3494.5344</v>
      </c>
      <c r="AX38" s="60" t="n">
        <f aca="false">Payroll!AX81*'Assumption Setting'!$C$167*'Timeline and FX'!AX11</f>
        <v>3581.89776</v>
      </c>
      <c r="AY38" s="60" t="n">
        <f aca="false">Payroll!AY81*'Assumption Setting'!$C$167*'Timeline and FX'!AY11</f>
        <v>3669.26112</v>
      </c>
      <c r="AZ38" s="60" t="n">
        <f aca="false">Payroll!AZ81*'Assumption Setting'!$C$167*'Timeline and FX'!AZ11</f>
        <v>3756.62448</v>
      </c>
      <c r="BA38" s="60" t="n">
        <f aca="false">Payroll!BA81*'Assumption Setting'!$C$167*'Timeline and FX'!BA11</f>
        <v>3756.62448</v>
      </c>
      <c r="BB38" s="59" t="n">
        <f aca="false">SUM(BC38:BN38)</f>
        <v>64453.1924736</v>
      </c>
      <c r="BC38" s="60" t="n">
        <f aca="false">Payroll!BC81*'Assumption Setting'!$C$167*'Timeline and FX'!BC11</f>
        <v>4537.6529184</v>
      </c>
      <c r="BD38" s="60" t="n">
        <f aca="false">Payroll!BD81*'Assumption Setting'!$C$167*'Timeline and FX'!BD11</f>
        <v>4722.8632416</v>
      </c>
      <c r="BE38" s="60" t="n">
        <f aca="false">Payroll!BE81*'Assumption Setting'!$C$167*'Timeline and FX'!BE11</f>
        <v>4908.0735648</v>
      </c>
      <c r="BF38" s="60" t="n">
        <f aca="false">Payroll!BF81*'Assumption Setting'!$C$167*'Timeline and FX'!BF11</f>
        <v>4908.0735648</v>
      </c>
      <c r="BG38" s="60" t="n">
        <f aca="false">Payroll!BG81*'Assumption Setting'!$C$167*'Timeline and FX'!BG11</f>
        <v>5093.283888</v>
      </c>
      <c r="BH38" s="60" t="n">
        <f aca="false">Payroll!BH81*'Assumption Setting'!$C$167*'Timeline and FX'!BH11</f>
        <v>5278.4942112</v>
      </c>
      <c r="BI38" s="60" t="n">
        <f aca="false">Payroll!BI81*'Assumption Setting'!$C$167*'Timeline and FX'!BI11</f>
        <v>5556.309696</v>
      </c>
      <c r="BJ38" s="60" t="n">
        <f aca="false">Payroll!BJ81*'Assumption Setting'!$C$167*'Timeline and FX'!BJ11</f>
        <v>5556.309696</v>
      </c>
      <c r="BK38" s="60" t="n">
        <f aca="false">Payroll!BK81*'Assumption Setting'!$C$167*'Timeline and FX'!BK11</f>
        <v>5741.5200192</v>
      </c>
      <c r="BL38" s="60" t="n">
        <f aca="false">Payroll!BL81*'Assumption Setting'!$C$167*'Timeline and FX'!BL11</f>
        <v>5926.7303424</v>
      </c>
      <c r="BM38" s="60" t="n">
        <f aca="false">Payroll!BM81*'Assumption Setting'!$C$167*'Timeline and FX'!BM11</f>
        <v>6111.9406656</v>
      </c>
      <c r="BN38" s="60" t="n">
        <f aca="false">Payroll!BN81*'Assumption Setting'!$C$167*'Timeline and FX'!BN11</f>
        <v>6111.9406656</v>
      </c>
    </row>
    <row r="39" customFormat="false" ht="15" hidden="false" customHeight="false" outlineLevel="0" collapsed="false">
      <c r="A39" s="4" t="s">
        <v>939</v>
      </c>
      <c r="B39" s="59" t="n">
        <f aca="false">SUM(C39:N39)</f>
        <v>6990.29126213592</v>
      </c>
      <c r="C39" s="60" t="n">
        <f aca="false">Payroll!C74*'Assumption Setting'!$C$168*'Timeline and FX'!C12/'Timeline and FX'!C8</f>
        <v>6990.29126213592</v>
      </c>
      <c r="D39" s="60" t="n">
        <f aca="false">Payroll!D74*'Assumption Setting'!$C$168*'Timeline and FX'!D12/'Timeline and FX'!D8</f>
        <v>0</v>
      </c>
      <c r="E39" s="60" t="n">
        <f aca="false">Payroll!E74*'Assumption Setting'!$C$168*'Timeline and FX'!E12/'Timeline and FX'!E8</f>
        <v>0</v>
      </c>
      <c r="F39" s="60" t="n">
        <f aca="false">Payroll!F74*'Assumption Setting'!$C$168*'Timeline and FX'!F12/'Timeline and FX'!F8</f>
        <v>0</v>
      </c>
      <c r="G39" s="60" t="n">
        <f aca="false">Payroll!G74*'Assumption Setting'!$C$168*'Timeline and FX'!G12/'Timeline and FX'!G8</f>
        <v>0</v>
      </c>
      <c r="H39" s="60" t="n">
        <f aca="false">Payroll!H74*'Assumption Setting'!$C$168*'Timeline and FX'!H12/'Timeline and FX'!H8</f>
        <v>0</v>
      </c>
      <c r="I39" s="60" t="n">
        <f aca="false">Payroll!I74*'Assumption Setting'!$C$168*'Timeline and FX'!I12/'Timeline and FX'!I8</f>
        <v>0</v>
      </c>
      <c r="J39" s="60" t="n">
        <f aca="false">Payroll!J74*'Assumption Setting'!$C$168*'Timeline and FX'!J12/'Timeline and FX'!J8</f>
        <v>0</v>
      </c>
      <c r="K39" s="60" t="n">
        <f aca="false">Payroll!K74*'Assumption Setting'!$C$168*'Timeline and FX'!K12/'Timeline and FX'!K8</f>
        <v>0</v>
      </c>
      <c r="L39" s="60" t="n">
        <f aca="false">Payroll!L74*'Assumption Setting'!$C$168*'Timeline and FX'!L12/'Timeline and FX'!L8</f>
        <v>0</v>
      </c>
      <c r="M39" s="60" t="n">
        <f aca="false">Payroll!M74*'Assumption Setting'!$C$168*'Timeline and FX'!M12/'Timeline and FX'!M8</f>
        <v>0</v>
      </c>
      <c r="N39" s="60" t="n">
        <f aca="false">Payroll!N74*'Assumption Setting'!$C$168*'Timeline and FX'!N12/'Timeline and FX'!N8</f>
        <v>0</v>
      </c>
      <c r="O39" s="59" t="n">
        <f aca="false">SUM(P39:AA39)</f>
        <v>4888.65999127099</v>
      </c>
      <c r="P39" s="60" t="n">
        <f aca="false">Payroll!P74*'Assumption Setting'!$C$168*'Timeline and FX'!P12/'Timeline and FX'!P8</f>
        <v>3692.9840630152</v>
      </c>
      <c r="Q39" s="60" t="n">
        <f aca="false">Payroll!Q74*'Assumption Setting'!$C$168*'Timeline and FX'!Q12/'Timeline and FX'!Q8</f>
        <v>0</v>
      </c>
      <c r="R39" s="60" t="n">
        <f aca="false">Payroll!R74*'Assumption Setting'!$C$168*'Timeline and FX'!R12/'Timeline and FX'!R8</f>
        <v>0</v>
      </c>
      <c r="S39" s="60" t="n">
        <f aca="false">Payroll!S74*'Assumption Setting'!$C$168*'Timeline and FX'!S12/'Timeline and FX'!S8</f>
        <v>0</v>
      </c>
      <c r="T39" s="60" t="n">
        <f aca="false">Payroll!T74*'Assumption Setting'!$C$168*'Timeline and FX'!T12/'Timeline and FX'!T8</f>
        <v>301.828954236608</v>
      </c>
      <c r="U39" s="60" t="n">
        <f aca="false">Payroll!U74*'Assumption Setting'!$C$168*'Timeline and FX'!U12/'Timeline and FX'!U8</f>
        <v>0</v>
      </c>
      <c r="V39" s="60" t="n">
        <f aca="false">Payroll!V74*'Assumption Setting'!$C$168*'Timeline and FX'!V12/'Timeline and FX'!V8</f>
        <v>597.823868386226</v>
      </c>
      <c r="W39" s="60" t="n">
        <f aca="false">Payroll!W74*'Assumption Setting'!$C$168*'Timeline and FX'!W12/'Timeline and FX'!W8</f>
        <v>0</v>
      </c>
      <c r="X39" s="60" t="n">
        <f aca="false">Payroll!X74*'Assumption Setting'!$C$168*'Timeline and FX'!X12/'Timeline and FX'!X8</f>
        <v>296.023105632956</v>
      </c>
      <c r="Y39" s="60" t="n">
        <f aca="false">Payroll!Y74*'Assumption Setting'!$C$168*'Timeline and FX'!Y12/'Timeline and FX'!Y8</f>
        <v>0</v>
      </c>
      <c r="Z39" s="60" t="n">
        <f aca="false">Payroll!Z74*'Assumption Setting'!$C$168*'Timeline and FX'!Z12/'Timeline and FX'!Z8</f>
        <v>0</v>
      </c>
      <c r="AA39" s="60" t="n">
        <f aca="false">Payroll!AA74*'Assumption Setting'!$C$168*'Timeline and FX'!AA12/'Timeline and FX'!AA8</f>
        <v>0</v>
      </c>
      <c r="AB39" s="59" t="n">
        <f aca="false">SUM(AC39:AN39)</f>
        <v>6447.44338787567</v>
      </c>
      <c r="AC39" s="60" t="n">
        <f aca="false">Payroll!AC74*'Assumption Setting'!$C$168*'Timeline and FX'!AC12/'Timeline and FX'!AC8</f>
        <v>4552.35771289925</v>
      </c>
      <c r="AD39" s="60" t="n">
        <f aca="false">Payroll!AD74*'Assumption Setting'!$C$168*'Timeline and FX'!AD12/'Timeline and FX'!AD8</f>
        <v>0</v>
      </c>
      <c r="AE39" s="60" t="n">
        <f aca="false">Payroll!AE74*'Assumption Setting'!$C$168*'Timeline and FX'!AE12/'Timeline and FX'!AE8</f>
        <v>0</v>
      </c>
      <c r="AF39" s="60" t="n">
        <f aca="false">Payroll!AF74*'Assumption Setting'!$C$168*'Timeline and FX'!AF12/'Timeline and FX'!AF8</f>
        <v>320.465940156087</v>
      </c>
      <c r="AG39" s="60" t="n">
        <f aca="false">Payroll!AG74*'Assumption Setting'!$C$168*'Timeline and FX'!AG12/'Timeline and FX'!AG8</f>
        <v>318.913612023586</v>
      </c>
      <c r="AH39" s="60" t="n">
        <f aca="false">Payroll!AH74*'Assumption Setting'!$C$168*'Timeline and FX'!AH12/'Timeline and FX'!AH8</f>
        <v>0</v>
      </c>
      <c r="AI39" s="60" t="n">
        <f aca="false">Payroll!AI74*'Assumption Setting'!$C$168*'Timeline and FX'!AI12/'Timeline and FX'!AI8</f>
        <v>631.662955276012</v>
      </c>
      <c r="AJ39" s="60" t="n">
        <f aca="false">Payroll!AJ74*'Assumption Setting'!$C$168*'Timeline and FX'!AJ12/'Timeline and FX'!AJ8</f>
        <v>0</v>
      </c>
      <c r="AK39" s="60" t="n">
        <f aca="false">Payroll!AK74*'Assumption Setting'!$C$168*'Timeline and FX'!AK12/'Timeline and FX'!AK8</f>
        <v>312.779130480104</v>
      </c>
      <c r="AL39" s="60" t="n">
        <f aca="false">Payroll!AL74*'Assumption Setting'!$C$168*'Timeline and FX'!AL12/'Timeline and FX'!AL8</f>
        <v>311.264037040636</v>
      </c>
      <c r="AM39" s="60" t="n">
        <f aca="false">Payroll!AM74*'Assumption Setting'!$C$168*'Timeline and FX'!AM12/'Timeline and FX'!AM8</f>
        <v>0</v>
      </c>
      <c r="AN39" s="60" t="n">
        <f aca="false">Payroll!AN74*'Assumption Setting'!$C$168*'Timeline and FX'!AN12/'Timeline and FX'!AN8</f>
        <v>0</v>
      </c>
      <c r="AO39" s="59" t="n">
        <f aca="false">SUM(AP39:BA39)</f>
        <v>8145.69743865334</v>
      </c>
      <c r="AP39" s="60" t="n">
        <f aca="false">Payroll!AP74*'Assumption Setting'!$C$168*'Timeline and FX'!AP12/'Timeline and FX'!AP8</f>
        <v>4466.46417114643</v>
      </c>
      <c r="AQ39" s="60" t="n">
        <f aca="false">Payroll!AQ74*'Assumption Setting'!$C$168*'Timeline and FX'!AQ12/'Timeline and FX'!AQ8</f>
        <v>341.909903268314</v>
      </c>
      <c r="AR39" s="60" t="n">
        <f aca="false">Payroll!AR74*'Assumption Setting'!$C$168*'Timeline and FX'!AR12/'Timeline and FX'!AR8</f>
        <v>340.25370117281</v>
      </c>
      <c r="AS39" s="60" t="n">
        <f aca="false">Payroll!AS74*'Assumption Setting'!$C$168*'Timeline and FX'!AS12/'Timeline and FX'!AS8</f>
        <v>338.605521674356</v>
      </c>
      <c r="AT39" s="60" t="n">
        <f aca="false">Payroll!AT74*'Assumption Setting'!$C$168*'Timeline and FX'!AT12/'Timeline and FX'!AT8</f>
        <v>336.965325911713</v>
      </c>
      <c r="AU39" s="60" t="n">
        <f aca="false">Payroll!AU74*'Assumption Setting'!$C$168*'Timeline and FX'!AU12/'Timeline and FX'!AU8</f>
        <v>335.333075211887</v>
      </c>
      <c r="AV39" s="60" t="n">
        <f aca="false">Payroll!AV74*'Assumption Setting'!$C$168*'Timeline and FX'!AV12/'Timeline and FX'!AV8</f>
        <v>667.417462178428</v>
      </c>
      <c r="AW39" s="60" t="n">
        <f aca="false">Payroll!AW74*'Assumption Setting'!$C$168*'Timeline and FX'!AW12/'Timeline and FX'!AW8</f>
        <v>332.092255244453</v>
      </c>
      <c r="AX39" s="60" t="n">
        <f aca="false">Payroll!AX74*'Assumption Setting'!$C$168*'Timeline and FX'!AX12/'Timeline and FX'!AX8</f>
        <v>330.483609563884</v>
      </c>
      <c r="AY39" s="60" t="n">
        <f aca="false">Payroll!AY74*'Assumption Setting'!$C$168*'Timeline and FX'!AY12/'Timeline and FX'!AY8</f>
        <v>328.882756118408</v>
      </c>
      <c r="AZ39" s="60" t="n">
        <f aca="false">Payroll!AZ74*'Assumption Setting'!$C$168*'Timeline and FX'!AZ12/'Timeline and FX'!AZ8</f>
        <v>327.289657162655</v>
      </c>
      <c r="BA39" s="60" t="n">
        <f aca="false">Payroll!BA74*'Assumption Setting'!$C$168*'Timeline and FX'!BA12/'Timeline and FX'!BA8</f>
        <v>0</v>
      </c>
      <c r="BB39" s="59" t="n">
        <f aca="false">SUM(BC39:BN39)</f>
        <v>11087.3666592774</v>
      </c>
      <c r="BC39" s="60" t="n">
        <f aca="false">Payroll!BC74*'Assumption Setting'!$C$168*'Timeline and FX'!BC12/'Timeline and FX'!BC8</f>
        <v>5082.30465918549</v>
      </c>
      <c r="BD39" s="60" t="n">
        <f aca="false">Payroll!BD74*'Assumption Setting'!$C$168*'Timeline and FX'!BD12/'Timeline and FX'!BD8</f>
        <v>722.526588038701</v>
      </c>
      <c r="BE39" s="60" t="n">
        <f aca="false">Payroll!BE74*'Assumption Setting'!$C$168*'Timeline and FX'!BE12/'Timeline and FX'!BE8</f>
        <v>719.026689270844</v>
      </c>
      <c r="BF39" s="60" t="n">
        <f aca="false">Payroll!BF74*'Assumption Setting'!$C$168*'Timeline and FX'!BF12/'Timeline and FX'!BF8</f>
        <v>0</v>
      </c>
      <c r="BG39" s="60" t="n">
        <f aca="false">Payroll!BG74*'Assumption Setting'!$C$168*'Timeline and FX'!BG12/'Timeline and FX'!BG8</f>
        <v>712.077669851168</v>
      </c>
      <c r="BH39" s="60" t="n">
        <f aca="false">Payroll!BH74*'Assumption Setting'!$C$168*'Timeline and FX'!BH12/'Timeline and FX'!BH8</f>
        <v>708.628385353422</v>
      </c>
      <c r="BI39" s="60" t="n">
        <f aca="false">Payroll!BI74*'Assumption Setting'!$C$168*'Timeline and FX'!BI12/'Timeline and FX'!BI8</f>
        <v>1057.79371364128</v>
      </c>
      <c r="BJ39" s="60" t="n">
        <f aca="false">Payroll!BJ74*'Assumption Setting'!$C$168*'Timeline and FX'!BJ12/'Timeline and FX'!BJ8</f>
        <v>0</v>
      </c>
      <c r="BK39" s="60" t="n">
        <f aca="false">Payroll!BK74*'Assumption Setting'!$C$168*'Timeline and FX'!BK12/'Timeline and FX'!BK8</f>
        <v>698.38045794632</v>
      </c>
      <c r="BL39" s="60" t="n">
        <f aca="false">Payroll!BL74*'Assumption Setting'!$C$168*'Timeline and FX'!BL12/'Timeline and FX'!BL8</f>
        <v>694.997522363428</v>
      </c>
      <c r="BM39" s="60" t="n">
        <f aca="false">Payroll!BM74*'Assumption Setting'!$C$168*'Timeline and FX'!BM12/'Timeline and FX'!BM8</f>
        <v>691.630973626743</v>
      </c>
      <c r="BN39" s="60" t="n">
        <f aca="false">Payroll!BN74*'Assumption Setting'!$C$168*'Timeline and FX'!BN12/'Timeline and FX'!BN8</f>
        <v>0</v>
      </c>
    </row>
    <row r="40" customFormat="false" ht="15" hidden="false" customHeight="false" outlineLevel="0" collapsed="false">
      <c r="A40" s="4" t="s">
        <v>940</v>
      </c>
      <c r="B40" s="59" t="n">
        <f aca="false">SUM(C40:N40)</f>
        <v>4320</v>
      </c>
      <c r="C40" s="60" t="n">
        <f aca="false">Payroll!C73*'Assumption Setting'!$C$169/12*'Timeline and FX'!C11</f>
        <v>360</v>
      </c>
      <c r="D40" s="60" t="n">
        <f aca="false">Payroll!D73*'Assumption Setting'!$C$169/12*'Timeline and FX'!D11</f>
        <v>360</v>
      </c>
      <c r="E40" s="60" t="n">
        <f aca="false">Payroll!E73*'Assumption Setting'!$C$169/12*'Timeline and FX'!E11</f>
        <v>360</v>
      </c>
      <c r="F40" s="60" t="n">
        <f aca="false">Payroll!F73*'Assumption Setting'!$C$169/12*'Timeline and FX'!F11</f>
        <v>360</v>
      </c>
      <c r="G40" s="60" t="n">
        <f aca="false">Payroll!G73*'Assumption Setting'!$C$169/12*'Timeline and FX'!G11</f>
        <v>360</v>
      </c>
      <c r="H40" s="60" t="n">
        <f aca="false">Payroll!H73*'Assumption Setting'!$C$169/12*'Timeline and FX'!H11</f>
        <v>360</v>
      </c>
      <c r="I40" s="60" t="n">
        <f aca="false">Payroll!I73*'Assumption Setting'!$C$169/12*'Timeline and FX'!I11</f>
        <v>360</v>
      </c>
      <c r="J40" s="60" t="n">
        <f aca="false">Payroll!J73*'Assumption Setting'!$C$169/12*'Timeline and FX'!J11</f>
        <v>360</v>
      </c>
      <c r="K40" s="60" t="n">
        <f aca="false">Payroll!K73*'Assumption Setting'!$C$169/12*'Timeline and FX'!K11</f>
        <v>360</v>
      </c>
      <c r="L40" s="60" t="n">
        <f aca="false">Payroll!L73*'Assumption Setting'!$C$169/12*'Timeline and FX'!L11</f>
        <v>360</v>
      </c>
      <c r="M40" s="60" t="n">
        <f aca="false">Payroll!M73*'Assumption Setting'!$C$169/12*'Timeline and FX'!M11</f>
        <v>360</v>
      </c>
      <c r="N40" s="60" t="n">
        <f aca="false">Payroll!N73*'Assumption Setting'!$C$169/12*'Timeline and FX'!N11</f>
        <v>360</v>
      </c>
      <c r="O40" s="59" t="n">
        <f aca="false">SUM(P40:AA40)</f>
        <v>7387.2</v>
      </c>
      <c r="P40" s="60" t="n">
        <f aca="false">Payroll!P73*'Assumption Setting'!$C$169/12*'Timeline and FX'!P11</f>
        <v>583.2</v>
      </c>
      <c r="Q40" s="60" t="n">
        <f aca="false">Payroll!Q73*'Assumption Setting'!$C$169/12*'Timeline and FX'!Q11</f>
        <v>583.2</v>
      </c>
      <c r="R40" s="60" t="n">
        <f aca="false">Payroll!R73*'Assumption Setting'!$C$169/12*'Timeline and FX'!R11</f>
        <v>583.2</v>
      </c>
      <c r="S40" s="60" t="n">
        <f aca="false">Payroll!S73*'Assumption Setting'!$C$169/12*'Timeline and FX'!S11</f>
        <v>583.2</v>
      </c>
      <c r="T40" s="60" t="n">
        <f aca="false">Payroll!T73*'Assumption Setting'!$C$169/12*'Timeline and FX'!T11</f>
        <v>599.4</v>
      </c>
      <c r="U40" s="60" t="n">
        <f aca="false">Payroll!U73*'Assumption Setting'!$C$169/12*'Timeline and FX'!U11</f>
        <v>599.4</v>
      </c>
      <c r="V40" s="60" t="n">
        <f aca="false">Payroll!V73*'Assumption Setting'!$C$169/12*'Timeline and FX'!V11</f>
        <v>631.8</v>
      </c>
      <c r="W40" s="60" t="n">
        <f aca="false">Payroll!W73*'Assumption Setting'!$C$169/12*'Timeline and FX'!W11</f>
        <v>631.8</v>
      </c>
      <c r="X40" s="60" t="n">
        <f aca="false">Payroll!X73*'Assumption Setting'!$C$169/12*'Timeline and FX'!X11</f>
        <v>648</v>
      </c>
      <c r="Y40" s="60" t="n">
        <f aca="false">Payroll!Y73*'Assumption Setting'!$C$169/12*'Timeline and FX'!Y11</f>
        <v>648</v>
      </c>
      <c r="Z40" s="60" t="n">
        <f aca="false">Payroll!Z73*'Assumption Setting'!$C$169/12*'Timeline and FX'!Z11</f>
        <v>648</v>
      </c>
      <c r="AA40" s="60" t="n">
        <f aca="false">Payroll!AA73*'Assumption Setting'!$C$169/12*'Timeline and FX'!AA11</f>
        <v>648</v>
      </c>
      <c r="AB40" s="59" t="n">
        <f aca="false">SUM(AC40:AN40)</f>
        <v>11967.264</v>
      </c>
      <c r="AC40" s="60" t="n">
        <f aca="false">Payroll!AC73*'Assumption Setting'!$C$169/12*'Timeline and FX'!AC11</f>
        <v>944.784</v>
      </c>
      <c r="AD40" s="60" t="n">
        <f aca="false">Payroll!AD73*'Assumption Setting'!$C$169/12*'Timeline and FX'!AD11</f>
        <v>944.784</v>
      </c>
      <c r="AE40" s="60" t="n">
        <f aca="false">Payroll!AE73*'Assumption Setting'!$C$169/12*'Timeline and FX'!AE11</f>
        <v>944.784</v>
      </c>
      <c r="AF40" s="60" t="n">
        <f aca="false">Payroll!AF73*'Assumption Setting'!$C$169/12*'Timeline and FX'!AF11</f>
        <v>962.28</v>
      </c>
      <c r="AG40" s="60" t="n">
        <f aca="false">Payroll!AG73*'Assumption Setting'!$C$169/12*'Timeline and FX'!AG11</f>
        <v>979.776</v>
      </c>
      <c r="AH40" s="60" t="n">
        <f aca="false">Payroll!AH73*'Assumption Setting'!$C$169/12*'Timeline and FX'!AH11</f>
        <v>979.776</v>
      </c>
      <c r="AI40" s="60" t="n">
        <f aca="false">Payroll!AI73*'Assumption Setting'!$C$169/12*'Timeline and FX'!AI11</f>
        <v>1014.768</v>
      </c>
      <c r="AJ40" s="60" t="n">
        <f aca="false">Payroll!AJ73*'Assumption Setting'!$C$169/12*'Timeline and FX'!AJ11</f>
        <v>1014.768</v>
      </c>
      <c r="AK40" s="60" t="n">
        <f aca="false">Payroll!AK73*'Assumption Setting'!$C$169/12*'Timeline and FX'!AK11</f>
        <v>1032.264</v>
      </c>
      <c r="AL40" s="60" t="n">
        <f aca="false">Payroll!AL73*'Assumption Setting'!$C$169/12*'Timeline and FX'!AL11</f>
        <v>1049.76</v>
      </c>
      <c r="AM40" s="60" t="n">
        <f aca="false">Payroll!AM73*'Assumption Setting'!$C$169/12*'Timeline and FX'!AM11</f>
        <v>1049.76</v>
      </c>
      <c r="AN40" s="60" t="n">
        <f aca="false">Payroll!AN73*'Assumption Setting'!$C$169/12*'Timeline and FX'!AN11</f>
        <v>1049.76</v>
      </c>
      <c r="AO40" s="59" t="n">
        <f aca="false">SUM(AP40:BA40)</f>
        <v>17728.52184</v>
      </c>
      <c r="AP40" s="60" t="n">
        <f aca="false">Payroll!AP73*'Assumption Setting'!$C$169/12*'Timeline and FX'!AP11</f>
        <v>1366.61256</v>
      </c>
      <c r="AQ40" s="60" t="n">
        <f aca="false">Payroll!AQ73*'Assumption Setting'!$C$169/12*'Timeline and FX'!AQ11</f>
        <v>1385.33328</v>
      </c>
      <c r="AR40" s="60" t="n">
        <f aca="false">Payroll!AR73*'Assumption Setting'!$C$169/12*'Timeline and FX'!AR11</f>
        <v>1404.054</v>
      </c>
      <c r="AS40" s="60" t="n">
        <f aca="false">Payroll!AS73*'Assumption Setting'!$C$169/12*'Timeline and FX'!AS11</f>
        <v>1422.77472</v>
      </c>
      <c r="AT40" s="60" t="n">
        <f aca="false">Payroll!AT73*'Assumption Setting'!$C$169/12*'Timeline and FX'!AT11</f>
        <v>1441.49544</v>
      </c>
      <c r="AU40" s="60" t="n">
        <f aca="false">Payroll!AU73*'Assumption Setting'!$C$169/12*'Timeline and FX'!AU11</f>
        <v>1460.21616</v>
      </c>
      <c r="AV40" s="60" t="n">
        <f aca="false">Payroll!AV73*'Assumption Setting'!$C$169/12*'Timeline and FX'!AV11</f>
        <v>1497.6576</v>
      </c>
      <c r="AW40" s="60" t="n">
        <f aca="false">Payroll!AW73*'Assumption Setting'!$C$169/12*'Timeline and FX'!AW11</f>
        <v>1516.37832</v>
      </c>
      <c r="AX40" s="60" t="n">
        <f aca="false">Payroll!AX73*'Assumption Setting'!$C$169/12*'Timeline and FX'!AX11</f>
        <v>1535.09904</v>
      </c>
      <c r="AY40" s="60" t="n">
        <f aca="false">Payroll!AY73*'Assumption Setting'!$C$169/12*'Timeline and FX'!AY11</f>
        <v>1553.81976</v>
      </c>
      <c r="AZ40" s="60" t="n">
        <f aca="false">Payroll!AZ73*'Assumption Setting'!$C$169/12*'Timeline and FX'!AZ11</f>
        <v>1572.54048</v>
      </c>
      <c r="BA40" s="60" t="n">
        <f aca="false">Payroll!BA73*'Assumption Setting'!$C$169/12*'Timeline and FX'!BA11</f>
        <v>1572.54048</v>
      </c>
      <c r="BB40" s="59" t="n">
        <f aca="false">SUM(BC40:BN40)</f>
        <v>25479.6487488</v>
      </c>
      <c r="BC40" s="60" t="n">
        <f aca="false">Payroll!BC73*'Assumption Setting'!$C$169/12*'Timeline and FX'!BC11</f>
        <v>1944.7083936</v>
      </c>
      <c r="BD40" s="60" t="n">
        <f aca="false">Payroll!BD73*'Assumption Setting'!$C$169/12*'Timeline and FX'!BD11</f>
        <v>1984.39632</v>
      </c>
      <c r="BE40" s="60" t="n">
        <f aca="false">Payroll!BE73*'Assumption Setting'!$C$169/12*'Timeline and FX'!BE11</f>
        <v>2024.0842464</v>
      </c>
      <c r="BF40" s="60" t="n">
        <f aca="false">Payroll!BF73*'Assumption Setting'!$C$169/12*'Timeline and FX'!BF11</f>
        <v>2024.0842464</v>
      </c>
      <c r="BG40" s="60" t="n">
        <f aca="false">Payroll!BG73*'Assumption Setting'!$C$169/12*'Timeline and FX'!BG11</f>
        <v>2063.7721728</v>
      </c>
      <c r="BH40" s="60" t="n">
        <f aca="false">Payroll!BH73*'Assumption Setting'!$C$169/12*'Timeline and FX'!BH11</f>
        <v>2103.4600992</v>
      </c>
      <c r="BI40" s="60" t="n">
        <f aca="false">Payroll!BI73*'Assumption Setting'!$C$169/12*'Timeline and FX'!BI11</f>
        <v>2162.9919888</v>
      </c>
      <c r="BJ40" s="60" t="n">
        <f aca="false">Payroll!BJ73*'Assumption Setting'!$C$169/12*'Timeline and FX'!BJ11</f>
        <v>2162.9919888</v>
      </c>
      <c r="BK40" s="60" t="n">
        <f aca="false">Payroll!BK73*'Assumption Setting'!$C$169/12*'Timeline and FX'!BK11</f>
        <v>2202.6799152</v>
      </c>
      <c r="BL40" s="60" t="n">
        <f aca="false">Payroll!BL73*'Assumption Setting'!$C$169/12*'Timeline and FX'!BL11</f>
        <v>2242.3678416</v>
      </c>
      <c r="BM40" s="60" t="n">
        <f aca="false">Payroll!BM73*'Assumption Setting'!$C$169/12*'Timeline and FX'!BM11</f>
        <v>2282.055768</v>
      </c>
      <c r="BN40" s="60" t="n">
        <f aca="false">Payroll!BN73*'Assumption Setting'!$C$169/12*'Timeline and FX'!BN11</f>
        <v>2282.055768</v>
      </c>
    </row>
    <row r="41" customFormat="false" ht="15" hidden="false" customHeight="false" outlineLevel="0" collapsed="false">
      <c r="A41" s="4" t="s">
        <v>941</v>
      </c>
      <c r="B41" s="59" t="n">
        <f aca="false">SUM(C41:N41)</f>
        <v>14400</v>
      </c>
      <c r="C41" s="60" t="n">
        <f aca="false">'Assumption Setting'!$C$172*'Timeline and FX'!C11</f>
        <v>1200</v>
      </c>
      <c r="D41" s="60" t="n">
        <f aca="false">'Assumption Setting'!$C$172*'Timeline and FX'!D11</f>
        <v>1200</v>
      </c>
      <c r="E41" s="60" t="n">
        <f aca="false">'Assumption Setting'!$C$172*'Timeline and FX'!E11</f>
        <v>1200</v>
      </c>
      <c r="F41" s="60" t="n">
        <f aca="false">'Assumption Setting'!$C$172*'Timeline and FX'!F11</f>
        <v>1200</v>
      </c>
      <c r="G41" s="60" t="n">
        <f aca="false">'Assumption Setting'!$C$172*'Timeline and FX'!G11</f>
        <v>1200</v>
      </c>
      <c r="H41" s="60" t="n">
        <f aca="false">'Assumption Setting'!$C$172*'Timeline and FX'!H11</f>
        <v>1200</v>
      </c>
      <c r="I41" s="60" t="n">
        <f aca="false">'Assumption Setting'!$C$172*'Timeline and FX'!I11</f>
        <v>1200</v>
      </c>
      <c r="J41" s="60" t="n">
        <f aca="false">'Assumption Setting'!$C$172*'Timeline and FX'!J11</f>
        <v>1200</v>
      </c>
      <c r="K41" s="60" t="n">
        <f aca="false">'Assumption Setting'!$C$172*'Timeline and FX'!K11</f>
        <v>1200</v>
      </c>
      <c r="L41" s="60" t="n">
        <f aca="false">'Assumption Setting'!$C$172*'Timeline and FX'!L11</f>
        <v>1200</v>
      </c>
      <c r="M41" s="60" t="n">
        <f aca="false">'Assumption Setting'!$C$172*'Timeline and FX'!M11</f>
        <v>1200</v>
      </c>
      <c r="N41" s="60" t="n">
        <f aca="false">'Assumption Setting'!$C$172*'Timeline and FX'!N11</f>
        <v>1200</v>
      </c>
      <c r="O41" s="59" t="n">
        <f aca="false">SUM(P41:AA41)</f>
        <v>15552</v>
      </c>
      <c r="P41" s="60" t="n">
        <f aca="false">'Assumption Setting'!$C$172*'Timeline and FX'!P11</f>
        <v>1296</v>
      </c>
      <c r="Q41" s="60" t="n">
        <f aca="false">'Assumption Setting'!$C$172*'Timeline and FX'!Q11</f>
        <v>1296</v>
      </c>
      <c r="R41" s="60" t="n">
        <f aca="false">'Assumption Setting'!$C$172*'Timeline and FX'!R11</f>
        <v>1296</v>
      </c>
      <c r="S41" s="60" t="n">
        <f aca="false">'Assumption Setting'!$C$172*'Timeline and FX'!S11</f>
        <v>1296</v>
      </c>
      <c r="T41" s="60" t="n">
        <f aca="false">'Assumption Setting'!$C$172*'Timeline and FX'!T11</f>
        <v>1296</v>
      </c>
      <c r="U41" s="60" t="n">
        <f aca="false">'Assumption Setting'!$C$172*'Timeline and FX'!U11</f>
        <v>1296</v>
      </c>
      <c r="V41" s="60" t="n">
        <f aca="false">'Assumption Setting'!$C$172*'Timeline and FX'!V11</f>
        <v>1296</v>
      </c>
      <c r="W41" s="60" t="n">
        <f aca="false">'Assumption Setting'!$C$172*'Timeline and FX'!W11</f>
        <v>1296</v>
      </c>
      <c r="X41" s="60" t="n">
        <f aca="false">'Assumption Setting'!$C$172*'Timeline and FX'!X11</f>
        <v>1296</v>
      </c>
      <c r="Y41" s="60" t="n">
        <f aca="false">'Assumption Setting'!$C$172*'Timeline and FX'!Y11</f>
        <v>1296</v>
      </c>
      <c r="Z41" s="60" t="n">
        <f aca="false">'Assumption Setting'!$C$172*'Timeline and FX'!Z11</f>
        <v>1296</v>
      </c>
      <c r="AA41" s="60" t="n">
        <f aca="false">'Assumption Setting'!$C$172*'Timeline and FX'!AA11</f>
        <v>1296</v>
      </c>
      <c r="AB41" s="59" t="n">
        <f aca="false">SUM(AC41:AN41)</f>
        <v>16796.16</v>
      </c>
      <c r="AC41" s="60" t="n">
        <f aca="false">'Assumption Setting'!$C$172*'Timeline and FX'!AC11</f>
        <v>1399.68</v>
      </c>
      <c r="AD41" s="60" t="n">
        <f aca="false">'Assumption Setting'!$C$172*'Timeline and FX'!AD11</f>
        <v>1399.68</v>
      </c>
      <c r="AE41" s="60" t="n">
        <f aca="false">'Assumption Setting'!$C$172*'Timeline and FX'!AE11</f>
        <v>1399.68</v>
      </c>
      <c r="AF41" s="60" t="n">
        <f aca="false">'Assumption Setting'!$C$172*'Timeline and FX'!AF11</f>
        <v>1399.68</v>
      </c>
      <c r="AG41" s="60" t="n">
        <f aca="false">'Assumption Setting'!$C$172*'Timeline and FX'!AG11</f>
        <v>1399.68</v>
      </c>
      <c r="AH41" s="60" t="n">
        <f aca="false">'Assumption Setting'!$C$172*'Timeline and FX'!AH11</f>
        <v>1399.68</v>
      </c>
      <c r="AI41" s="60" t="n">
        <f aca="false">'Assumption Setting'!$C$172*'Timeline and FX'!AI11</f>
        <v>1399.68</v>
      </c>
      <c r="AJ41" s="60" t="n">
        <f aca="false">'Assumption Setting'!$C$172*'Timeline and FX'!AJ11</f>
        <v>1399.68</v>
      </c>
      <c r="AK41" s="60" t="n">
        <f aca="false">'Assumption Setting'!$C$172*'Timeline and FX'!AK11</f>
        <v>1399.68</v>
      </c>
      <c r="AL41" s="60" t="n">
        <f aca="false">'Assumption Setting'!$C$172*'Timeline and FX'!AL11</f>
        <v>1399.68</v>
      </c>
      <c r="AM41" s="60" t="n">
        <f aca="false">'Assumption Setting'!$C$172*'Timeline and FX'!AM11</f>
        <v>1399.68</v>
      </c>
      <c r="AN41" s="60" t="n">
        <f aca="false">'Assumption Setting'!$C$172*'Timeline and FX'!AN11</f>
        <v>1399.68</v>
      </c>
      <c r="AO41" s="59" t="n">
        <f aca="false">SUM(AP41:BA41)</f>
        <v>17971.8912</v>
      </c>
      <c r="AP41" s="60" t="n">
        <f aca="false">'Assumption Setting'!$C$172*'Timeline and FX'!AP11</f>
        <v>1497.6576</v>
      </c>
      <c r="AQ41" s="60" t="n">
        <f aca="false">'Assumption Setting'!$C$172*'Timeline and FX'!AQ11</f>
        <v>1497.6576</v>
      </c>
      <c r="AR41" s="60" t="n">
        <f aca="false">'Assumption Setting'!$C$172*'Timeline and FX'!AR11</f>
        <v>1497.6576</v>
      </c>
      <c r="AS41" s="60" t="n">
        <f aca="false">'Assumption Setting'!$C$172*'Timeline and FX'!AS11</f>
        <v>1497.6576</v>
      </c>
      <c r="AT41" s="60" t="n">
        <f aca="false">'Assumption Setting'!$C$172*'Timeline and FX'!AT11</f>
        <v>1497.6576</v>
      </c>
      <c r="AU41" s="60" t="n">
        <f aca="false">'Assumption Setting'!$C$172*'Timeline and FX'!AU11</f>
        <v>1497.6576</v>
      </c>
      <c r="AV41" s="60" t="n">
        <f aca="false">'Assumption Setting'!$C$172*'Timeline and FX'!AV11</f>
        <v>1497.6576</v>
      </c>
      <c r="AW41" s="60" t="n">
        <f aca="false">'Assumption Setting'!$C$172*'Timeline and FX'!AW11</f>
        <v>1497.6576</v>
      </c>
      <c r="AX41" s="60" t="n">
        <f aca="false">'Assumption Setting'!$C$172*'Timeline and FX'!AX11</f>
        <v>1497.6576</v>
      </c>
      <c r="AY41" s="60" t="n">
        <f aca="false">'Assumption Setting'!$C$172*'Timeline and FX'!AY11</f>
        <v>1497.6576</v>
      </c>
      <c r="AZ41" s="60" t="n">
        <f aca="false">'Assumption Setting'!$C$172*'Timeline and FX'!AZ11</f>
        <v>1497.6576</v>
      </c>
      <c r="BA41" s="60" t="n">
        <f aca="false">'Assumption Setting'!$C$172*'Timeline and FX'!BA11</f>
        <v>1497.6576</v>
      </c>
      <c r="BB41" s="59" t="n">
        <f aca="false">SUM(BC41:BN41)</f>
        <v>19050.204672</v>
      </c>
      <c r="BC41" s="60" t="n">
        <f aca="false">'Assumption Setting'!$C$172*'Timeline and FX'!BC11</f>
        <v>1587.517056</v>
      </c>
      <c r="BD41" s="60" t="n">
        <f aca="false">'Assumption Setting'!$C$172*'Timeline and FX'!BD11</f>
        <v>1587.517056</v>
      </c>
      <c r="BE41" s="60" t="n">
        <f aca="false">'Assumption Setting'!$C$172*'Timeline and FX'!BE11</f>
        <v>1587.517056</v>
      </c>
      <c r="BF41" s="60" t="n">
        <f aca="false">'Assumption Setting'!$C$172*'Timeline and FX'!BF11</f>
        <v>1587.517056</v>
      </c>
      <c r="BG41" s="60" t="n">
        <f aca="false">'Assumption Setting'!$C$172*'Timeline and FX'!BG11</f>
        <v>1587.517056</v>
      </c>
      <c r="BH41" s="60" t="n">
        <f aca="false">'Assumption Setting'!$C$172*'Timeline and FX'!BH11</f>
        <v>1587.517056</v>
      </c>
      <c r="BI41" s="60" t="n">
        <f aca="false">'Assumption Setting'!$C$172*'Timeline and FX'!BI11</f>
        <v>1587.517056</v>
      </c>
      <c r="BJ41" s="60" t="n">
        <f aca="false">'Assumption Setting'!$C$172*'Timeline and FX'!BJ11</f>
        <v>1587.517056</v>
      </c>
      <c r="BK41" s="60" t="n">
        <f aca="false">'Assumption Setting'!$C$172*'Timeline and FX'!BK11</f>
        <v>1587.517056</v>
      </c>
      <c r="BL41" s="60" t="n">
        <f aca="false">'Assumption Setting'!$C$172*'Timeline and FX'!BL11</f>
        <v>1587.517056</v>
      </c>
      <c r="BM41" s="60" t="n">
        <f aca="false">'Assumption Setting'!$C$172*'Timeline and FX'!BM11</f>
        <v>1587.517056</v>
      </c>
      <c r="BN41" s="60" t="n">
        <f aca="false">'Assumption Setting'!$C$172*'Timeline and FX'!BN11</f>
        <v>1587.517056</v>
      </c>
    </row>
    <row r="42" customFormat="false" ht="15" hidden="false" customHeight="false" outlineLevel="0" collapsed="false">
      <c r="A42" s="4" t="s">
        <v>942</v>
      </c>
      <c r="B42" s="59" t="n">
        <f aca="false">SUM(C42:N42)</f>
        <v>4800</v>
      </c>
      <c r="C42" s="60" t="n">
        <f aca="false">'Assumption Setting'!$C$178*'Timeline and FX'!C11</f>
        <v>400</v>
      </c>
      <c r="D42" s="60" t="n">
        <f aca="false">'Assumption Setting'!$C$178*'Timeline and FX'!D11</f>
        <v>400</v>
      </c>
      <c r="E42" s="60" t="n">
        <f aca="false">'Assumption Setting'!$C$178*'Timeline and FX'!E11</f>
        <v>400</v>
      </c>
      <c r="F42" s="60" t="n">
        <f aca="false">'Assumption Setting'!$C$178*'Timeline and FX'!F11</f>
        <v>400</v>
      </c>
      <c r="G42" s="60" t="n">
        <f aca="false">'Assumption Setting'!$C$178*'Timeline and FX'!G11</f>
        <v>400</v>
      </c>
      <c r="H42" s="60" t="n">
        <f aca="false">'Assumption Setting'!$C$178*'Timeline and FX'!H11</f>
        <v>400</v>
      </c>
      <c r="I42" s="60" t="n">
        <f aca="false">'Assumption Setting'!$C$178*'Timeline and FX'!I11</f>
        <v>400</v>
      </c>
      <c r="J42" s="60" t="n">
        <f aca="false">'Assumption Setting'!$C$178*'Timeline and FX'!J11</f>
        <v>400</v>
      </c>
      <c r="K42" s="60" t="n">
        <f aca="false">'Assumption Setting'!$C$178*'Timeline and FX'!K11</f>
        <v>400</v>
      </c>
      <c r="L42" s="60" t="n">
        <f aca="false">'Assumption Setting'!$C$178*'Timeline and FX'!L11</f>
        <v>400</v>
      </c>
      <c r="M42" s="60" t="n">
        <f aca="false">'Assumption Setting'!$C$178*'Timeline and FX'!M11</f>
        <v>400</v>
      </c>
      <c r="N42" s="60" t="n">
        <f aca="false">'Assumption Setting'!$C$178*'Timeline and FX'!N11</f>
        <v>400</v>
      </c>
      <c r="O42" s="59" t="n">
        <f aca="false">SUM(P42:AA42)</f>
        <v>5184</v>
      </c>
      <c r="P42" s="60" t="n">
        <f aca="false">'Assumption Setting'!$C$178*'Timeline and FX'!P11</f>
        <v>432</v>
      </c>
      <c r="Q42" s="60" t="n">
        <f aca="false">'Assumption Setting'!$C$178*'Timeline and FX'!Q11</f>
        <v>432</v>
      </c>
      <c r="R42" s="60" t="n">
        <f aca="false">'Assumption Setting'!$C$178*'Timeline and FX'!R11</f>
        <v>432</v>
      </c>
      <c r="S42" s="60" t="n">
        <f aca="false">'Assumption Setting'!$C$178*'Timeline and FX'!S11</f>
        <v>432</v>
      </c>
      <c r="T42" s="60" t="n">
        <f aca="false">'Assumption Setting'!$C$178*'Timeline and FX'!T11</f>
        <v>432</v>
      </c>
      <c r="U42" s="60" t="n">
        <f aca="false">'Assumption Setting'!$C$178*'Timeline and FX'!U11</f>
        <v>432</v>
      </c>
      <c r="V42" s="60" t="n">
        <f aca="false">'Assumption Setting'!$C$178*'Timeline and FX'!V11</f>
        <v>432</v>
      </c>
      <c r="W42" s="60" t="n">
        <f aca="false">'Assumption Setting'!$C$178*'Timeline and FX'!W11</f>
        <v>432</v>
      </c>
      <c r="X42" s="60" t="n">
        <f aca="false">'Assumption Setting'!$C$178*'Timeline and FX'!X11</f>
        <v>432</v>
      </c>
      <c r="Y42" s="60" t="n">
        <f aca="false">'Assumption Setting'!$C$178*'Timeline and FX'!Y11</f>
        <v>432</v>
      </c>
      <c r="Z42" s="60" t="n">
        <f aca="false">'Assumption Setting'!$C$178*'Timeline and FX'!Z11</f>
        <v>432</v>
      </c>
      <c r="AA42" s="60" t="n">
        <f aca="false">'Assumption Setting'!$C$178*'Timeline and FX'!AA11</f>
        <v>432</v>
      </c>
      <c r="AB42" s="59" t="n">
        <f aca="false">SUM(AC42:AN42)</f>
        <v>5598.72</v>
      </c>
      <c r="AC42" s="60" t="n">
        <f aca="false">'Assumption Setting'!$C$178*'Timeline and FX'!AC11</f>
        <v>466.56</v>
      </c>
      <c r="AD42" s="60" t="n">
        <f aca="false">'Assumption Setting'!$C$178*'Timeline and FX'!AD11</f>
        <v>466.56</v>
      </c>
      <c r="AE42" s="60" t="n">
        <f aca="false">'Assumption Setting'!$C$178*'Timeline and FX'!AE11</f>
        <v>466.56</v>
      </c>
      <c r="AF42" s="60" t="n">
        <f aca="false">'Assumption Setting'!$C$178*'Timeline and FX'!AF11</f>
        <v>466.56</v>
      </c>
      <c r="AG42" s="60" t="n">
        <f aca="false">'Assumption Setting'!$C$178*'Timeline and FX'!AG11</f>
        <v>466.56</v>
      </c>
      <c r="AH42" s="60" t="n">
        <f aca="false">'Assumption Setting'!$C$178*'Timeline and FX'!AH11</f>
        <v>466.56</v>
      </c>
      <c r="AI42" s="60" t="n">
        <f aca="false">'Assumption Setting'!$C$178*'Timeline and FX'!AI11</f>
        <v>466.56</v>
      </c>
      <c r="AJ42" s="60" t="n">
        <f aca="false">'Assumption Setting'!$C$178*'Timeline and FX'!AJ11</f>
        <v>466.56</v>
      </c>
      <c r="AK42" s="60" t="n">
        <f aca="false">'Assumption Setting'!$C$178*'Timeline and FX'!AK11</f>
        <v>466.56</v>
      </c>
      <c r="AL42" s="60" t="n">
        <f aca="false">'Assumption Setting'!$C$178*'Timeline and FX'!AL11</f>
        <v>466.56</v>
      </c>
      <c r="AM42" s="60" t="n">
        <f aca="false">'Assumption Setting'!$C$178*'Timeline and FX'!AM11</f>
        <v>466.56</v>
      </c>
      <c r="AN42" s="60" t="n">
        <f aca="false">'Assumption Setting'!$C$178*'Timeline and FX'!AN11</f>
        <v>466.56</v>
      </c>
      <c r="AO42" s="59" t="n">
        <f aca="false">SUM(AP42:BA42)</f>
        <v>5990.6304</v>
      </c>
      <c r="AP42" s="60" t="n">
        <f aca="false">'Assumption Setting'!$C$178*'Timeline and FX'!AP11</f>
        <v>499.2192</v>
      </c>
      <c r="AQ42" s="60" t="n">
        <f aca="false">'Assumption Setting'!$C$178*'Timeline and FX'!AQ11</f>
        <v>499.2192</v>
      </c>
      <c r="AR42" s="60" t="n">
        <f aca="false">'Assumption Setting'!$C$178*'Timeline and FX'!AR11</f>
        <v>499.2192</v>
      </c>
      <c r="AS42" s="60" t="n">
        <f aca="false">'Assumption Setting'!$C$178*'Timeline and FX'!AS11</f>
        <v>499.2192</v>
      </c>
      <c r="AT42" s="60" t="n">
        <f aca="false">'Assumption Setting'!$C$178*'Timeline and FX'!AT11</f>
        <v>499.2192</v>
      </c>
      <c r="AU42" s="60" t="n">
        <f aca="false">'Assumption Setting'!$C$178*'Timeline and FX'!AU11</f>
        <v>499.2192</v>
      </c>
      <c r="AV42" s="60" t="n">
        <f aca="false">'Assumption Setting'!$C$178*'Timeline and FX'!AV11</f>
        <v>499.2192</v>
      </c>
      <c r="AW42" s="60" t="n">
        <f aca="false">'Assumption Setting'!$C$178*'Timeline and FX'!AW11</f>
        <v>499.2192</v>
      </c>
      <c r="AX42" s="60" t="n">
        <f aca="false">'Assumption Setting'!$C$178*'Timeline and FX'!AX11</f>
        <v>499.2192</v>
      </c>
      <c r="AY42" s="60" t="n">
        <f aca="false">'Assumption Setting'!$C$178*'Timeline and FX'!AY11</f>
        <v>499.2192</v>
      </c>
      <c r="AZ42" s="60" t="n">
        <f aca="false">'Assumption Setting'!$C$178*'Timeline and FX'!AZ11</f>
        <v>499.2192</v>
      </c>
      <c r="BA42" s="60" t="n">
        <f aca="false">'Assumption Setting'!$C$178*'Timeline and FX'!BA11</f>
        <v>499.2192</v>
      </c>
      <c r="BB42" s="59" t="n">
        <f aca="false">SUM(BC42:BN42)</f>
        <v>6350.068224</v>
      </c>
      <c r="BC42" s="60" t="n">
        <f aca="false">'Assumption Setting'!$C$178*'Timeline and FX'!BC11</f>
        <v>529.172352</v>
      </c>
      <c r="BD42" s="60" t="n">
        <f aca="false">'Assumption Setting'!$C$178*'Timeline and FX'!BD11</f>
        <v>529.172352</v>
      </c>
      <c r="BE42" s="60" t="n">
        <f aca="false">'Assumption Setting'!$C$178*'Timeline and FX'!BE11</f>
        <v>529.172352</v>
      </c>
      <c r="BF42" s="60" t="n">
        <f aca="false">'Assumption Setting'!$C$178*'Timeline and FX'!BF11</f>
        <v>529.172352</v>
      </c>
      <c r="BG42" s="60" t="n">
        <f aca="false">'Assumption Setting'!$C$178*'Timeline and FX'!BG11</f>
        <v>529.172352</v>
      </c>
      <c r="BH42" s="60" t="n">
        <f aca="false">'Assumption Setting'!$C$178*'Timeline and FX'!BH11</f>
        <v>529.172352</v>
      </c>
      <c r="BI42" s="60" t="n">
        <f aca="false">'Assumption Setting'!$C$178*'Timeline and FX'!BI11</f>
        <v>529.172352</v>
      </c>
      <c r="BJ42" s="60" t="n">
        <f aca="false">'Assumption Setting'!$C$178*'Timeline and FX'!BJ11</f>
        <v>529.172352</v>
      </c>
      <c r="BK42" s="60" t="n">
        <f aca="false">'Assumption Setting'!$C$178*'Timeline and FX'!BK11</f>
        <v>529.172352</v>
      </c>
      <c r="BL42" s="60" t="n">
        <f aca="false">'Assumption Setting'!$C$178*'Timeline and FX'!BL11</f>
        <v>529.172352</v>
      </c>
      <c r="BM42" s="60" t="n">
        <f aca="false">'Assumption Setting'!$C$178*'Timeline and FX'!BM11</f>
        <v>529.172352</v>
      </c>
      <c r="BN42" s="60" t="n">
        <f aca="false">'Assumption Setting'!$C$178*'Timeline and FX'!BN11</f>
        <v>529.172352</v>
      </c>
    </row>
    <row r="43" customFormat="false" ht="15" hidden="false" customHeight="false" outlineLevel="0" collapsed="false">
      <c r="A43" s="4" t="s">
        <v>943</v>
      </c>
      <c r="B43" s="59" t="n">
        <f aca="false">SUM(C43:N43)</f>
        <v>2400</v>
      </c>
      <c r="C43" s="60" t="n">
        <f aca="false">'Assumption Setting'!$C$173*'Timeline and FX'!C11</f>
        <v>200</v>
      </c>
      <c r="D43" s="60" t="n">
        <f aca="false">'Assumption Setting'!$C$173*'Timeline and FX'!D11</f>
        <v>200</v>
      </c>
      <c r="E43" s="60" t="n">
        <f aca="false">'Assumption Setting'!$C$173*'Timeline and FX'!E11</f>
        <v>200</v>
      </c>
      <c r="F43" s="60" t="n">
        <f aca="false">'Assumption Setting'!$C$173*'Timeline and FX'!F11</f>
        <v>200</v>
      </c>
      <c r="G43" s="60" t="n">
        <f aca="false">'Assumption Setting'!$C$173*'Timeline and FX'!G11</f>
        <v>200</v>
      </c>
      <c r="H43" s="60" t="n">
        <f aca="false">'Assumption Setting'!$C$173*'Timeline and FX'!H11</f>
        <v>200</v>
      </c>
      <c r="I43" s="60" t="n">
        <f aca="false">'Assumption Setting'!$C$173*'Timeline and FX'!I11</f>
        <v>200</v>
      </c>
      <c r="J43" s="60" t="n">
        <f aca="false">'Assumption Setting'!$C$173*'Timeline and FX'!J11</f>
        <v>200</v>
      </c>
      <c r="K43" s="60" t="n">
        <f aca="false">'Assumption Setting'!$C$173*'Timeline and FX'!K11</f>
        <v>200</v>
      </c>
      <c r="L43" s="60" t="n">
        <f aca="false">'Assumption Setting'!$C$173*'Timeline and FX'!L11</f>
        <v>200</v>
      </c>
      <c r="M43" s="60" t="n">
        <f aca="false">'Assumption Setting'!$C$173*'Timeline and FX'!M11</f>
        <v>200</v>
      </c>
      <c r="N43" s="60" t="n">
        <f aca="false">'Assumption Setting'!$C$173*'Timeline and FX'!N11</f>
        <v>200</v>
      </c>
      <c r="O43" s="59" t="n">
        <f aca="false">SUM(P43:AA43)</f>
        <v>2592</v>
      </c>
      <c r="P43" s="60" t="n">
        <f aca="false">'Assumption Setting'!$C$173*'Timeline and FX'!P11</f>
        <v>216</v>
      </c>
      <c r="Q43" s="60" t="n">
        <f aca="false">'Assumption Setting'!$C$173*'Timeline and FX'!Q11</f>
        <v>216</v>
      </c>
      <c r="R43" s="60" t="n">
        <f aca="false">'Assumption Setting'!$C$173*'Timeline and FX'!R11</f>
        <v>216</v>
      </c>
      <c r="S43" s="60" t="n">
        <f aca="false">'Assumption Setting'!$C$173*'Timeline and FX'!S11</f>
        <v>216</v>
      </c>
      <c r="T43" s="60" t="n">
        <f aca="false">'Assumption Setting'!$C$173*'Timeline and FX'!T11</f>
        <v>216</v>
      </c>
      <c r="U43" s="60" t="n">
        <f aca="false">'Assumption Setting'!$C$173*'Timeline and FX'!U11</f>
        <v>216</v>
      </c>
      <c r="V43" s="60" t="n">
        <f aca="false">'Assumption Setting'!$C$173*'Timeline and FX'!V11</f>
        <v>216</v>
      </c>
      <c r="W43" s="60" t="n">
        <f aca="false">'Assumption Setting'!$C$173*'Timeline and FX'!W11</f>
        <v>216</v>
      </c>
      <c r="X43" s="60" t="n">
        <f aca="false">'Assumption Setting'!$C$173*'Timeline and FX'!X11</f>
        <v>216</v>
      </c>
      <c r="Y43" s="60" t="n">
        <f aca="false">'Assumption Setting'!$C$173*'Timeline and FX'!Y11</f>
        <v>216</v>
      </c>
      <c r="Z43" s="60" t="n">
        <f aca="false">'Assumption Setting'!$C$173*'Timeline and FX'!Z11</f>
        <v>216</v>
      </c>
      <c r="AA43" s="60" t="n">
        <f aca="false">'Assumption Setting'!$C$173*'Timeline and FX'!AA11</f>
        <v>216</v>
      </c>
      <c r="AB43" s="59" t="n">
        <f aca="false">SUM(AC43:AN43)</f>
        <v>2799.36</v>
      </c>
      <c r="AC43" s="60" t="n">
        <f aca="false">'Assumption Setting'!$C$173*'Timeline and FX'!AC11</f>
        <v>233.28</v>
      </c>
      <c r="AD43" s="60" t="n">
        <f aca="false">'Assumption Setting'!$C$173*'Timeline and FX'!AD11</f>
        <v>233.28</v>
      </c>
      <c r="AE43" s="60" t="n">
        <f aca="false">'Assumption Setting'!$C$173*'Timeline and FX'!AE11</f>
        <v>233.28</v>
      </c>
      <c r="AF43" s="60" t="n">
        <f aca="false">'Assumption Setting'!$C$173*'Timeline and FX'!AF11</f>
        <v>233.28</v>
      </c>
      <c r="AG43" s="60" t="n">
        <f aca="false">'Assumption Setting'!$C$173*'Timeline and FX'!AG11</f>
        <v>233.28</v>
      </c>
      <c r="AH43" s="60" t="n">
        <f aca="false">'Assumption Setting'!$C$173*'Timeline and FX'!AH11</f>
        <v>233.28</v>
      </c>
      <c r="AI43" s="60" t="n">
        <f aca="false">'Assumption Setting'!$C$173*'Timeline and FX'!AI11</f>
        <v>233.28</v>
      </c>
      <c r="AJ43" s="60" t="n">
        <f aca="false">'Assumption Setting'!$C$173*'Timeline and FX'!AJ11</f>
        <v>233.28</v>
      </c>
      <c r="AK43" s="60" t="n">
        <f aca="false">'Assumption Setting'!$C$173*'Timeline and FX'!AK11</f>
        <v>233.28</v>
      </c>
      <c r="AL43" s="60" t="n">
        <f aca="false">'Assumption Setting'!$C$173*'Timeline and FX'!AL11</f>
        <v>233.28</v>
      </c>
      <c r="AM43" s="60" t="n">
        <f aca="false">'Assumption Setting'!$C$173*'Timeline and FX'!AM11</f>
        <v>233.28</v>
      </c>
      <c r="AN43" s="60" t="n">
        <f aca="false">'Assumption Setting'!$C$173*'Timeline and FX'!AN11</f>
        <v>233.28</v>
      </c>
      <c r="AO43" s="59" t="n">
        <f aca="false">SUM(AP43:BA43)</f>
        <v>2995.3152</v>
      </c>
      <c r="AP43" s="60" t="n">
        <f aca="false">'Assumption Setting'!$C$173*'Timeline and FX'!AP11</f>
        <v>249.6096</v>
      </c>
      <c r="AQ43" s="60" t="n">
        <f aca="false">'Assumption Setting'!$C$173*'Timeline and FX'!AQ11</f>
        <v>249.6096</v>
      </c>
      <c r="AR43" s="60" t="n">
        <f aca="false">'Assumption Setting'!$C$173*'Timeline and FX'!AR11</f>
        <v>249.6096</v>
      </c>
      <c r="AS43" s="60" t="n">
        <f aca="false">'Assumption Setting'!$C$173*'Timeline and FX'!AS11</f>
        <v>249.6096</v>
      </c>
      <c r="AT43" s="60" t="n">
        <f aca="false">'Assumption Setting'!$C$173*'Timeline and FX'!AT11</f>
        <v>249.6096</v>
      </c>
      <c r="AU43" s="60" t="n">
        <f aca="false">'Assumption Setting'!$C$173*'Timeline and FX'!AU11</f>
        <v>249.6096</v>
      </c>
      <c r="AV43" s="60" t="n">
        <f aca="false">'Assumption Setting'!$C$173*'Timeline and FX'!AV11</f>
        <v>249.6096</v>
      </c>
      <c r="AW43" s="60" t="n">
        <f aca="false">'Assumption Setting'!$C$173*'Timeline and FX'!AW11</f>
        <v>249.6096</v>
      </c>
      <c r="AX43" s="60" t="n">
        <f aca="false">'Assumption Setting'!$C$173*'Timeline and FX'!AX11</f>
        <v>249.6096</v>
      </c>
      <c r="AY43" s="60" t="n">
        <f aca="false">'Assumption Setting'!$C$173*'Timeline and FX'!AY11</f>
        <v>249.6096</v>
      </c>
      <c r="AZ43" s="60" t="n">
        <f aca="false">'Assumption Setting'!$C$173*'Timeline and FX'!AZ11</f>
        <v>249.6096</v>
      </c>
      <c r="BA43" s="60" t="n">
        <f aca="false">'Assumption Setting'!$C$173*'Timeline and FX'!BA11</f>
        <v>249.6096</v>
      </c>
      <c r="BB43" s="59" t="n">
        <f aca="false">SUM(BC43:BN43)</f>
        <v>3175.034112</v>
      </c>
      <c r="BC43" s="60" t="n">
        <f aca="false">'Assumption Setting'!$C$173*'Timeline and FX'!BC11</f>
        <v>264.586176</v>
      </c>
      <c r="BD43" s="60" t="n">
        <f aca="false">'Assumption Setting'!$C$173*'Timeline and FX'!BD11</f>
        <v>264.586176</v>
      </c>
      <c r="BE43" s="60" t="n">
        <f aca="false">'Assumption Setting'!$C$173*'Timeline and FX'!BE11</f>
        <v>264.586176</v>
      </c>
      <c r="BF43" s="60" t="n">
        <f aca="false">'Assumption Setting'!$C$173*'Timeline and FX'!BF11</f>
        <v>264.586176</v>
      </c>
      <c r="BG43" s="60" t="n">
        <f aca="false">'Assumption Setting'!$C$173*'Timeline and FX'!BG11</f>
        <v>264.586176</v>
      </c>
      <c r="BH43" s="60" t="n">
        <f aca="false">'Assumption Setting'!$C$173*'Timeline and FX'!BH11</f>
        <v>264.586176</v>
      </c>
      <c r="BI43" s="60" t="n">
        <f aca="false">'Assumption Setting'!$C$173*'Timeline and FX'!BI11</f>
        <v>264.586176</v>
      </c>
      <c r="BJ43" s="60" t="n">
        <f aca="false">'Assumption Setting'!$C$173*'Timeline and FX'!BJ11</f>
        <v>264.586176</v>
      </c>
      <c r="BK43" s="60" t="n">
        <f aca="false">'Assumption Setting'!$C$173*'Timeline and FX'!BK11</f>
        <v>264.586176</v>
      </c>
      <c r="BL43" s="60" t="n">
        <f aca="false">'Assumption Setting'!$C$173*'Timeline and FX'!BL11</f>
        <v>264.586176</v>
      </c>
      <c r="BM43" s="60" t="n">
        <f aca="false">'Assumption Setting'!$C$173*'Timeline and FX'!BM11</f>
        <v>264.586176</v>
      </c>
      <c r="BN43" s="60" t="n">
        <f aca="false">'Assumption Setting'!$C$173*'Timeline and FX'!BN11</f>
        <v>264.586176</v>
      </c>
    </row>
    <row r="44" customFormat="false" ht="15" hidden="false" customHeight="false" outlineLevel="0" collapsed="false">
      <c r="A44" s="4" t="s">
        <v>944</v>
      </c>
      <c r="B44" s="59" t="n">
        <f aca="false">SUM(C44:N44)</f>
        <v>25810.6064308181</v>
      </c>
      <c r="C44" s="60" t="n">
        <f aca="false">SUM(C22:C43)*'Assumption Setting'!$C$181</f>
        <v>2540.71660194175</v>
      </c>
      <c r="D44" s="60" t="n">
        <f aca="false">SUM(D22:D43)*'Assumption Setting'!$C$181</f>
        <v>2125.58429590457</v>
      </c>
      <c r="E44" s="60" t="n">
        <f aca="false">SUM(E22:E43)*'Assumption Setting'!$C$181</f>
        <v>2123.30900701027</v>
      </c>
      <c r="F44" s="60" t="n">
        <f aca="false">SUM(F22:F43)*'Assumption Setting'!$C$181</f>
        <v>2121.51946986703</v>
      </c>
      <c r="G44" s="60" t="n">
        <f aca="false">SUM(G22:G43)*'Assumption Setting'!$C$181</f>
        <v>2119.53081884927</v>
      </c>
      <c r="H44" s="60" t="n">
        <f aca="false">SUM(H22:H43)*'Assumption Setting'!$C$181</f>
        <v>2117.53567794943</v>
      </c>
      <c r="I44" s="60" t="n">
        <f aca="false">SUM(I22:I43)*'Assumption Setting'!$C$181</f>
        <v>2115.52933615883</v>
      </c>
      <c r="J44" s="60" t="n">
        <f aca="false">SUM(J22:J43)*'Assumption Setting'!$C$181</f>
        <v>2113.50750904483</v>
      </c>
      <c r="K44" s="60" t="n">
        <f aca="false">SUM(K22:K43)*'Assumption Setting'!$C$181</f>
        <v>2111.46631094397</v>
      </c>
      <c r="L44" s="60" t="n">
        <f aca="false">SUM(L22:L43)*'Assumption Setting'!$C$181</f>
        <v>2109.40222879458</v>
      </c>
      <c r="M44" s="60" t="n">
        <f aca="false">SUM(M22:M43)*'Assumption Setting'!$C$181</f>
        <v>2107.31209751498</v>
      </c>
      <c r="N44" s="60" t="n">
        <f aca="false">SUM(N22:N43)*'Assumption Setting'!$C$181</f>
        <v>2105.19307683862</v>
      </c>
      <c r="O44" s="59" t="n">
        <f aca="false">SUM(P44:AA44)</f>
        <v>42584.2857909216</v>
      </c>
      <c r="P44" s="60" t="n">
        <f aca="false">SUM(P22:P43)*'Assumption Setting'!$C$181</f>
        <v>3640.50059776175</v>
      </c>
      <c r="Q44" s="60" t="n">
        <f aca="false">SUM(Q22:Q43)*'Assumption Setting'!$C$181</f>
        <v>3432.74747859412</v>
      </c>
      <c r="R44" s="60" t="n">
        <f aca="false">SUM(R22:R43)*'Assumption Setting'!$C$181</f>
        <v>3435.10487393762</v>
      </c>
      <c r="S44" s="60" t="n">
        <f aca="false">SUM(S22:S43)*'Assumption Setting'!$C$181</f>
        <v>3437.76392694928</v>
      </c>
      <c r="T44" s="60" t="n">
        <f aca="false">SUM(T22:T43)*'Assumption Setting'!$C$181</f>
        <v>3494.54337773294</v>
      </c>
      <c r="U44" s="60" t="n">
        <f aca="false">SUM(U22:U43)*'Assumption Setting'!$C$181</f>
        <v>3479.024439504</v>
      </c>
      <c r="V44" s="60" t="n">
        <f aca="false">SUM(V22:V43)*'Assumption Setting'!$C$181</f>
        <v>3608.23700775952</v>
      </c>
      <c r="W44" s="60" t="n">
        <f aca="false">SUM(W22:W43)*'Assumption Setting'!$C$181</f>
        <v>3574.78900130451</v>
      </c>
      <c r="X44" s="60" t="n">
        <f aca="false">SUM(X22:X43)*'Assumption Setting'!$C$181</f>
        <v>3630.46435938869</v>
      </c>
      <c r="Y44" s="60" t="n">
        <f aca="false">SUM(Y22:Y43)*'Assumption Setting'!$C$181</f>
        <v>3614.91472354371</v>
      </c>
      <c r="Z44" s="60" t="n">
        <f aca="false">SUM(Z22:Z43)*'Assumption Setting'!$C$181</f>
        <v>3617.06110921251</v>
      </c>
      <c r="AA44" s="60" t="n">
        <f aca="false">SUM(AA22:AA43)*'Assumption Setting'!$C$181</f>
        <v>3619.13489523297</v>
      </c>
      <c r="AB44" s="59" t="n">
        <f aca="false">SUM(AC44:AN44)</f>
        <v>65783.0765936643</v>
      </c>
      <c r="AC44" s="60" t="n">
        <f aca="false">SUM(AC22:AC43)*'Assumption Setting'!$C$181</f>
        <v>5511.30824021733</v>
      </c>
      <c r="AD44" s="60" t="n">
        <f aca="false">SUM(AD22:AD43)*'Assumption Setting'!$C$181</f>
        <v>5268.37411245331</v>
      </c>
      <c r="AE44" s="60" t="n">
        <f aca="false">SUM(AE22:AE43)*'Assumption Setting'!$C$181</f>
        <v>5280.39049798417</v>
      </c>
      <c r="AF44" s="60" t="n">
        <f aca="false">SUM(AF22:AF43)*'Assumption Setting'!$C$181</f>
        <v>5350.49436690883</v>
      </c>
      <c r="AG44" s="60" t="n">
        <f aca="false">SUM(AG22:AG43)*'Assumption Setting'!$C$181</f>
        <v>5415.15507841522</v>
      </c>
      <c r="AH44" s="60" t="n">
        <f aca="false">SUM(AH22:AH43)*'Assumption Setting'!$C$181</f>
        <v>5408.20015159537</v>
      </c>
      <c r="AI44" s="60" t="n">
        <f aca="false">SUM(AI22:AI43)*'Assumption Setting'!$C$181</f>
        <v>5534.4501918335</v>
      </c>
      <c r="AJ44" s="60" t="n">
        <f aca="false">SUM(AJ22:AJ43)*'Assumption Setting'!$C$181</f>
        <v>5508.39833780056</v>
      </c>
      <c r="AK44" s="60" t="n">
        <f aca="false">SUM(AK22:AK43)*'Assumption Setting'!$C$181</f>
        <v>5590.59025154522</v>
      </c>
      <c r="AL44" s="60" t="n">
        <f aca="false">SUM(AL22:AL43)*'Assumption Setting'!$C$181</f>
        <v>5639.78094758169</v>
      </c>
      <c r="AM44" s="60" t="n">
        <f aca="false">SUM(AM22:AM43)*'Assumption Setting'!$C$181</f>
        <v>5632.38683851663</v>
      </c>
      <c r="AN44" s="60" t="n">
        <f aca="false">SUM(AN22:AN43)*'Assumption Setting'!$C$181</f>
        <v>5643.5475788125</v>
      </c>
      <c r="AO44" s="59" t="n">
        <f aca="false">SUM(AP44:BA44)</f>
        <v>93976.4120993705</v>
      </c>
      <c r="AP44" s="60" t="n">
        <f aca="false">SUM(AP22:AP43)*'Assumption Setting'!$C$181</f>
        <v>7641.49799349543</v>
      </c>
      <c r="AQ44" s="60" t="n">
        <f aca="false">SUM(AQ22:AQ43)*'Assumption Setting'!$C$181</f>
        <v>7478.91106319261</v>
      </c>
      <c r="AR44" s="60" t="n">
        <f aca="false">SUM(AR22:AR43)*'Assumption Setting'!$C$181</f>
        <v>7558.04734503945</v>
      </c>
      <c r="AS44" s="60" t="n">
        <f aca="false">SUM(AS22:AS43)*'Assumption Setting'!$C$181</f>
        <v>7622.05557765184</v>
      </c>
      <c r="AT44" s="60" t="n">
        <f aca="false">SUM(AT22:AT43)*'Assumption Setting'!$C$181</f>
        <v>7700.76515430503</v>
      </c>
      <c r="AU44" s="60" t="n">
        <f aca="false">SUM(AU22:AU43)*'Assumption Setting'!$C$181</f>
        <v>7764.08987257133</v>
      </c>
      <c r="AV44" s="60" t="n">
        <f aca="false">SUM(AV22:AV43)*'Assumption Setting'!$C$181</f>
        <v>7887.54819755757</v>
      </c>
      <c r="AW44" s="60" t="n">
        <f aca="false">SUM(AW22:AW43)*'Assumption Setting'!$C$181</f>
        <v>7944.73840685978</v>
      </c>
      <c r="AX44" s="60" t="n">
        <f aca="false">SUM(AX22:AX43)*'Assumption Setting'!$C$181</f>
        <v>8006.72726983766</v>
      </c>
      <c r="AY44" s="60" t="n">
        <f aca="false">SUM(AY22:AY43)*'Assumption Setting'!$C$181</f>
        <v>8082.90759030076</v>
      </c>
      <c r="AZ44" s="60" t="n">
        <f aca="false">SUM(AZ22:AZ43)*'Assumption Setting'!$C$181</f>
        <v>8143.97531903884</v>
      </c>
      <c r="BA44" s="60" t="n">
        <f aca="false">SUM(BA22:BA43)*'Assumption Setting'!$C$181</f>
        <v>8145.14830952016</v>
      </c>
      <c r="BB44" s="59" t="n">
        <f aca="false">SUM(BC44:BN44)</f>
        <v>130796.57858319</v>
      </c>
      <c r="BC44" s="60" t="n">
        <f aca="false">SUM(BC22:BC43)*'Assumption Setting'!$C$181</f>
        <v>10535.2885366285</v>
      </c>
      <c r="BD44" s="60" t="n">
        <f aca="false">SUM(BD22:BD43)*'Assumption Setting'!$C$181</f>
        <v>10418.7512726447</v>
      </c>
      <c r="BE44" s="60" t="n">
        <f aca="false">SUM(BE22:BE43)*'Assumption Setting'!$C$181</f>
        <v>10548.4515556613</v>
      </c>
      <c r="BF44" s="60" t="n">
        <f aca="false">SUM(BF22:BF43)*'Assumption Setting'!$C$181</f>
        <v>10532.369398743</v>
      </c>
      <c r="BG44" s="60" t="n">
        <f aca="false">SUM(BG22:BG43)*'Assumption Setting'!$C$181</f>
        <v>10704.1588113897</v>
      </c>
      <c r="BH44" s="60" t="n">
        <f aca="false">SUM(BH22:BH43)*'Assumption Setting'!$C$181</f>
        <v>10832.2062636944</v>
      </c>
      <c r="BI44" s="60" t="n">
        <f aca="false">SUM(BI22:BI43)*'Assumption Setting'!$C$181</f>
        <v>11023.4062334793</v>
      </c>
      <c r="BJ44" s="60" t="n">
        <f aca="false">SUM(BJ22:BJ43)*'Assumption Setting'!$C$181</f>
        <v>10985.2624461112</v>
      </c>
      <c r="BK44" s="60" t="n">
        <f aca="false">SUM(BK22:BK43)*'Assumption Setting'!$C$181</f>
        <v>11153.0861866345</v>
      </c>
      <c r="BL44" s="60" t="n">
        <f aca="false">SUM(BL22:BL43)*'Assumption Setting'!$C$181</f>
        <v>11277.9301822775</v>
      </c>
      <c r="BM44" s="60" t="n">
        <f aca="false">SUM(BM22:BM43)*'Assumption Setting'!$C$181</f>
        <v>11401.8883516489</v>
      </c>
      <c r="BN44" s="60" t="n">
        <f aca="false">SUM(BN22:BN43)*'Assumption Setting'!$C$181</f>
        <v>11383.7793442772</v>
      </c>
    </row>
    <row r="45" customFormat="false" ht="15" hidden="false" customHeight="false" outlineLevel="0" collapsed="false">
      <c r="A45" s="13" t="s">
        <v>945</v>
      </c>
      <c r="B45" s="59" t="n">
        <f aca="false">SUM(C45:N45)</f>
        <v>455987.380277787</v>
      </c>
      <c r="C45" s="61" t="n">
        <f aca="false">SUM(C22:C44)</f>
        <v>44885.9933009709</v>
      </c>
      <c r="D45" s="61" t="n">
        <f aca="false">SUM(D22:D44)</f>
        <v>37551.9892276475</v>
      </c>
      <c r="E45" s="61" t="n">
        <f aca="false">SUM(E22:E44)</f>
        <v>37511.7924571814</v>
      </c>
      <c r="F45" s="61" t="n">
        <f aca="false">SUM(F22:F44)</f>
        <v>37480.1773009841</v>
      </c>
      <c r="G45" s="61" t="n">
        <f aca="false">SUM(G22:G44)</f>
        <v>37445.0444663372</v>
      </c>
      <c r="H45" s="61" t="n">
        <f aca="false">SUM(H22:H44)</f>
        <v>37409.7969771066</v>
      </c>
      <c r="I45" s="61" t="n">
        <f aca="false">SUM(I22:I44)</f>
        <v>37374.3516054727</v>
      </c>
      <c r="J45" s="61" t="n">
        <f aca="false">SUM(J22:J44)</f>
        <v>37338.632659792</v>
      </c>
      <c r="K45" s="61" t="n">
        <f aca="false">SUM(K22:K44)</f>
        <v>37302.5714933434</v>
      </c>
      <c r="L45" s="61" t="n">
        <f aca="false">SUM(L22:L44)</f>
        <v>37266.1060420376</v>
      </c>
      <c r="M45" s="61" t="n">
        <f aca="false">SUM(M22:M44)</f>
        <v>37229.1803894313</v>
      </c>
      <c r="N45" s="61" t="n">
        <f aca="false">SUM(N22:N44)</f>
        <v>37191.7443574822</v>
      </c>
      <c r="O45" s="59" t="n">
        <f aca="false">SUM(P45:AA45)</f>
        <v>752322.382306282</v>
      </c>
      <c r="P45" s="61" t="n">
        <f aca="false">SUM(P22:P44)</f>
        <v>64315.5105604577</v>
      </c>
      <c r="Q45" s="61" t="n">
        <f aca="false">SUM(Q22:Q44)</f>
        <v>60645.2054551628</v>
      </c>
      <c r="R45" s="61" t="n">
        <f aca="false">SUM(R22:R44)</f>
        <v>60686.852772898</v>
      </c>
      <c r="S45" s="61" t="n">
        <f aca="false">SUM(S22:S44)</f>
        <v>60733.829376104</v>
      </c>
      <c r="T45" s="61" t="n">
        <f aca="false">SUM(T22:T44)</f>
        <v>61736.9330066153</v>
      </c>
      <c r="U45" s="61" t="n">
        <f aca="false">SUM(U22:U44)</f>
        <v>61462.7650979041</v>
      </c>
      <c r="V45" s="61" t="n">
        <f aca="false">SUM(V22:V44)</f>
        <v>63745.5204704182</v>
      </c>
      <c r="W45" s="61" t="n">
        <f aca="false">SUM(W22:W44)</f>
        <v>63154.6056897129</v>
      </c>
      <c r="X45" s="61" t="n">
        <f aca="false">SUM(X22:X44)</f>
        <v>64138.2036825336</v>
      </c>
      <c r="Y45" s="61" t="n">
        <f aca="false">SUM(Y22:Y44)</f>
        <v>63863.4934492722</v>
      </c>
      <c r="Z45" s="61" t="n">
        <f aca="false">SUM(Z22:Z44)</f>
        <v>63901.412929421</v>
      </c>
      <c r="AA45" s="61" t="n">
        <f aca="false">SUM(AA22:AA44)</f>
        <v>63938.0498157825</v>
      </c>
      <c r="AB45" s="59" t="n">
        <f aca="false">SUM(AC45:AN45)</f>
        <v>1162167.68648807</v>
      </c>
      <c r="AC45" s="61" t="n">
        <f aca="false">SUM(AC22:AC44)</f>
        <v>97366.4455771728</v>
      </c>
      <c r="AD45" s="61" t="n">
        <f aca="false">SUM(AD22:AD44)</f>
        <v>93074.6093200085</v>
      </c>
      <c r="AE45" s="61" t="n">
        <f aca="false">SUM(AE22:AE44)</f>
        <v>93286.8987977204</v>
      </c>
      <c r="AF45" s="61" t="n">
        <f aca="false">SUM(AF22:AF44)</f>
        <v>94525.400482056</v>
      </c>
      <c r="AG45" s="61" t="n">
        <f aca="false">SUM(AG22:AG44)</f>
        <v>95667.7397186689</v>
      </c>
      <c r="AH45" s="61" t="n">
        <f aca="false">SUM(AH22:AH44)</f>
        <v>95544.8693448515</v>
      </c>
      <c r="AI45" s="61" t="n">
        <f aca="false">SUM(AI22:AI44)</f>
        <v>97775.2867223919</v>
      </c>
      <c r="AJ45" s="61" t="n">
        <f aca="false">SUM(AJ22:AJ44)</f>
        <v>97315.0373011433</v>
      </c>
      <c r="AK45" s="61" t="n">
        <f aca="false">SUM(AK22:AK44)</f>
        <v>98767.0944439655</v>
      </c>
      <c r="AL45" s="61" t="n">
        <f aca="false">SUM(AL22:AL44)</f>
        <v>99636.1300739431</v>
      </c>
      <c r="AM45" s="61" t="n">
        <f aca="false">SUM(AM22:AM44)</f>
        <v>99505.5008137938</v>
      </c>
      <c r="AN45" s="61" t="n">
        <f aca="false">SUM(AN22:AN44)</f>
        <v>99702.6738923542</v>
      </c>
      <c r="AO45" s="59" t="n">
        <f aca="false">SUM(AP45:BA45)</f>
        <v>1660249.94708888</v>
      </c>
      <c r="AP45" s="61" t="n">
        <f aca="false">SUM(AP22:AP44)</f>
        <v>134999.797885086</v>
      </c>
      <c r="AQ45" s="61" t="n">
        <f aca="false">SUM(AQ22:AQ44)</f>
        <v>132127.428783069</v>
      </c>
      <c r="AR45" s="61" t="n">
        <f aca="false">SUM(AR22:AR44)</f>
        <v>133525.503095697</v>
      </c>
      <c r="AS45" s="61" t="n">
        <f aca="false">SUM(AS22:AS44)</f>
        <v>134656.315205182</v>
      </c>
      <c r="AT45" s="61" t="n">
        <f aca="false">SUM(AT22:AT44)</f>
        <v>136046.851059389</v>
      </c>
      <c r="AU45" s="61" t="n">
        <f aca="false">SUM(AU22:AU44)</f>
        <v>137165.58774876</v>
      </c>
      <c r="AV45" s="61" t="n">
        <f aca="false">SUM(AV22:AV44)</f>
        <v>139346.684823517</v>
      </c>
      <c r="AW45" s="61" t="n">
        <f aca="false">SUM(AW22:AW44)</f>
        <v>140357.045187856</v>
      </c>
      <c r="AX45" s="61" t="n">
        <f aca="false">SUM(AX22:AX44)</f>
        <v>141452.181767132</v>
      </c>
      <c r="AY45" s="61" t="n">
        <f aca="false">SUM(AY22:AY44)</f>
        <v>142798.034095313</v>
      </c>
      <c r="AZ45" s="61" t="n">
        <f aca="false">SUM(AZ22:AZ44)</f>
        <v>143876.897303019</v>
      </c>
      <c r="BA45" s="61" t="n">
        <f aca="false">SUM(BA22:BA44)</f>
        <v>143897.620134856</v>
      </c>
      <c r="BB45" s="59" t="n">
        <f aca="false">SUM(BC45:BN45)</f>
        <v>2310739.55496969</v>
      </c>
      <c r="BC45" s="61" t="n">
        <f aca="false">SUM(BC22:BC44)</f>
        <v>186123.430813771</v>
      </c>
      <c r="BD45" s="61" t="n">
        <f aca="false">SUM(BD22:BD44)</f>
        <v>184064.605816724</v>
      </c>
      <c r="BE45" s="61" t="n">
        <f aca="false">SUM(BE22:BE44)</f>
        <v>186355.97748335</v>
      </c>
      <c r="BF45" s="61" t="n">
        <f aca="false">SUM(BF22:BF44)</f>
        <v>186071.859377794</v>
      </c>
      <c r="BG45" s="61" t="n">
        <f aca="false">SUM(BG22:BG44)</f>
        <v>189106.805667884</v>
      </c>
      <c r="BH45" s="61" t="n">
        <f aca="false">SUM(BH22:BH44)</f>
        <v>191368.977325268</v>
      </c>
      <c r="BI45" s="61" t="n">
        <f aca="false">SUM(BI22:BI44)</f>
        <v>194746.843458135</v>
      </c>
      <c r="BJ45" s="61" t="n">
        <f aca="false">SUM(BJ22:BJ44)</f>
        <v>194072.969881298</v>
      </c>
      <c r="BK45" s="61" t="n">
        <f aca="false">SUM(BK22:BK44)</f>
        <v>197037.855963876</v>
      </c>
      <c r="BL45" s="61" t="n">
        <f aca="false">SUM(BL22:BL44)</f>
        <v>199243.433220235</v>
      </c>
      <c r="BM45" s="61" t="n">
        <f aca="false">SUM(BM22:BM44)</f>
        <v>201433.36087913</v>
      </c>
      <c r="BN45" s="61" t="n">
        <f aca="false">SUM(BN22:BN44)</f>
        <v>201113.43508223</v>
      </c>
    </row>
    <row r="46" customFormat="false" ht="15" hidden="false" customHeight="false" outlineLevel="0" collapsed="false">
      <c r="A46" s="4" t="s">
        <v>946</v>
      </c>
      <c r="B46" s="59" t="n">
        <f aca="false">SUM(C46:N46)</f>
        <v>25401.4392748638</v>
      </c>
      <c r="C46" s="63" t="n">
        <f aca="false">'Depreciation and Amortization'!C14</f>
        <v>2081.17583603021</v>
      </c>
      <c r="D46" s="63" t="n">
        <f aca="false">'Depreciation and Amortization'!D14</f>
        <v>2081.17583603021</v>
      </c>
      <c r="E46" s="63" t="n">
        <f aca="false">'Depreciation and Amortization'!E14</f>
        <v>2123.90876028034</v>
      </c>
      <c r="F46" s="63" t="n">
        <f aca="false">'Depreciation and Amortization'!F14</f>
        <v>2123.90876028034</v>
      </c>
      <c r="G46" s="63" t="n">
        <f aca="false">'Depreciation and Amortization'!G14</f>
        <v>2123.90876028034</v>
      </c>
      <c r="H46" s="63" t="n">
        <f aca="false">'Depreciation and Amortization'!H14</f>
        <v>2123.90876028034</v>
      </c>
      <c r="I46" s="63" t="n">
        <f aca="false">'Depreciation and Amortization'!I14</f>
        <v>2123.90876028034</v>
      </c>
      <c r="J46" s="63" t="n">
        <f aca="false">'Depreciation and Amortization'!J14</f>
        <v>2123.90876028034</v>
      </c>
      <c r="K46" s="63" t="n">
        <f aca="false">'Depreciation and Amortization'!K14</f>
        <v>2123.90876028034</v>
      </c>
      <c r="L46" s="63" t="n">
        <f aca="false">'Depreciation and Amortization'!L14</f>
        <v>2123.90876028034</v>
      </c>
      <c r="M46" s="63" t="n">
        <f aca="false">'Depreciation and Amortization'!M14</f>
        <v>2123.90876028034</v>
      </c>
      <c r="N46" s="63" t="n">
        <f aca="false">'Depreciation and Amortization'!N14</f>
        <v>2123.90876028034</v>
      </c>
      <c r="O46" s="59" t="n">
        <f aca="false">SUM(P46:AA46)</f>
        <v>30819.2286130826</v>
      </c>
      <c r="P46" s="63" t="n">
        <f aca="false">'Depreciation and Amortization'!P14</f>
        <v>2491.09037677502</v>
      </c>
      <c r="Q46" s="63" t="n">
        <f aca="false">'Depreciation and Amortization'!Q14</f>
        <v>2491.09037677502</v>
      </c>
      <c r="R46" s="63" t="n">
        <f aca="false">'Depreciation and Amortization'!R14</f>
        <v>2491.09037677502</v>
      </c>
      <c r="S46" s="63" t="n">
        <f aca="false">'Depreciation and Amortization'!S14</f>
        <v>2527.19729605281</v>
      </c>
      <c r="T46" s="63" t="n">
        <f aca="false">'Depreciation and Amortization'!T14</f>
        <v>2552.44952006797</v>
      </c>
      <c r="U46" s="63" t="n">
        <f aca="false">'Depreciation and Amortization'!U14</f>
        <v>2552.44952006797</v>
      </c>
      <c r="V46" s="63" t="n">
        <f aca="false">'Depreciation and Amortization'!V14</f>
        <v>2602.465868845</v>
      </c>
      <c r="W46" s="63" t="n">
        <f aca="false">'Depreciation and Amortization'!W14</f>
        <v>2602.465868845</v>
      </c>
      <c r="X46" s="63" t="n">
        <f aca="false">'Depreciation and Amortization'!X14</f>
        <v>2627.23235221971</v>
      </c>
      <c r="Y46" s="63" t="n">
        <f aca="false">'Depreciation and Amortization'!Y14</f>
        <v>2627.23235221971</v>
      </c>
      <c r="Z46" s="63" t="n">
        <f aca="false">'Depreciation and Amortization'!Z14</f>
        <v>2627.23235221971</v>
      </c>
      <c r="AA46" s="63" t="n">
        <f aca="false">'Depreciation and Amortization'!AA14</f>
        <v>2627.23235221971</v>
      </c>
      <c r="AB46" s="59" t="n">
        <f aca="false">SUM(AC46:AN46)</f>
        <v>37448.3798662964</v>
      </c>
      <c r="AC46" s="63" t="n">
        <f aca="false">'Depreciation and Amortization'!AC14</f>
        <v>3049.66863442712</v>
      </c>
      <c r="AD46" s="63" t="n">
        <f aca="false">'Depreciation and Amortization'!AD14</f>
        <v>3049.66863442712</v>
      </c>
      <c r="AE46" s="63" t="n">
        <f aca="false">'Depreciation and Amortization'!AE14</f>
        <v>3049.66863442712</v>
      </c>
      <c r="AF46" s="63" t="n">
        <f aca="false">'Depreciation and Amortization'!AF14</f>
        <v>3073.60744621245</v>
      </c>
      <c r="AG46" s="63" t="n">
        <f aca="false">'Depreciation and Amortization'!AG14</f>
        <v>3097.43029905694</v>
      </c>
      <c r="AH46" s="63" t="n">
        <f aca="false">'Depreciation and Amortization'!AH14</f>
        <v>3097.43029905694</v>
      </c>
      <c r="AI46" s="63" t="n">
        <f aca="false">'Depreciation and Amortization'!AI14</f>
        <v>3144.61553375225</v>
      </c>
      <c r="AJ46" s="63" t="n">
        <f aca="false">'Depreciation and Amortization'!AJ14</f>
        <v>3144.61553375225</v>
      </c>
      <c r="AK46" s="63" t="n">
        <f aca="false">'Depreciation and Amortization'!AK14</f>
        <v>3167.98014070952</v>
      </c>
      <c r="AL46" s="63" t="n">
        <f aca="false">'Depreciation and Amortization'!AL14</f>
        <v>3191.23157015824</v>
      </c>
      <c r="AM46" s="63" t="n">
        <f aca="false">'Depreciation and Amortization'!AM14</f>
        <v>3191.23157015824</v>
      </c>
      <c r="AN46" s="63" t="n">
        <f aca="false">'Depreciation and Amortization'!AN14</f>
        <v>3191.23157015824</v>
      </c>
      <c r="AO46" s="59" t="n">
        <f aca="false">SUM(AP46:BA46)</f>
        <v>32750.708054406</v>
      </c>
      <c r="AP46" s="63" t="n">
        <f aca="false">'Depreciation and Amortization'!AP14</f>
        <v>2632.09841042376</v>
      </c>
      <c r="AQ46" s="63" t="n">
        <f aca="false">'Depreciation and Amortization'!AQ14</f>
        <v>2654.9025856336</v>
      </c>
      <c r="AR46" s="63" t="n">
        <f aca="false">'Depreciation and Amortization'!AR14</f>
        <v>2634.86337380061</v>
      </c>
      <c r="AS46" s="63" t="n">
        <f aca="false">'Depreciation and Amortization'!AS14</f>
        <v>2657.44715850375</v>
      </c>
      <c r="AT46" s="63" t="n">
        <f aca="false">'Depreciation and Amortization'!AT14</f>
        <v>2679.92154797969</v>
      </c>
      <c r="AU46" s="63" t="n">
        <f aca="false">'Depreciation and Amortization'!AU14</f>
        <v>2702.28707213588</v>
      </c>
      <c r="AV46" s="63" t="n">
        <f aca="false">'Depreciation and Amortization'!AV14</f>
        <v>2746.80144448994</v>
      </c>
      <c r="AW46" s="63" t="n">
        <f aca="false">'Depreciation and Amortization'!AW14</f>
        <v>2768.95081747398</v>
      </c>
      <c r="AX46" s="63" t="n">
        <f aca="false">'Depreciation and Amortization'!AX14</f>
        <v>2790.99289950914</v>
      </c>
      <c r="AY46" s="63" t="n">
        <f aca="false">'Depreciation and Amortization'!AY14</f>
        <v>2812.92821030982</v>
      </c>
      <c r="AZ46" s="63" t="n">
        <f aca="false">'Depreciation and Amortization'!AZ14</f>
        <v>2834.75726707291</v>
      </c>
      <c r="BA46" s="63" t="n">
        <f aca="false">'Depreciation and Amortization'!BA14</f>
        <v>2834.75726707291</v>
      </c>
      <c r="BB46" s="59" t="n">
        <f aca="false">SUM(BC46:BN46)</f>
        <v>35226.7498718484</v>
      </c>
      <c r="BC46" s="63" t="n">
        <f aca="false">'Depreciation and Amortization'!BC14</f>
        <v>2795.08174681236</v>
      </c>
      <c r="BD46" s="63" t="n">
        <f aca="false">'Depreciation and Amortization'!BD14</f>
        <v>2838.10849249131</v>
      </c>
      <c r="BE46" s="63" t="n">
        <f aca="false">'Depreciation and Amortization'!BE14</f>
        <v>2880.92681780667</v>
      </c>
      <c r="BF46" s="63" t="n">
        <f aca="false">'Depreciation and Amortization'!BF14</f>
        <v>2880.92681780667</v>
      </c>
      <c r="BG46" s="63" t="n">
        <f aca="false">'Depreciation and Amortization'!BG14</f>
        <v>2898.07910223667</v>
      </c>
      <c r="BH46" s="63" t="n">
        <f aca="false">'Depreciation and Amortization'!BH14</f>
        <v>2940.27820441816</v>
      </c>
      <c r="BI46" s="63" t="n">
        <f aca="false">'Depreciation and Amortization'!BI14</f>
        <v>2953.25389199122</v>
      </c>
      <c r="BJ46" s="63" t="n">
        <f aca="false">'Depreciation and Amortization'!BJ14</f>
        <v>2953.25389199122</v>
      </c>
      <c r="BK46" s="63" t="n">
        <f aca="false">'Depreciation and Amortization'!BK14</f>
        <v>2970.07624264513</v>
      </c>
      <c r="BL46" s="63" t="n">
        <f aca="false">'Depreciation and Amortization'!BL14</f>
        <v>3011.46362151433</v>
      </c>
      <c r="BM46" s="63" t="n">
        <f aca="false">'Depreciation and Amortization'!BM14</f>
        <v>3052.65052106734</v>
      </c>
      <c r="BN46" s="63" t="n">
        <f aca="false">'Depreciation and Amortization'!BN14</f>
        <v>3052.65052106734</v>
      </c>
    </row>
    <row r="47" customFormat="false" ht="15" hidden="false" customHeight="false" outlineLevel="0" collapsed="false">
      <c r="A47" s="13" t="s">
        <v>947</v>
      </c>
      <c r="B47" s="59" t="n">
        <f aca="false">SUM(C47:N47)</f>
        <v>481388.819552651</v>
      </c>
      <c r="C47" s="61" t="n">
        <f aca="false">C45+C46</f>
        <v>46967.1691370011</v>
      </c>
      <c r="D47" s="61" t="n">
        <f aca="false">D45+D46</f>
        <v>39633.1650636777</v>
      </c>
      <c r="E47" s="61" t="n">
        <f aca="false">E45+E46</f>
        <v>39635.7012174617</v>
      </c>
      <c r="F47" s="61" t="n">
        <f aca="false">F45+F46</f>
        <v>39604.0860612645</v>
      </c>
      <c r="G47" s="61" t="n">
        <f aca="false">G45+G46</f>
        <v>39568.9532266175</v>
      </c>
      <c r="H47" s="61" t="n">
        <f aca="false">H45+H46</f>
        <v>39533.705737387</v>
      </c>
      <c r="I47" s="61" t="n">
        <f aca="false">I45+I46</f>
        <v>39498.2603657531</v>
      </c>
      <c r="J47" s="61" t="n">
        <f aca="false">J45+J46</f>
        <v>39462.5414200723</v>
      </c>
      <c r="K47" s="61" t="n">
        <f aca="false">K45+K46</f>
        <v>39426.4802536237</v>
      </c>
      <c r="L47" s="61" t="n">
        <f aca="false">L45+L46</f>
        <v>39390.014802318</v>
      </c>
      <c r="M47" s="61" t="n">
        <f aca="false">M45+M46</f>
        <v>39353.0891497116</v>
      </c>
      <c r="N47" s="61" t="n">
        <f aca="false">N45+N46</f>
        <v>39315.6531177626</v>
      </c>
      <c r="O47" s="59" t="n">
        <f aca="false">SUM(P47:AA47)</f>
        <v>783141.610919365</v>
      </c>
      <c r="P47" s="61" t="n">
        <f aca="false">P45+P46</f>
        <v>66806.6009372327</v>
      </c>
      <c r="Q47" s="61" t="n">
        <f aca="false">Q45+Q46</f>
        <v>63136.2958319378</v>
      </c>
      <c r="R47" s="61" t="n">
        <f aca="false">R45+R46</f>
        <v>63177.943149673</v>
      </c>
      <c r="S47" s="61" t="n">
        <f aca="false">S45+S46</f>
        <v>63261.0266721568</v>
      </c>
      <c r="T47" s="61" t="n">
        <f aca="false">T45+T46</f>
        <v>64289.3825266833</v>
      </c>
      <c r="U47" s="61" t="n">
        <f aca="false">U45+U46</f>
        <v>64015.214617972</v>
      </c>
      <c r="V47" s="61" t="n">
        <f aca="false">V45+V46</f>
        <v>66347.9863392632</v>
      </c>
      <c r="W47" s="61" t="n">
        <f aca="false">W45+W46</f>
        <v>65757.071558558</v>
      </c>
      <c r="X47" s="61" t="n">
        <f aca="false">X45+X46</f>
        <v>66765.4360347533</v>
      </c>
      <c r="Y47" s="61" t="n">
        <f aca="false">Y45+Y46</f>
        <v>66490.7258014919</v>
      </c>
      <c r="Z47" s="61" t="n">
        <f aca="false">Z45+Z46</f>
        <v>66528.6452816407</v>
      </c>
      <c r="AA47" s="61" t="n">
        <f aca="false">AA45+AA46</f>
        <v>66565.2821680023</v>
      </c>
      <c r="AB47" s="59" t="n">
        <f aca="false">SUM(AC47:AN47)</f>
        <v>1199616.06635437</v>
      </c>
      <c r="AC47" s="61" t="n">
        <f aca="false">AC45+AC46</f>
        <v>100416.1142116</v>
      </c>
      <c r="AD47" s="61" t="n">
        <f aca="false">AD45+AD46</f>
        <v>96124.2779544356</v>
      </c>
      <c r="AE47" s="61" t="n">
        <f aca="false">AE45+AE46</f>
        <v>96336.5674321475</v>
      </c>
      <c r="AF47" s="61" t="n">
        <f aca="false">AF45+AF46</f>
        <v>97599.0079282684</v>
      </c>
      <c r="AG47" s="61" t="n">
        <f aca="false">AG45+AG46</f>
        <v>98765.1700177258</v>
      </c>
      <c r="AH47" s="61" t="n">
        <f aca="false">AH45+AH46</f>
        <v>98642.2996439085</v>
      </c>
      <c r="AI47" s="61" t="n">
        <f aca="false">AI45+AI46</f>
        <v>100919.902256144</v>
      </c>
      <c r="AJ47" s="61" t="n">
        <f aca="false">AJ45+AJ46</f>
        <v>100459.652834896</v>
      </c>
      <c r="AK47" s="61" t="n">
        <f aca="false">AK45+AK46</f>
        <v>101935.074584675</v>
      </c>
      <c r="AL47" s="61" t="n">
        <f aca="false">AL45+AL46</f>
        <v>102827.361644101</v>
      </c>
      <c r="AM47" s="61" t="n">
        <f aca="false">AM45+AM46</f>
        <v>102696.732383952</v>
      </c>
      <c r="AN47" s="61" t="n">
        <f aca="false">AN45+AN46</f>
        <v>102893.905462512</v>
      </c>
      <c r="AO47" s="59" t="n">
        <f aca="false">SUM(AP47:BA47)</f>
        <v>1693000.65514328</v>
      </c>
      <c r="AP47" s="61" t="n">
        <f aca="false">AP45+AP46</f>
        <v>137631.89629551</v>
      </c>
      <c r="AQ47" s="61" t="n">
        <f aca="false">AQ45+AQ46</f>
        <v>134782.331368703</v>
      </c>
      <c r="AR47" s="61" t="n">
        <f aca="false">AR45+AR46</f>
        <v>136160.366469498</v>
      </c>
      <c r="AS47" s="61" t="n">
        <f aca="false">AS45+AS46</f>
        <v>137313.762363686</v>
      </c>
      <c r="AT47" s="61" t="n">
        <f aca="false">AT45+AT46</f>
        <v>138726.772607369</v>
      </c>
      <c r="AU47" s="61" t="n">
        <f aca="false">AU45+AU46</f>
        <v>139867.874820896</v>
      </c>
      <c r="AV47" s="61" t="n">
        <f aca="false">AV45+AV46</f>
        <v>142093.486268007</v>
      </c>
      <c r="AW47" s="61" t="n">
        <f aca="false">AW45+AW46</f>
        <v>143125.99600533</v>
      </c>
      <c r="AX47" s="61" t="n">
        <f aca="false">AX45+AX46</f>
        <v>144243.174666641</v>
      </c>
      <c r="AY47" s="61" t="n">
        <f aca="false">AY45+AY46</f>
        <v>145610.962305623</v>
      </c>
      <c r="AZ47" s="61" t="n">
        <f aca="false">AZ45+AZ46</f>
        <v>146711.654570092</v>
      </c>
      <c r="BA47" s="61" t="n">
        <f aca="false">BA45+BA46</f>
        <v>146732.377401929</v>
      </c>
      <c r="BB47" s="59" t="n">
        <f aca="false">SUM(BC47:BN47)</f>
        <v>2345966.30484154</v>
      </c>
      <c r="BC47" s="61" t="n">
        <f aca="false">BC45+BC46</f>
        <v>188918.512560583</v>
      </c>
      <c r="BD47" s="61" t="n">
        <f aca="false">BD45+BD46</f>
        <v>186902.714309215</v>
      </c>
      <c r="BE47" s="61" t="n">
        <f aca="false">BE45+BE46</f>
        <v>189236.904301157</v>
      </c>
      <c r="BF47" s="61" t="n">
        <f aca="false">BF45+BF46</f>
        <v>188952.7861956</v>
      </c>
      <c r="BG47" s="61" t="n">
        <f aca="false">BG45+BG46</f>
        <v>192004.884770121</v>
      </c>
      <c r="BH47" s="61" t="n">
        <f aca="false">BH45+BH46</f>
        <v>194309.255529686</v>
      </c>
      <c r="BI47" s="61" t="n">
        <f aca="false">BI45+BI46</f>
        <v>197700.097350126</v>
      </c>
      <c r="BJ47" s="61" t="n">
        <f aca="false">BJ45+BJ46</f>
        <v>197026.223773289</v>
      </c>
      <c r="BK47" s="61" t="n">
        <f aca="false">BK45+BK46</f>
        <v>200007.932206521</v>
      </c>
      <c r="BL47" s="61" t="n">
        <f aca="false">BL45+BL46</f>
        <v>202254.89684175</v>
      </c>
      <c r="BM47" s="61" t="n">
        <f aca="false">BM45+BM46</f>
        <v>204486.011400197</v>
      </c>
      <c r="BN47" s="61" t="n">
        <f aca="false">BN45+BN46</f>
        <v>204166.085603298</v>
      </c>
    </row>
    <row r="49" customFormat="false" ht="15" hidden="false" customHeight="false" outlineLevel="0" collapsed="false">
      <c r="A49" s="9" t="s">
        <v>948</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row>
    <row r="50" customFormat="false" ht="15" hidden="false" customHeight="false" outlineLevel="0" collapsed="false">
      <c r="A50" s="56" t="s">
        <v>632</v>
      </c>
      <c r="B50" s="57" t="s">
        <v>87</v>
      </c>
      <c r="C50" s="58" t="s">
        <v>562</v>
      </c>
      <c r="D50" s="58" t="s">
        <v>563</v>
      </c>
      <c r="E50" s="58" t="s">
        <v>564</v>
      </c>
      <c r="F50" s="58" t="s">
        <v>565</v>
      </c>
      <c r="G50" s="58" t="s">
        <v>566</v>
      </c>
      <c r="H50" s="58" t="s">
        <v>567</v>
      </c>
      <c r="I50" s="58" t="s">
        <v>568</v>
      </c>
      <c r="J50" s="58" t="s">
        <v>569</v>
      </c>
      <c r="K50" s="58" t="s">
        <v>570</v>
      </c>
      <c r="L50" s="58" t="s">
        <v>571</v>
      </c>
      <c r="M50" s="58" t="s">
        <v>572</v>
      </c>
      <c r="N50" s="58" t="s">
        <v>573</v>
      </c>
      <c r="O50" s="57" t="s">
        <v>88</v>
      </c>
      <c r="P50" s="58" t="s">
        <v>574</v>
      </c>
      <c r="Q50" s="58" t="s">
        <v>575</v>
      </c>
      <c r="R50" s="58" t="s">
        <v>576</v>
      </c>
      <c r="S50" s="58" t="s">
        <v>577</v>
      </c>
      <c r="T50" s="58" t="s">
        <v>578</v>
      </c>
      <c r="U50" s="58" t="s">
        <v>579</v>
      </c>
      <c r="V50" s="58" t="s">
        <v>580</v>
      </c>
      <c r="W50" s="58" t="s">
        <v>581</v>
      </c>
      <c r="X50" s="58" t="s">
        <v>582</v>
      </c>
      <c r="Y50" s="58" t="s">
        <v>583</v>
      </c>
      <c r="Z50" s="58" t="s">
        <v>584</v>
      </c>
      <c r="AA50" s="58" t="s">
        <v>585</v>
      </c>
      <c r="AB50" s="57" t="s">
        <v>89</v>
      </c>
      <c r="AC50" s="58" t="s">
        <v>586</v>
      </c>
      <c r="AD50" s="58" t="s">
        <v>587</v>
      </c>
      <c r="AE50" s="58" t="s">
        <v>588</v>
      </c>
      <c r="AF50" s="58" t="s">
        <v>589</v>
      </c>
      <c r="AG50" s="58" t="s">
        <v>590</v>
      </c>
      <c r="AH50" s="58" t="s">
        <v>591</v>
      </c>
      <c r="AI50" s="58" t="s">
        <v>592</v>
      </c>
      <c r="AJ50" s="58" t="s">
        <v>593</v>
      </c>
      <c r="AK50" s="58" t="s">
        <v>594</v>
      </c>
      <c r="AL50" s="58" t="s">
        <v>595</v>
      </c>
      <c r="AM50" s="58" t="s">
        <v>596</v>
      </c>
      <c r="AN50" s="58" t="s">
        <v>597</v>
      </c>
      <c r="AO50" s="57" t="s">
        <v>90</v>
      </c>
      <c r="AP50" s="58" t="s">
        <v>598</v>
      </c>
      <c r="AQ50" s="58" t="s">
        <v>599</v>
      </c>
      <c r="AR50" s="58" t="s">
        <v>600</v>
      </c>
      <c r="AS50" s="58" t="s">
        <v>601</v>
      </c>
      <c r="AT50" s="58" t="s">
        <v>602</v>
      </c>
      <c r="AU50" s="58" t="s">
        <v>603</v>
      </c>
      <c r="AV50" s="58" t="s">
        <v>604</v>
      </c>
      <c r="AW50" s="58" t="s">
        <v>605</v>
      </c>
      <c r="AX50" s="58" t="s">
        <v>606</v>
      </c>
      <c r="AY50" s="58" t="s">
        <v>607</v>
      </c>
      <c r="AZ50" s="58" t="s">
        <v>608</v>
      </c>
      <c r="BA50" s="58" t="s">
        <v>609</v>
      </c>
      <c r="BB50" s="57" t="s">
        <v>91</v>
      </c>
      <c r="BC50" s="58" t="s">
        <v>610</v>
      </c>
      <c r="BD50" s="58" t="s">
        <v>611</v>
      </c>
      <c r="BE50" s="58" t="s">
        <v>612</v>
      </c>
      <c r="BF50" s="58" t="s">
        <v>613</v>
      </c>
      <c r="BG50" s="58" t="s">
        <v>614</v>
      </c>
      <c r="BH50" s="58" t="s">
        <v>615</v>
      </c>
      <c r="BI50" s="58" t="s">
        <v>616</v>
      </c>
      <c r="BJ50" s="58" t="s">
        <v>617</v>
      </c>
      <c r="BK50" s="58" t="s">
        <v>618</v>
      </c>
      <c r="BL50" s="58" t="s">
        <v>619</v>
      </c>
      <c r="BM50" s="58" t="s">
        <v>620</v>
      </c>
      <c r="BN50" s="58" t="s">
        <v>621</v>
      </c>
    </row>
    <row r="51" customFormat="false" ht="15" hidden="false" customHeight="false" outlineLevel="0" collapsed="false">
      <c r="A51" s="13" t="s">
        <v>97</v>
      </c>
      <c r="B51" s="59" t="n">
        <f aca="false">SUM(C51:N51)</f>
        <v>497641.262664104</v>
      </c>
      <c r="C51" s="61" t="n">
        <f aca="false">C16+C47</f>
        <v>47006.784594642</v>
      </c>
      <c r="D51" s="61" t="n">
        <f aca="false">D16+D47</f>
        <v>39836.7534407572</v>
      </c>
      <c r="E51" s="61" t="n">
        <f aca="false">E16+E47</f>
        <v>40086.1010823266</v>
      </c>
      <c r="F51" s="61" t="n">
        <f aca="false">F16+F47</f>
        <v>40386.5305739935</v>
      </c>
      <c r="G51" s="61" t="n">
        <f aca="false">G16+G47</f>
        <v>40597.647879011</v>
      </c>
      <c r="H51" s="61" t="n">
        <f aca="false">H16+H47</f>
        <v>40804.6325073183</v>
      </c>
      <c r="I51" s="61" t="n">
        <f aca="false">I16+I47</f>
        <v>41007.3017210554</v>
      </c>
      <c r="J51" s="61" t="n">
        <f aca="false">J16+J47</f>
        <v>41205.4960763868</v>
      </c>
      <c r="K51" s="61" t="n">
        <f aca="false">K16+K47</f>
        <v>41399.0777123691</v>
      </c>
      <c r="L51" s="61" t="n">
        <f aca="false">L16+L47</f>
        <v>41587.9287498919</v>
      </c>
      <c r="M51" s="61" t="n">
        <f aca="false">M16+M47</f>
        <v>41771.9497938916</v>
      </c>
      <c r="N51" s="61" t="n">
        <f aca="false">N16+N47</f>
        <v>41951.0585324611</v>
      </c>
      <c r="O51" s="59" t="n">
        <f aca="false">SUM(P51:AA51)</f>
        <v>863511.074155372</v>
      </c>
      <c r="P51" s="61" t="n">
        <f aca="false">P16+P47</f>
        <v>69911.771256037</v>
      </c>
      <c r="Q51" s="61" t="n">
        <f aca="false">Q16+Q47</f>
        <v>66866.448431053</v>
      </c>
      <c r="R51" s="61" t="n">
        <f aca="false">R16+R47</f>
        <v>67557.4794878706</v>
      </c>
      <c r="S51" s="61" t="n">
        <f aca="false">S16+S47</f>
        <v>68286.4286505069</v>
      </c>
      <c r="T51" s="61" t="n">
        <f aca="false">T16+T47</f>
        <v>69956.1584356797</v>
      </c>
      <c r="U51" s="61" t="n">
        <f aca="false">U16+U47</f>
        <v>70316.2366408778</v>
      </c>
      <c r="V51" s="61" t="n">
        <f aca="false">V16+V47</f>
        <v>73474.7942387204</v>
      </c>
      <c r="W51" s="61" t="n">
        <f aca="false">W16+W47</f>
        <v>73521.8314406223</v>
      </c>
      <c r="X51" s="61" t="n">
        <f aca="false">X16+X47</f>
        <v>75159.8789609253</v>
      </c>
      <c r="Y51" s="61" t="n">
        <f aca="false">Y16+Y47</f>
        <v>75506.3490367007</v>
      </c>
      <c r="Z51" s="61" t="n">
        <f aca="false">Z16+Z47</f>
        <v>76156.7396937194</v>
      </c>
      <c r="AA51" s="61" t="n">
        <f aca="false">AA16+AA47</f>
        <v>76796.957882659</v>
      </c>
      <c r="AB51" s="59" t="n">
        <f aca="false">SUM(AC51:AN51)</f>
        <v>1427515.23354795</v>
      </c>
      <c r="AC51" s="61" t="n">
        <f aca="false">AC16+AC47</f>
        <v>112233.492051142</v>
      </c>
      <c r="AD51" s="61" t="n">
        <f aca="false">AD16+AD47</f>
        <v>109214.140258331</v>
      </c>
      <c r="AE51" s="61" t="n">
        <f aca="false">AE16+AE47</f>
        <v>110766.422112204</v>
      </c>
      <c r="AF51" s="61" t="n">
        <f aca="false">AF16+AF47</f>
        <v>113362.722962693</v>
      </c>
      <c r="AG51" s="61" t="n">
        <f aca="false">AG16+AG47</f>
        <v>115855.130939829</v>
      </c>
      <c r="AH51" s="61" t="n">
        <f aca="false">AH16+AH47</f>
        <v>117046.783085379</v>
      </c>
      <c r="AI51" s="61" t="n">
        <f aca="false">AI16+AI47</f>
        <v>120626.567705918</v>
      </c>
      <c r="AJ51" s="61" t="n">
        <f aca="false">AJ16+AJ47</f>
        <v>121455.594561281</v>
      </c>
      <c r="AK51" s="61" t="n">
        <f aca="false">AK16+AK47</f>
        <v>124206.870710566</v>
      </c>
      <c r="AL51" s="61" t="n">
        <f aca="false">AL16+AL47</f>
        <v>126361.12051532</v>
      </c>
      <c r="AM51" s="61" t="n">
        <f aca="false">AM16+AM47</f>
        <v>127478.136364079</v>
      </c>
      <c r="AN51" s="61" t="n">
        <f aca="false">AN16+AN47</f>
        <v>128908.252281212</v>
      </c>
      <c r="AO51" s="59" t="n">
        <f aca="false">SUM(AP51:BA51)</f>
        <v>2177738.64231882</v>
      </c>
      <c r="AP51" s="61" t="n">
        <f aca="false">AP16+AP47</f>
        <v>166864.931362404</v>
      </c>
      <c r="AQ51" s="61" t="n">
        <f aca="false">AQ16+AQ47</f>
        <v>166013.93320153</v>
      </c>
      <c r="AR51" s="61" t="n">
        <f aca="false">AR16+AR47</f>
        <v>169476.85506159</v>
      </c>
      <c r="AS51" s="61" t="n">
        <f aca="false">AS16+AS47</f>
        <v>172702.332994878</v>
      </c>
      <c r="AT51" s="61" t="n">
        <f aca="false">AT16+AT47</f>
        <v>176173.110114756</v>
      </c>
      <c r="AU51" s="61" t="n">
        <f aca="false">AU16+AU47</f>
        <v>179353.765007149</v>
      </c>
      <c r="AV51" s="61" t="n">
        <f aca="false">AV16+AV47</f>
        <v>183599.941395795</v>
      </c>
      <c r="AW51" s="61" t="n">
        <f aca="false">AW16+AW47</f>
        <v>186633.317000109</v>
      </c>
      <c r="AX51" s="61" t="n">
        <f aca="false">AX16+AX47</f>
        <v>189731.010158031</v>
      </c>
      <c r="AY51" s="61" t="n">
        <f aca="false">AY16+AY47</f>
        <v>193058.364650113</v>
      </c>
      <c r="AZ51" s="61" t="n">
        <f aca="false">AZ16+AZ47</f>
        <v>196097.132991605</v>
      </c>
      <c r="BA51" s="61" t="n">
        <f aca="false">BA16+BA47</f>
        <v>198033.948380856</v>
      </c>
      <c r="BB51" s="59" t="n">
        <f aca="false">SUM(BC51:BN51)</f>
        <v>3189932.94594402</v>
      </c>
      <c r="BC51" s="61" t="n">
        <f aca="false">BC16+BC47</f>
        <v>245457.684464649</v>
      </c>
      <c r="BD51" s="61" t="n">
        <f aca="false">BD16+BD47</f>
        <v>245955.336772546</v>
      </c>
      <c r="BE51" s="61" t="n">
        <f aca="false">BE16+BE47</f>
        <v>250857.593921278</v>
      </c>
      <c r="BF51" s="61" t="n">
        <f aca="false">BF16+BF47</f>
        <v>253124.554781363</v>
      </c>
      <c r="BG51" s="61" t="n">
        <f aca="false">BG16+BG47</f>
        <v>258709.280365375</v>
      </c>
      <c r="BH51" s="61" t="n">
        <f aca="false">BH16+BH47</f>
        <v>263523.970553843</v>
      </c>
      <c r="BI51" s="61" t="n">
        <f aca="false">BI16+BI47</f>
        <v>269402.030165133</v>
      </c>
      <c r="BJ51" s="61" t="n">
        <f aca="false">BJ16+BJ47</f>
        <v>271191.540599562</v>
      </c>
      <c r="BK51" s="61" t="n">
        <f aca="false">BK16+BK47</f>
        <v>276612.126057694</v>
      </c>
      <c r="BL51" s="61" t="n">
        <f aca="false">BL16+BL47</f>
        <v>281272.843605178</v>
      </c>
      <c r="BM51" s="61" t="n">
        <f aca="false">BM16+BM47</f>
        <v>285892.023184953</v>
      </c>
      <c r="BN51" s="61" t="n">
        <f aca="false">BN16+BN47</f>
        <v>287933.961472442</v>
      </c>
    </row>
    <row r="52" customFormat="false" ht="15" hidden="false" customHeight="false" outlineLevel="0" collapsed="false">
      <c r="A52" s="13" t="s">
        <v>95</v>
      </c>
      <c r="B52" s="59" t="n">
        <f aca="false">SUM(C52:N52)</f>
        <v>-403637.769253284</v>
      </c>
      <c r="C52" s="61" t="n">
        <f aca="false">C17-C45</f>
        <v>-44925.6087586118</v>
      </c>
      <c r="D52" s="61" t="n">
        <f aca="false">D17-D45</f>
        <v>-37219.1521216836</v>
      </c>
      <c r="E52" s="61" t="n">
        <f aca="false">E17-E45</f>
        <v>-36355.88677784</v>
      </c>
      <c r="F52" s="61" t="n">
        <f aca="false">F17-F45</f>
        <v>-35338.6240395151</v>
      </c>
      <c r="G52" s="61" t="n">
        <f aca="false">G17-G45</f>
        <v>-34413.9577803406</v>
      </c>
      <c r="H52" s="61" t="n">
        <f aca="false">H17-H45</f>
        <v>-33492.0237357789</v>
      </c>
      <c r="I52" s="61" t="n">
        <f aca="false">I17-I45</f>
        <v>-32574.097516531</v>
      </c>
      <c r="J52" s="61" t="n">
        <f aca="false">J17-J45</f>
        <v>-31661.3493449607</v>
      </c>
      <c r="K52" s="61" t="n">
        <f aca="false">K17-K45</f>
        <v>-30754.8505991703</v>
      </c>
      <c r="L52" s="61" t="n">
        <f aca="false">L17-L45</f>
        <v>-29855.5799859357</v>
      </c>
      <c r="M52" s="61" t="n">
        <f aca="false">M17-M45</f>
        <v>-28964.4293629805</v>
      </c>
      <c r="N52" s="61" t="n">
        <f aca="false">N17-N45</f>
        <v>-28082.2092299355</v>
      </c>
      <c r="O52" s="59" t="n">
        <f aca="false">SUM(P52:AA52)</f>
        <v>-440831.336369439</v>
      </c>
      <c r="P52" s="61" t="n">
        <f aca="false">P17-P45</f>
        <v>-53177.5415898416</v>
      </c>
      <c r="Q52" s="61" t="n">
        <f aca="false">Q17-Q45</f>
        <v>-47479.0663525074</v>
      </c>
      <c r="R52" s="61" t="n">
        <f aca="false">R17-R45</f>
        <v>-44935.3822846174</v>
      </c>
      <c r="S52" s="61" t="n">
        <f aca="false">S17-S45</f>
        <v>-42353.5879152283</v>
      </c>
      <c r="T52" s="61" t="n">
        <f aca="false">T17-T45</f>
        <v>-40689.7800848909</v>
      </c>
      <c r="U52" s="61" t="n">
        <f aca="false">U17-U45</f>
        <v>-37753.8071514017</v>
      </c>
      <c r="V52" s="61" t="n">
        <f aca="false">V17-V45</f>
        <v>-35923.6720226111</v>
      </c>
      <c r="W52" s="61" t="n">
        <f aca="false">W17-W45</f>
        <v>-32551.5859762935</v>
      </c>
      <c r="X52" s="61" t="n">
        <f aca="false">X17-X45</f>
        <v>-30769.6772702856</v>
      </c>
      <c r="Y52" s="61" t="n">
        <f aca="false">Y17-Y45</f>
        <v>-27747.614691414</v>
      </c>
      <c r="Z52" s="61" t="n">
        <f aca="false">Z17-Z45</f>
        <v>-25058.6420788651</v>
      </c>
      <c r="AA52" s="61" t="n">
        <f aca="false">AA17-AA45</f>
        <v>-22390.9789514827</v>
      </c>
      <c r="AB52" s="59" t="n">
        <f aca="false">SUM(AC52:AN52)</f>
        <v>-168454.150581175</v>
      </c>
      <c r="AC52" s="61" t="n">
        <f aca="false">AC17-AC45</f>
        <v>-47384.8074228497</v>
      </c>
      <c r="AD52" s="61" t="n">
        <f aca="false">AD17-AD45</f>
        <v>-37941.8577494518</v>
      </c>
      <c r="AE52" s="61" t="n">
        <f aca="false">AE17-AE45</f>
        <v>-32068.3347618772</v>
      </c>
      <c r="AF52" s="61" t="n">
        <f aca="false">AF17-AF45</f>
        <v>-27164.9609893115</v>
      </c>
      <c r="AG52" s="61" t="n">
        <f aca="false">AG17-AG45</f>
        <v>-22117.8552087729</v>
      </c>
      <c r="AH52" s="61" t="n">
        <f aca="false">AH17-AH45</f>
        <v>-15818.1405131325</v>
      </c>
      <c r="AI52" s="61" t="n">
        <f aca="false">AI17-AI45</f>
        <v>-11889.5861241243</v>
      </c>
      <c r="AJ52" s="61" t="n">
        <f aca="false">AJ17-AJ45</f>
        <v>-5293.18744589172</v>
      </c>
      <c r="AK52" s="61" t="n">
        <f aca="false">AK17-AK45</f>
        <v>-636.560942702083</v>
      </c>
      <c r="AL52" s="61" t="n">
        <f aca="false">AL17-AL45</f>
        <v>4571.27081166038</v>
      </c>
      <c r="AM52" s="61" t="n">
        <f aca="false">AM17-AM45</f>
        <v>10742.8792153993</v>
      </c>
      <c r="AN52" s="61" t="n">
        <f aca="false">AN17-AN45</f>
        <v>16546.9905498789</v>
      </c>
      <c r="AO52" s="59" t="n">
        <f aca="false">SUM(AP52:BA52)</f>
        <v>618842.258521481</v>
      </c>
      <c r="AP52" s="61" t="n">
        <f aca="false">AP17-AP45</f>
        <v>178.317822591576</v>
      </c>
      <c r="AQ52" s="61" t="n">
        <f aca="false">AQ17-AQ45</f>
        <v>12215.2921231169</v>
      </c>
      <c r="AR52" s="61" t="n">
        <f aca="false">AR17-AR45</f>
        <v>20981.6215953986</v>
      </c>
      <c r="AS52" s="61" t="n">
        <f aca="false">AS17-AS45</f>
        <v>30036.2696684213</v>
      </c>
      <c r="AT52" s="61" t="n">
        <f aca="false">AT17-AT45</f>
        <v>38842.8382399757</v>
      </c>
      <c r="AU52" s="61" t="n">
        <f aca="false">AU17-AU45</f>
        <v>47879.5491299988</v>
      </c>
      <c r="AV52" s="61" t="n">
        <f aca="false">AV17-AV45</f>
        <v>55805.7935799847</v>
      </c>
      <c r="AW52" s="61" t="n">
        <f aca="false">AW17-AW45</f>
        <v>64848.6035299531</v>
      </c>
      <c r="AX52" s="61" t="n">
        <f aca="false">AX17-AX45</f>
        <v>73746.7680667244</v>
      </c>
      <c r="AY52" s="61" t="n">
        <f aca="false">AY17-AY45</f>
        <v>82329.0006290269</v>
      </c>
      <c r="AZ52" s="61" t="n">
        <f aca="false">AZ17-AZ45</f>
        <v>91107.9944628927</v>
      </c>
      <c r="BA52" s="61" t="n">
        <f aca="false">BA17-BA45</f>
        <v>100870.209673396</v>
      </c>
      <c r="BB52" s="59" t="n">
        <f aca="false">SUM(BC52:BN52)</f>
        <v>1844005.91514114</v>
      </c>
      <c r="BC52" s="61" t="n">
        <f aca="false">BC17-BC45</f>
        <v>90001.3395360113</v>
      </c>
      <c r="BD52" s="61" t="n">
        <f aca="false">BD17-BD45</f>
        <v>104415.420014001</v>
      </c>
      <c r="BE52" s="61" t="n">
        <f aca="false">BE17-BE45</f>
        <v>115082.974156635</v>
      </c>
      <c r="BF52" s="61" t="n">
        <f aca="false">BF17-BF45</f>
        <v>128318.193444614</v>
      </c>
      <c r="BG52" s="61" t="n">
        <f aca="false">BG17-BG45</f>
        <v>138217.292566384</v>
      </c>
      <c r="BH52" s="61" t="n">
        <f aca="false">BH17-BH45</f>
        <v>148821.679394415</v>
      </c>
      <c r="BI52" s="61" t="n">
        <f aca="false">BI17-BI45</f>
        <v>158236.445048549</v>
      </c>
      <c r="BJ52" s="61" t="n">
        <f aca="false">BJ17-BJ45</f>
        <v>171622.958722725</v>
      </c>
      <c r="BK52" s="61" t="n">
        <f aca="false">BK17-BK45</f>
        <v>181285.015140625</v>
      </c>
      <c r="BL52" s="61" t="n">
        <f aca="false">BL17-BL45</f>
        <v>191615.320865203</v>
      </c>
      <c r="BM52" s="61" t="n">
        <f aca="false">BM17-BM45</f>
        <v>201865.184205248</v>
      </c>
      <c r="BN52" s="61" t="n">
        <f aca="false">BN17-BN45</f>
        <v>214524.092046729</v>
      </c>
    </row>
    <row r="53" customFormat="false" ht="15" hidden="false" customHeight="false" outlineLevel="0" collapsed="false">
      <c r="A53" s="13" t="s">
        <v>949</v>
      </c>
      <c r="B53" s="59" t="n">
        <f aca="false">SUM(C53:N53)</f>
        <v>-429039.208528148</v>
      </c>
      <c r="C53" s="61" t="n">
        <f aca="false">C52-C46</f>
        <v>-47006.784594642</v>
      </c>
      <c r="D53" s="61" t="n">
        <f aca="false">D52-D46</f>
        <v>-39300.3279577138</v>
      </c>
      <c r="E53" s="61" t="n">
        <f aca="false">E52-E46</f>
        <v>-38479.7955381203</v>
      </c>
      <c r="F53" s="61" t="n">
        <f aca="false">F52-F46</f>
        <v>-37462.5327997955</v>
      </c>
      <c r="G53" s="61" t="n">
        <f aca="false">G52-G46</f>
        <v>-36537.8665406209</v>
      </c>
      <c r="H53" s="61" t="n">
        <f aca="false">H52-H46</f>
        <v>-35615.9324960592</v>
      </c>
      <c r="I53" s="61" t="n">
        <f aca="false">I52-I46</f>
        <v>-34698.0062768114</v>
      </c>
      <c r="J53" s="61" t="n">
        <f aca="false">J52-J46</f>
        <v>-33785.2581052411</v>
      </c>
      <c r="K53" s="61" t="n">
        <f aca="false">K52-K46</f>
        <v>-32878.7593594507</v>
      </c>
      <c r="L53" s="61" t="n">
        <f aca="false">L52-L46</f>
        <v>-31979.488746216</v>
      </c>
      <c r="M53" s="61" t="n">
        <f aca="false">M52-M46</f>
        <v>-31088.3381232609</v>
      </c>
      <c r="N53" s="61" t="n">
        <f aca="false">N52-N46</f>
        <v>-30206.1179902159</v>
      </c>
      <c r="O53" s="59" t="n">
        <f aca="false">SUM(P53:AA53)</f>
        <v>-471650.564982522</v>
      </c>
      <c r="P53" s="61" t="n">
        <f aca="false">P52-P46</f>
        <v>-55668.6319666166</v>
      </c>
      <c r="Q53" s="61" t="n">
        <f aca="false">Q52-Q46</f>
        <v>-49970.1567292824</v>
      </c>
      <c r="R53" s="61" t="n">
        <f aca="false">R52-R46</f>
        <v>-47426.4726613924</v>
      </c>
      <c r="S53" s="61" t="n">
        <f aca="false">S52-S46</f>
        <v>-44880.7852112811</v>
      </c>
      <c r="T53" s="61" t="n">
        <f aca="false">T52-T46</f>
        <v>-43242.2296049589</v>
      </c>
      <c r="U53" s="61" t="n">
        <f aca="false">U52-U46</f>
        <v>-40306.2566714697</v>
      </c>
      <c r="V53" s="61" t="n">
        <f aca="false">V52-V46</f>
        <v>-38526.1378914561</v>
      </c>
      <c r="W53" s="61" t="n">
        <f aca="false">W52-W46</f>
        <v>-35154.0518451385</v>
      </c>
      <c r="X53" s="61" t="n">
        <f aca="false">X52-X46</f>
        <v>-33396.9096225053</v>
      </c>
      <c r="Y53" s="61" t="n">
        <f aca="false">Y52-Y46</f>
        <v>-30374.8470436337</v>
      </c>
      <c r="Z53" s="61" t="n">
        <f aca="false">Z52-Z46</f>
        <v>-27685.8744310848</v>
      </c>
      <c r="AA53" s="61" t="n">
        <f aca="false">AA52-AA46</f>
        <v>-25018.2113037024</v>
      </c>
      <c r="AB53" s="59" t="n">
        <f aca="false">SUM(AC53:AN53)</f>
        <v>-205902.530447472</v>
      </c>
      <c r="AC53" s="61" t="n">
        <f aca="false">AC52-AC46</f>
        <v>-50434.4760572768</v>
      </c>
      <c r="AD53" s="61" t="n">
        <f aca="false">AD52-AD46</f>
        <v>-40991.5263838789</v>
      </c>
      <c r="AE53" s="61" t="n">
        <f aca="false">AE52-AE46</f>
        <v>-35118.0033963043</v>
      </c>
      <c r="AF53" s="61" t="n">
        <f aca="false">AF52-AF46</f>
        <v>-30238.568435524</v>
      </c>
      <c r="AG53" s="61" t="n">
        <f aca="false">AG52-AG46</f>
        <v>-25215.2855078298</v>
      </c>
      <c r="AH53" s="61" t="n">
        <f aca="false">AH52-AH46</f>
        <v>-18915.5708121895</v>
      </c>
      <c r="AI53" s="61" t="n">
        <f aca="false">AI52-AI46</f>
        <v>-15034.2016578766</v>
      </c>
      <c r="AJ53" s="61" t="n">
        <f aca="false">AJ52-AJ46</f>
        <v>-8437.80297964396</v>
      </c>
      <c r="AK53" s="61" t="n">
        <f aca="false">AK52-AK46</f>
        <v>-3804.54108341161</v>
      </c>
      <c r="AL53" s="61" t="n">
        <f aca="false">AL52-AL46</f>
        <v>1380.03924150213</v>
      </c>
      <c r="AM53" s="61" t="n">
        <f aca="false">AM52-AM46</f>
        <v>7551.64764524101</v>
      </c>
      <c r="AN53" s="61" t="n">
        <f aca="false">AN52-AN46</f>
        <v>13355.7589797207</v>
      </c>
      <c r="AO53" s="59" t="n">
        <f aca="false">SUM(AP53:BA53)</f>
        <v>586091.550467075</v>
      </c>
      <c r="AP53" s="61" t="n">
        <f aca="false">AP52-AP46</f>
        <v>-2453.78058783218</v>
      </c>
      <c r="AQ53" s="61" t="n">
        <f aca="false">AQ52-AQ46</f>
        <v>9560.38953748327</v>
      </c>
      <c r="AR53" s="61" t="n">
        <f aca="false">AR52-AR46</f>
        <v>18346.758221598</v>
      </c>
      <c r="AS53" s="61" t="n">
        <f aca="false">AS52-AS46</f>
        <v>27378.8225099176</v>
      </c>
      <c r="AT53" s="61" t="n">
        <f aca="false">AT52-AT46</f>
        <v>36162.916691996</v>
      </c>
      <c r="AU53" s="61" t="n">
        <f aca="false">AU52-AU46</f>
        <v>45177.262057863</v>
      </c>
      <c r="AV53" s="61" t="n">
        <f aca="false">AV52-AV46</f>
        <v>53058.9921354948</v>
      </c>
      <c r="AW53" s="61" t="n">
        <f aca="false">AW52-AW46</f>
        <v>62079.6527124791</v>
      </c>
      <c r="AX53" s="61" t="n">
        <f aca="false">AX52-AX46</f>
        <v>70955.7751672153</v>
      </c>
      <c r="AY53" s="61" t="n">
        <f aca="false">AY52-AY46</f>
        <v>79516.0724187171</v>
      </c>
      <c r="AZ53" s="61" t="n">
        <f aca="false">AZ52-AZ46</f>
        <v>88273.2371958198</v>
      </c>
      <c r="BA53" s="61" t="n">
        <f aca="false">BA52-BA46</f>
        <v>98035.4524063233</v>
      </c>
      <c r="BB53" s="59" t="n">
        <f aca="false">SUM(BC53:BN53)</f>
        <v>1808779.16526929</v>
      </c>
      <c r="BC53" s="61" t="n">
        <f aca="false">BC52-BC46</f>
        <v>87206.2577891989</v>
      </c>
      <c r="BD53" s="61" t="n">
        <f aca="false">BD52-BD46</f>
        <v>101577.311521509</v>
      </c>
      <c r="BE53" s="61" t="n">
        <f aca="false">BE52-BE46</f>
        <v>112202.047338829</v>
      </c>
      <c r="BF53" s="61" t="n">
        <f aca="false">BF52-BF46</f>
        <v>125437.266626807</v>
      </c>
      <c r="BG53" s="61" t="n">
        <f aca="false">BG52-BG46</f>
        <v>135319.213464147</v>
      </c>
      <c r="BH53" s="61" t="n">
        <f aca="false">BH52-BH46</f>
        <v>145881.401189996</v>
      </c>
      <c r="BI53" s="61" t="n">
        <f aca="false">BI52-BI46</f>
        <v>155283.191156558</v>
      </c>
      <c r="BJ53" s="61" t="n">
        <f aca="false">BJ52-BJ46</f>
        <v>168669.704830734</v>
      </c>
      <c r="BK53" s="61" t="n">
        <f aca="false">BK52-BK46</f>
        <v>178314.93889798</v>
      </c>
      <c r="BL53" s="61" t="n">
        <f aca="false">BL52-BL46</f>
        <v>188603.857243689</v>
      </c>
      <c r="BM53" s="61" t="n">
        <f aca="false">BM52-BM46</f>
        <v>198812.533684181</v>
      </c>
      <c r="BN53" s="61" t="n">
        <f aca="false">BN52-BN46</f>
        <v>211471.441525662</v>
      </c>
    </row>
    <row r="54" customFormat="false" ht="15" hidden="false" customHeight="false" outlineLevel="0" collapsed="false">
      <c r="A54" s="4" t="s">
        <v>950</v>
      </c>
      <c r="B54" s="59" t="n">
        <f aca="false">SUM(C54:N54)</f>
        <v>201490.907740045</v>
      </c>
      <c r="C54" s="60" t="n">
        <f aca="false">C45-C22</f>
        <v>23106.9884466019</v>
      </c>
      <c r="D54" s="60" t="n">
        <f aca="false">D45-D22</f>
        <v>15878.4812691947</v>
      </c>
      <c r="E54" s="60" t="n">
        <f aca="false">E45-E22</f>
        <v>15943.2703706047</v>
      </c>
      <c r="F54" s="60" t="n">
        <f aca="false">F45-F22</f>
        <v>16016.1325376299</v>
      </c>
      <c r="G54" s="60" t="n">
        <f aca="false">G45-G22</f>
        <v>16084.9709409472</v>
      </c>
      <c r="H54" s="60" t="n">
        <f aca="false">H45-H22</f>
        <v>16153.1910558858</v>
      </c>
      <c r="I54" s="60" t="n">
        <f aca="false">I45-I22</f>
        <v>16220.7120942139</v>
      </c>
      <c r="J54" s="60" t="n">
        <f aca="false">J45-J22</f>
        <v>16287.4607920591</v>
      </c>
      <c r="K54" s="60" t="n">
        <f aca="false">K45-K22</f>
        <v>16353.3709187111</v>
      </c>
      <c r="L54" s="60" t="n">
        <f aca="false">L45-L22</f>
        <v>16418.3828143882</v>
      </c>
      <c r="M54" s="60" t="n">
        <f aca="false">M45-M22</f>
        <v>16482.4429553083</v>
      </c>
      <c r="N54" s="60" t="n">
        <f aca="false">N45-N22</f>
        <v>16545.5035445007</v>
      </c>
      <c r="O54" s="59" t="n">
        <f aca="false">SUM(P54:AA54)</f>
        <v>352822.250754702</v>
      </c>
      <c r="P54" s="60" t="n">
        <f aca="false">P45-P22</f>
        <v>30994.6299046599</v>
      </c>
      <c r="Q54" s="60" t="n">
        <f aca="false">Q45-Q22</f>
        <v>27485.7302217837</v>
      </c>
      <c r="R54" s="60" t="n">
        <f aca="false">R45-R22</f>
        <v>27688.0011185447</v>
      </c>
      <c r="S54" s="60" t="n">
        <f aca="false">S45-S22</f>
        <v>27894.8232446114</v>
      </c>
      <c r="T54" s="60" t="n">
        <f aca="false">T45-T22</f>
        <v>28698.5762275448</v>
      </c>
      <c r="U54" s="60" t="n">
        <f aca="false">U45-U22</f>
        <v>28584.4452034234</v>
      </c>
      <c r="V54" s="60" t="n">
        <f aca="false">V45-V22</f>
        <v>30028.2820940242</v>
      </c>
      <c r="W54" s="60" t="n">
        <f aca="false">W45-W22</f>
        <v>29600.6926815513</v>
      </c>
      <c r="X54" s="60" t="n">
        <f aca="false">X45-X22</f>
        <v>30395.2974611079</v>
      </c>
      <c r="Y54" s="60" t="n">
        <f aca="false">Y45-Y22</f>
        <v>30284.0369304088</v>
      </c>
      <c r="Z54" s="60" t="n">
        <f aca="false">Z45-Z22</f>
        <v>30484.6143672907</v>
      </c>
      <c r="AA54" s="60" t="n">
        <f aca="false">AA45-AA22</f>
        <v>30683.1212997509</v>
      </c>
      <c r="AB54" s="59" t="n">
        <f aca="false">SUM(AC54:AN54)</f>
        <v>581655.548033029</v>
      </c>
      <c r="AC54" s="60" t="n">
        <f aca="false">AC45-AC22</f>
        <v>49067.0460763485</v>
      </c>
      <c r="AD54" s="60" t="n">
        <f aca="false">AD45-AD22</f>
        <v>45009.1707717632</v>
      </c>
      <c r="AE54" s="60" t="n">
        <f aca="false">AE45-AE22</f>
        <v>45454.2879016839</v>
      </c>
      <c r="AF54" s="60" t="n">
        <f aca="false">AF45-AF22</f>
        <v>46543.9361235984</v>
      </c>
      <c r="AG54" s="60" t="n">
        <f aca="false">AG45-AG22</f>
        <v>47306.0587734874</v>
      </c>
      <c r="AH54" s="60" t="n">
        <f aca="false">AH45-AH22</f>
        <v>47417.4510418394</v>
      </c>
      <c r="AI54" s="60" t="n">
        <f aca="false">AI45-AI22</f>
        <v>49130.8965404126</v>
      </c>
      <c r="AJ54" s="60" t="n">
        <f aca="false">AJ45-AJ22</f>
        <v>48906.2791970413</v>
      </c>
      <c r="AK54" s="60" t="n">
        <f aca="false">AK45-AK22</f>
        <v>49991.9739762979</v>
      </c>
      <c r="AL54" s="60" t="n">
        <f aca="false">AL45-AL22</f>
        <v>50727.6488940476</v>
      </c>
      <c r="AM54" s="60" t="n">
        <f aca="false">AM45-AM22</f>
        <v>50833.9309612502</v>
      </c>
      <c r="AN54" s="60" t="n">
        <f aca="false">AN45-AN22</f>
        <v>51266.8677752587</v>
      </c>
      <c r="AO54" s="59" t="n">
        <f aca="false">SUM(AP54:BA54)</f>
        <v>870519.138312196</v>
      </c>
      <c r="AP54" s="60" t="n">
        <f aca="false">AP45-AP22</f>
        <v>70350.6549989168</v>
      </c>
      <c r="AQ54" s="60" t="n">
        <f aca="false">AQ45-AQ22</f>
        <v>67385.4265431786</v>
      </c>
      <c r="AR54" s="60" t="n">
        <f aca="false">AR45-AR22</f>
        <v>68441.1591382411</v>
      </c>
      <c r="AS54" s="60" t="n">
        <f aca="false">AS45-AS22</f>
        <v>69485.1439490757</v>
      </c>
      <c r="AT54" s="60" t="n">
        <f aca="false">AT45-AT22</f>
        <v>70541.7563862832</v>
      </c>
      <c r="AU54" s="60" t="n">
        <f aca="false">AU45-AU22</f>
        <v>71579.5899119835</v>
      </c>
      <c r="AV54" s="60" t="n">
        <f aca="false">AV45-AV22</f>
        <v>73285.825506229</v>
      </c>
      <c r="AW54" s="60" t="n">
        <f aca="false">AW45-AW22</f>
        <v>73975.9665137984</v>
      </c>
      <c r="AX54" s="60" t="n">
        <f aca="false">AX45-AX22</f>
        <v>75000.2019120831</v>
      </c>
      <c r="AY54" s="60" t="n">
        <f aca="false">AY45-AY22</f>
        <v>76033.9168187641</v>
      </c>
      <c r="AZ54" s="60" t="n">
        <f aca="false">AZ45-AZ22</f>
        <v>77047.5270923302</v>
      </c>
      <c r="BA54" s="60" t="n">
        <f aca="false">BA45-BA22</f>
        <v>77391.969541312</v>
      </c>
      <c r="BB54" s="59" t="n">
        <f aca="false">SUM(BC54:BN54)</f>
        <v>1231315.91657947</v>
      </c>
      <c r="BC54" s="60" t="n">
        <f aca="false">BC45-BC22</f>
        <v>98730.5713713352</v>
      </c>
      <c r="BD54" s="60" t="n">
        <f aca="false">BD45-BD22</f>
        <v>95967.0945983684</v>
      </c>
      <c r="BE54" s="60" t="n">
        <f aca="false">BE45-BE22</f>
        <v>97562.6917083748</v>
      </c>
      <c r="BF54" s="60" t="n">
        <f aca="false">BF45-BF22</f>
        <v>97708.6858182338</v>
      </c>
      <c r="BG54" s="60" t="n">
        <f aca="false">BG45-BG22</f>
        <v>100059.992951158</v>
      </c>
      <c r="BH54" s="60" t="n">
        <f aca="false">BH45-BH22</f>
        <v>101647.221869106</v>
      </c>
      <c r="BI54" s="60" t="n">
        <f aca="false">BI45-BI22</f>
        <v>103940.06345916</v>
      </c>
      <c r="BJ54" s="60" t="n">
        <f aca="false">BJ45-BJ22</f>
        <v>103706.055407956</v>
      </c>
      <c r="BK54" s="60" t="n">
        <f aca="false">BK45-BK22</f>
        <v>106018.391952506</v>
      </c>
      <c r="BL54" s="60" t="n">
        <f aca="false">BL45-BL22</f>
        <v>107579.861909972</v>
      </c>
      <c r="BM54" s="60" t="n">
        <f aca="false">BM45-BM22</f>
        <v>109134.05803263</v>
      </c>
      <c r="BN54" s="60" t="n">
        <f aca="false">BN45-BN22</f>
        <v>109261.227500672</v>
      </c>
    </row>
    <row r="56" customFormat="false" ht="15" hidden="false" customHeight="false" outlineLevel="0" collapsed="false">
      <c r="A56" s="9" t="s">
        <v>951</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row>
    <row r="57" customFormat="false" ht="15" hidden="false" customHeight="false" outlineLevel="0" collapsed="false">
      <c r="A57" s="29" t="s">
        <v>952</v>
      </c>
    </row>
    <row r="58" customFormat="false" ht="19.4" hidden="false" customHeight="false" outlineLevel="0" collapsed="false">
      <c r="A58" s="11" t="s">
        <v>953</v>
      </c>
      <c r="B58" s="12" t="s">
        <v>954</v>
      </c>
      <c r="C58" s="12" t="s">
        <v>955</v>
      </c>
      <c r="D58" s="12" t="s">
        <v>956</v>
      </c>
    </row>
    <row r="59" customFormat="false" ht="15" hidden="false" customHeight="false" outlineLevel="0" collapsed="false">
      <c r="A59" s="4" t="s">
        <v>911</v>
      </c>
      <c r="B59" s="94" t="s">
        <v>957</v>
      </c>
      <c r="C59" s="60" t="n">
        <f aca="false">B6</f>
        <v>1239.82195571909</v>
      </c>
      <c r="D59" s="95" t="n">
        <f aca="false">IFERROR(C59/$C$93,0)</f>
        <v>0.0024913970137479</v>
      </c>
    </row>
    <row r="60" customFormat="false" ht="15" hidden="false" customHeight="false" outlineLevel="0" collapsed="false">
      <c r="A60" s="4" t="s">
        <v>912</v>
      </c>
      <c r="B60" s="94" t="s">
        <v>957</v>
      </c>
      <c r="C60" s="60" t="n">
        <f aca="false">B7</f>
        <v>884.473662779359</v>
      </c>
      <c r="D60" s="95" t="n">
        <f aca="false">IFERROR(C60/$C$93,0)</f>
        <v>0.00177733184351386</v>
      </c>
    </row>
    <row r="61" customFormat="false" ht="15" hidden="false" customHeight="false" outlineLevel="0" collapsed="false">
      <c r="A61" s="4" t="s">
        <v>913</v>
      </c>
      <c r="B61" s="94" t="s">
        <v>957</v>
      </c>
      <c r="C61" s="60" t="n">
        <f aca="false">B8</f>
        <v>4302.53125368353</v>
      </c>
      <c r="D61" s="95" t="n">
        <f aca="false">IFERROR(C61/$C$93,0)</f>
        <v>0.00864584908142481</v>
      </c>
    </row>
    <row r="62" customFormat="false" ht="15" hidden="false" customHeight="false" outlineLevel="0" collapsed="false">
      <c r="A62" s="4" t="s">
        <v>914</v>
      </c>
      <c r="B62" s="94" t="s">
        <v>957</v>
      </c>
      <c r="C62" s="60" t="n">
        <f aca="false">B9</f>
        <v>2059.20562551351</v>
      </c>
      <c r="D62" s="95" t="n">
        <f aca="false">IFERROR(C62/$C$93,0)</f>
        <v>0.00413793183967428</v>
      </c>
    </row>
    <row r="63" customFormat="false" ht="15" hidden="false" customHeight="false" outlineLevel="0" collapsed="false">
      <c r="A63" s="4" t="s">
        <v>915</v>
      </c>
      <c r="B63" s="94" t="s">
        <v>957</v>
      </c>
      <c r="C63" s="60" t="n">
        <f aca="false">B10</f>
        <v>2866.31296192809</v>
      </c>
      <c r="D63" s="95" t="n">
        <f aca="false">IFERROR(C63/$C$93,0)</f>
        <v>0.00575979762325855</v>
      </c>
    </row>
    <row r="64" customFormat="false" ht="15" hidden="false" customHeight="false" outlineLevel="0" collapsed="false">
      <c r="A64" s="4" t="s">
        <v>916</v>
      </c>
      <c r="B64" s="94" t="s">
        <v>957</v>
      </c>
      <c r="C64" s="60" t="n">
        <f aca="false">B11</f>
        <v>1423.97104858988</v>
      </c>
      <c r="D64" s="95" t="n">
        <f aca="false">IFERROR(C64/$C$93,0)</f>
        <v>0.00286144087201833</v>
      </c>
    </row>
    <row r="65" customFormat="false" ht="15" hidden="false" customHeight="false" outlineLevel="0" collapsed="false">
      <c r="A65" s="4" t="s">
        <v>917</v>
      </c>
      <c r="B65" s="94" t="s">
        <v>957</v>
      </c>
      <c r="C65" s="60" t="n">
        <f aca="false">B12</f>
        <v>880.631307202258</v>
      </c>
      <c r="D65" s="95" t="n">
        <f aca="false">IFERROR(C65/$C$93,0)</f>
        <v>0.0017696107080989</v>
      </c>
    </row>
    <row r="66" customFormat="false" ht="15" hidden="false" customHeight="false" outlineLevel="0" collapsed="false">
      <c r="A66" s="4" t="s">
        <v>918</v>
      </c>
      <c r="B66" s="94" t="s">
        <v>957</v>
      </c>
      <c r="C66" s="60" t="n">
        <f aca="false">B13</f>
        <v>0</v>
      </c>
      <c r="D66" s="95" t="n">
        <f aca="false">IFERROR(C66/$C$93,0)</f>
        <v>0</v>
      </c>
    </row>
    <row r="67" customFormat="false" ht="15" hidden="false" customHeight="false" outlineLevel="0" collapsed="false">
      <c r="A67" s="4" t="s">
        <v>919</v>
      </c>
      <c r="B67" s="94" t="s">
        <v>957</v>
      </c>
      <c r="C67" s="60" t="n">
        <f aca="false">B14</f>
        <v>826.547970479391</v>
      </c>
      <c r="D67" s="95" t="n">
        <f aca="false">IFERROR(C67/$C$93,0)</f>
        <v>0.0016609313424986</v>
      </c>
    </row>
    <row r="68" customFormat="false" ht="15" hidden="false" customHeight="false" outlineLevel="0" collapsed="false">
      <c r="A68" s="4" t="s">
        <v>920</v>
      </c>
      <c r="B68" s="94" t="s">
        <v>957</v>
      </c>
      <c r="C68" s="60" t="n">
        <f aca="false">B15</f>
        <v>1768.94732555872</v>
      </c>
      <c r="D68" s="95" t="n">
        <f aca="false">IFERROR(C68/$C$93,0)</f>
        <v>0.00355466368702772</v>
      </c>
    </row>
    <row r="69" customFormat="false" ht="15" hidden="false" customHeight="false" outlineLevel="0" collapsed="false">
      <c r="A69" s="4" t="s">
        <v>923</v>
      </c>
      <c r="B69" s="94" t="s">
        <v>958</v>
      </c>
      <c r="C69" s="60" t="n">
        <f aca="false">B22</f>
        <v>254496.472537741</v>
      </c>
      <c r="D69" s="95" t="n">
        <f aca="false">IFERROR(C69/$C$93,0)</f>
        <v>0.511405487509825</v>
      </c>
    </row>
    <row r="70" customFormat="false" ht="15" hidden="false" customHeight="false" outlineLevel="0" collapsed="false">
      <c r="A70" s="4" t="s">
        <v>924</v>
      </c>
      <c r="B70" s="94" t="s">
        <v>959</v>
      </c>
      <c r="C70" s="60" t="n">
        <f aca="false">B23</f>
        <v>3616.14737084734</v>
      </c>
      <c r="D70" s="95" t="n">
        <f aca="false">IFERROR(C70/$C$93,0)</f>
        <v>0.00726657462343139</v>
      </c>
    </row>
    <row r="71" customFormat="false" ht="15" hidden="false" customHeight="false" outlineLevel="0" collapsed="false">
      <c r="A71" s="4" t="s">
        <v>497</v>
      </c>
      <c r="B71" s="94" t="s">
        <v>959</v>
      </c>
      <c r="C71" s="60" t="n">
        <f aca="false">B24</f>
        <v>338.856119619899</v>
      </c>
      <c r="D71" s="95" t="n">
        <f aca="false">IFERROR(C71/$C$93,0)</f>
        <v>0.000680924483242899</v>
      </c>
    </row>
    <row r="72" customFormat="false" ht="15" hidden="false" customHeight="false" outlineLevel="0" collapsed="false">
      <c r="A72" s="4" t="s">
        <v>925</v>
      </c>
      <c r="B72" s="94" t="s">
        <v>959</v>
      </c>
      <c r="C72" s="60" t="n">
        <f aca="false">B25</f>
        <v>40200</v>
      </c>
      <c r="D72" s="95" t="n">
        <f aca="false">IFERROR(C72/$C$93,0)</f>
        <v>0.0807810827116521</v>
      </c>
    </row>
    <row r="73" customFormat="false" ht="15" hidden="false" customHeight="false" outlineLevel="0" collapsed="false">
      <c r="A73" s="4" t="s">
        <v>926</v>
      </c>
      <c r="B73" s="94" t="s">
        <v>959</v>
      </c>
      <c r="C73" s="60" t="n">
        <f aca="false">B26</f>
        <v>14760</v>
      </c>
      <c r="D73" s="95" t="n">
        <f aca="false">IFERROR(C73/$C$93,0)</f>
        <v>0.0296599199209946</v>
      </c>
    </row>
    <row r="74" customFormat="false" ht="15" hidden="false" customHeight="false" outlineLevel="0" collapsed="false">
      <c r="A74" s="4" t="s">
        <v>927</v>
      </c>
      <c r="B74" s="94" t="s">
        <v>959</v>
      </c>
      <c r="C74" s="60" t="n">
        <f aca="false">B27</f>
        <v>10800</v>
      </c>
      <c r="D74" s="95" t="n">
        <f aca="false">IFERROR(C74/$C$93,0)</f>
        <v>0.0217023804299961</v>
      </c>
    </row>
    <row r="75" customFormat="false" ht="15" hidden="false" customHeight="false" outlineLevel="0" collapsed="false">
      <c r="A75" s="4" t="s">
        <v>928</v>
      </c>
      <c r="B75" s="94" t="s">
        <v>959</v>
      </c>
      <c r="C75" s="60" t="n">
        <f aca="false">B28</f>
        <v>6000</v>
      </c>
      <c r="D75" s="95" t="n">
        <f aca="false">IFERROR(C75/$C$93,0)</f>
        <v>0.0120568780166645</v>
      </c>
    </row>
    <row r="76" customFormat="false" ht="15" hidden="false" customHeight="false" outlineLevel="0" collapsed="false">
      <c r="A76" s="4" t="s">
        <v>929</v>
      </c>
      <c r="B76" s="94" t="s">
        <v>959</v>
      </c>
      <c r="C76" s="60" t="n">
        <f aca="false">B29</f>
        <v>4200</v>
      </c>
      <c r="D76" s="95" t="n">
        <f aca="false">IFERROR(C76/$C$93,0)</f>
        <v>0.00843981461166514</v>
      </c>
    </row>
    <row r="77" customFormat="false" ht="15" hidden="false" customHeight="false" outlineLevel="0" collapsed="false">
      <c r="A77" s="4" t="s">
        <v>930</v>
      </c>
      <c r="B77" s="94" t="s">
        <v>959</v>
      </c>
      <c r="C77" s="60" t="n">
        <f aca="false">B30</f>
        <v>1991.22767027093</v>
      </c>
      <c r="D77" s="95" t="n">
        <f aca="false">IFERROR(C77/$C$93,0)</f>
        <v>0.00400133152064394</v>
      </c>
    </row>
    <row r="78" customFormat="false" ht="15" hidden="false" customHeight="false" outlineLevel="0" collapsed="false">
      <c r="A78" s="4" t="s">
        <v>931</v>
      </c>
      <c r="B78" s="94" t="s">
        <v>960</v>
      </c>
      <c r="C78" s="60" t="n">
        <f aca="false">B31</f>
        <v>10080</v>
      </c>
      <c r="D78" s="95" t="n">
        <f aca="false">IFERROR(C78/$C$93,0)</f>
        <v>0.0202555550679963</v>
      </c>
    </row>
    <row r="79" customFormat="false" ht="15" hidden="false" customHeight="false" outlineLevel="0" collapsed="false">
      <c r="A79" s="4" t="s">
        <v>932</v>
      </c>
      <c r="B79" s="94" t="s">
        <v>960</v>
      </c>
      <c r="C79" s="60" t="n">
        <f aca="false">B32</f>
        <v>6239.77888635322</v>
      </c>
      <c r="D79" s="95" t="n">
        <f aca="false">IFERROR(C79/$C$93,0)</f>
        <v>0.0125387088139532</v>
      </c>
    </row>
    <row r="80" customFormat="false" ht="15" hidden="false" customHeight="false" outlineLevel="0" collapsed="false">
      <c r="A80" s="4" t="s">
        <v>933</v>
      </c>
      <c r="B80" s="94" t="s">
        <v>960</v>
      </c>
      <c r="C80" s="60" t="n">
        <f aca="false">B33</f>
        <v>8064</v>
      </c>
      <c r="D80" s="95" t="n">
        <f aca="false">IFERROR(C80/$C$93,0)</f>
        <v>0.0162044440543971</v>
      </c>
    </row>
    <row r="81" customFormat="false" ht="15" hidden="false" customHeight="false" outlineLevel="0" collapsed="false">
      <c r="A81" s="4" t="s">
        <v>934</v>
      </c>
      <c r="B81" s="94" t="s">
        <v>840</v>
      </c>
      <c r="C81" s="60" t="n">
        <f aca="false">B34</f>
        <v>21600</v>
      </c>
      <c r="D81" s="95" t="n">
        <f aca="false">IFERROR(C81/$C$93,0)</f>
        <v>0.0434047608599922</v>
      </c>
    </row>
    <row r="82" customFormat="false" ht="15" hidden="false" customHeight="false" outlineLevel="0" collapsed="false">
      <c r="A82" s="4" t="s">
        <v>935</v>
      </c>
      <c r="B82" s="94" t="s">
        <v>840</v>
      </c>
      <c r="C82" s="60" t="n">
        <f aca="false">B35</f>
        <v>5040</v>
      </c>
      <c r="D82" s="95" t="n">
        <f aca="false">IFERROR(C82/$C$93,0)</f>
        <v>0.0101277775339982</v>
      </c>
    </row>
    <row r="83" customFormat="false" ht="15" hidden="false" customHeight="false" outlineLevel="0" collapsed="false">
      <c r="A83" s="4" t="s">
        <v>936</v>
      </c>
      <c r="B83" s="94" t="s">
        <v>840</v>
      </c>
      <c r="C83" s="60" t="n">
        <f aca="false">B36</f>
        <v>4200</v>
      </c>
      <c r="D83" s="95" t="n">
        <f aca="false">IFERROR(C83/$C$93,0)</f>
        <v>0.00843981461166514</v>
      </c>
    </row>
    <row r="84" customFormat="false" ht="15" hidden="false" customHeight="false" outlineLevel="0" collapsed="false">
      <c r="A84" s="4" t="s">
        <v>937</v>
      </c>
      <c r="B84" s="94" t="s">
        <v>959</v>
      </c>
      <c r="C84" s="60" t="n">
        <f aca="false">B37</f>
        <v>1440</v>
      </c>
      <c r="D84" s="95" t="n">
        <f aca="false">IFERROR(C84/$C$93,0)</f>
        <v>0.00289365072399948</v>
      </c>
    </row>
    <row r="85" customFormat="false" ht="15" hidden="false" customHeight="false" outlineLevel="0" collapsed="false">
      <c r="A85" s="4" t="s">
        <v>938</v>
      </c>
      <c r="B85" s="94" t="s">
        <v>960</v>
      </c>
      <c r="C85" s="60" t="n">
        <f aca="false">B38</f>
        <v>4200</v>
      </c>
      <c r="D85" s="95" t="n">
        <f aca="false">IFERROR(C85/$C$93,0)</f>
        <v>0.00843981461166514</v>
      </c>
    </row>
    <row r="86" customFormat="false" ht="15" hidden="false" customHeight="false" outlineLevel="0" collapsed="false">
      <c r="A86" s="4" t="s">
        <v>939</v>
      </c>
      <c r="B86" s="94" t="s">
        <v>958</v>
      </c>
      <c r="C86" s="60" t="n">
        <f aca="false">B39</f>
        <v>6990.29126213592</v>
      </c>
      <c r="D86" s="95" t="n">
        <f aca="false">IFERROR(C86/$C$93,0)</f>
        <v>0.0140468481747547</v>
      </c>
    </row>
    <row r="87" customFormat="false" ht="15" hidden="false" customHeight="false" outlineLevel="0" collapsed="false">
      <c r="A87" s="4" t="s">
        <v>940</v>
      </c>
      <c r="B87" s="94" t="s">
        <v>958</v>
      </c>
      <c r="C87" s="60" t="n">
        <f aca="false">B40</f>
        <v>4320</v>
      </c>
      <c r="D87" s="95" t="n">
        <f aca="false">IFERROR(C87/$C$93,0)</f>
        <v>0.00868095217199843</v>
      </c>
    </row>
    <row r="88" customFormat="false" ht="15" hidden="false" customHeight="false" outlineLevel="0" collapsed="false">
      <c r="A88" s="4" t="s">
        <v>941</v>
      </c>
      <c r="B88" s="94" t="s">
        <v>960</v>
      </c>
      <c r="C88" s="60" t="n">
        <f aca="false">B41</f>
        <v>14400</v>
      </c>
      <c r="D88" s="95" t="n">
        <f aca="false">IFERROR(C88/$C$93,0)</f>
        <v>0.0289365072399948</v>
      </c>
    </row>
    <row r="89" customFormat="false" ht="15" hidden="false" customHeight="false" outlineLevel="0" collapsed="false">
      <c r="A89" s="4" t="s">
        <v>942</v>
      </c>
      <c r="B89" s="94" t="s">
        <v>960</v>
      </c>
      <c r="C89" s="60" t="n">
        <f aca="false">B42</f>
        <v>4800</v>
      </c>
      <c r="D89" s="95" t="n">
        <f aca="false">IFERROR(C89/$C$93,0)</f>
        <v>0.00964550241333159</v>
      </c>
    </row>
    <row r="90" customFormat="false" ht="15" hidden="false" customHeight="false" outlineLevel="0" collapsed="false">
      <c r="A90" s="4" t="s">
        <v>943</v>
      </c>
      <c r="B90" s="94" t="s">
        <v>960</v>
      </c>
      <c r="C90" s="60" t="n">
        <f aca="false">B43</f>
        <v>2400</v>
      </c>
      <c r="D90" s="95" t="n">
        <f aca="false">IFERROR(C90/$C$93,0)</f>
        <v>0.0048227512066658</v>
      </c>
    </row>
    <row r="91" customFormat="false" ht="15" hidden="false" customHeight="false" outlineLevel="0" collapsed="false">
      <c r="A91" s="4" t="s">
        <v>944</v>
      </c>
      <c r="B91" s="94" t="s">
        <v>960</v>
      </c>
      <c r="C91" s="60" t="n">
        <f aca="false">B44</f>
        <v>25810.6064308181</v>
      </c>
      <c r="D91" s="95" t="n">
        <f aca="false">IFERROR(C91/$C$93,0)</f>
        <v>0.0518658888787517</v>
      </c>
    </row>
    <row r="92" customFormat="false" ht="15" hidden="false" customHeight="false" outlineLevel="0" collapsed="false">
      <c r="A92" s="4" t="s">
        <v>961</v>
      </c>
      <c r="B92" s="94" t="s">
        <v>962</v>
      </c>
      <c r="C92" s="60" t="n">
        <f aca="false">B46</f>
        <v>25401.4392748638</v>
      </c>
      <c r="D92" s="95" t="n">
        <f aca="false">IFERROR(C92/$C$93,0)</f>
        <v>0.0510436757974573</v>
      </c>
    </row>
    <row r="93" customFormat="false" ht="15" hidden="false" customHeight="false" outlineLevel="0" collapsed="false">
      <c r="A93" s="13" t="s">
        <v>963</v>
      </c>
      <c r="C93" s="96" t="n">
        <f aca="false">SUM(C59:C92)</f>
        <v>497641.262664104</v>
      </c>
      <c r="D93" s="95" t="n">
        <f aca="false">IFERROR(C93/$C$93,0)</f>
        <v>1</v>
      </c>
    </row>
    <row r="94" customFormat="false" ht="15" hidden="false" customHeight="false" outlineLevel="0" collapsed="false">
      <c r="A94" s="4" t="s">
        <v>964</v>
      </c>
      <c r="C94" s="60" t="n">
        <f aca="false">C93-C92</f>
        <v>472239.823389241</v>
      </c>
    </row>
    <row r="95" customFormat="false" ht="15" hidden="false" customHeight="false" outlineLevel="0" collapsed="false">
      <c r="A95" s="4" t="s">
        <v>965</v>
      </c>
      <c r="C95" s="63" t="n">
        <f aca="false">'Capital Expenditure'!B13</f>
        <v>46179.161972034</v>
      </c>
    </row>
    <row r="96" customFormat="false" ht="15" hidden="false" customHeight="false" outlineLevel="0" collapsed="false">
      <c r="A96" s="13" t="s">
        <v>966</v>
      </c>
      <c r="C96" s="96" t="n">
        <f aca="false">C94+C95</f>
        <v>518418.985361275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34" t="s">
        <v>60</v>
      </c>
    </row>
    <row r="5" customFormat="false" ht="15" hidden="false" customHeight="false" outlineLevel="0" collapsed="false">
      <c r="B5" s="35" t="s">
        <v>967</v>
      </c>
      <c r="C5" s="36" t="s">
        <v>62</v>
      </c>
    </row>
    <row r="6" customFormat="false" ht="15" hidden="false" customHeight="false" outlineLevel="0" collapsed="false">
      <c r="B6" s="35" t="s">
        <v>968</v>
      </c>
      <c r="C6" s="36" t="s">
        <v>64</v>
      </c>
    </row>
    <row r="7" customFormat="false" ht="15" hidden="false" customHeight="false" outlineLevel="0" collapsed="false">
      <c r="B7" s="35" t="s">
        <v>969</v>
      </c>
      <c r="C7" s="36" t="s">
        <v>66</v>
      </c>
    </row>
    <row r="8" customFormat="false" ht="15" hidden="false" customHeight="false" outlineLevel="0" collapsed="false">
      <c r="B8" s="35" t="s">
        <v>970</v>
      </c>
      <c r="C8" s="36" t="s">
        <v>68</v>
      </c>
    </row>
    <row r="9" customFormat="false" ht="15" hidden="false" customHeight="false" outlineLevel="0" collapsed="false">
      <c r="B9" s="35" t="s">
        <v>971</v>
      </c>
      <c r="C9" s="36"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
    <col collapsed="false" customWidth="true" hidden="false" outlineLevel="0" max="8" min="3" style="0" width="17"/>
  </cols>
  <sheetData>
    <row r="1" customFormat="false" ht="18.55" hidden="false" customHeight="false" outlineLevel="0" collapsed="false">
      <c r="A1" s="7" t="s">
        <v>967</v>
      </c>
    </row>
    <row r="2" customFormat="false" ht="15" hidden="false" customHeight="false" outlineLevel="0" collapsed="false">
      <c r="A2" s="8" t="s">
        <v>972</v>
      </c>
    </row>
    <row r="5" customFormat="false" ht="15" hidden="false" customHeight="false" outlineLevel="0" collapsed="false">
      <c r="A5" s="11" t="s">
        <v>632</v>
      </c>
      <c r="B5" s="12"/>
      <c r="C5" s="12" t="s">
        <v>87</v>
      </c>
      <c r="D5" s="12" t="s">
        <v>88</v>
      </c>
      <c r="E5" s="12" t="s">
        <v>89</v>
      </c>
      <c r="F5" s="12" t="s">
        <v>90</v>
      </c>
      <c r="G5" s="12" t="s">
        <v>91</v>
      </c>
    </row>
    <row r="6" customFormat="false" ht="15" hidden="false" customHeight="false" outlineLevel="0" collapsed="false">
      <c r="A6" s="13" t="s">
        <v>92</v>
      </c>
      <c r="C6" s="14" t="n">
        <f aca="false">'Total Revenue'!B18</f>
        <v>68602.0541359569</v>
      </c>
      <c r="D6" s="14" t="n">
        <f aca="false">'Total Revenue'!O18</f>
        <v>391860.50917285</v>
      </c>
      <c r="E6" s="14" t="n">
        <f aca="false">'Total Revenue'!AB18</f>
        <v>1221612.70310048</v>
      </c>
      <c r="F6" s="14" t="n">
        <f aca="false">'Total Revenue'!AO18</f>
        <v>2763830.19278589</v>
      </c>
      <c r="G6" s="14" t="n">
        <f aca="false">'Total Revenue'!BB18</f>
        <v>4998712.11121331</v>
      </c>
    </row>
    <row r="7" customFormat="false" ht="15" hidden="false" customHeight="false" outlineLevel="0" collapsed="false">
      <c r="A7" s="4" t="s">
        <v>973</v>
      </c>
      <c r="C7" s="97" t="n">
        <f aca="false">0</f>
        <v>0</v>
      </c>
      <c r="D7" s="97" t="n">
        <f aca="false">IFERROR(D6/C6-1,0)</f>
        <v>4.71208127961086</v>
      </c>
      <c r="E7" s="97" t="n">
        <f aca="false">IFERROR(E6/D6-1,0)</f>
        <v>2.11746826869362</v>
      </c>
      <c r="F7" s="97" t="n">
        <f aca="false">IFERROR(F6/E6-1,0)</f>
        <v>1.26244388730669</v>
      </c>
      <c r="G7" s="97" t="n">
        <f aca="false">IFERROR(G6/F6-1,0)</f>
        <v>0.808617665535629</v>
      </c>
    </row>
    <row r="8" customFormat="false" ht="15" hidden="false" customHeight="false" outlineLevel="0" collapsed="false">
      <c r="A8" s="4" t="s">
        <v>974</v>
      </c>
      <c r="C8" s="15" t="n">
        <f aca="false">'Total Revenue'!B6</f>
        <v>51659.2481549619</v>
      </c>
      <c r="D8" s="15" t="n">
        <f aca="false">'Total Revenue'!O6</f>
        <v>281722.23737494</v>
      </c>
      <c r="E8" s="15" t="n">
        <f aca="false">'Total Revenue'!AB6</f>
        <v>840890.132432588</v>
      </c>
      <c r="F8" s="15" t="n">
        <f aca="false">'Total Revenue'!AO6</f>
        <v>1865908.74988127</v>
      </c>
      <c r="G8" s="15" t="n">
        <f aca="false">'Total Revenue'!BB6</f>
        <v>3334416.36303228</v>
      </c>
    </row>
    <row r="9" customFormat="false" ht="15" hidden="false" customHeight="false" outlineLevel="0" collapsed="false">
      <c r="A9" s="4" t="s">
        <v>975</v>
      </c>
      <c r="C9" s="15" t="n">
        <f aca="false">'Total Revenue'!B11</f>
        <v>14741.2277129893</v>
      </c>
      <c r="D9" s="15" t="n">
        <f aca="false">'Total Revenue'!O11</f>
        <v>101762.280760851</v>
      </c>
      <c r="E9" s="15" t="n">
        <f aca="false">'Total Revenue'!AB11</f>
        <v>360398.037940749</v>
      </c>
      <c r="F9" s="15" t="n">
        <f aca="false">'Total Revenue'!AO11</f>
        <v>862230.806772958</v>
      </c>
      <c r="G9" s="15" t="n">
        <f aca="false">'Total Revenue'!BB11</f>
        <v>1613894.71711835</v>
      </c>
    </row>
    <row r="10" customFormat="false" ht="15" hidden="false" customHeight="false" outlineLevel="0" collapsed="false">
      <c r="A10" s="4" t="s">
        <v>976</v>
      </c>
      <c r="C10" s="15" t="n">
        <f aca="false">'Total Revenue'!B14</f>
        <v>2201.57826800565</v>
      </c>
      <c r="D10" s="15" t="n">
        <f aca="false">'Total Revenue'!O14</f>
        <v>8375.99103705939</v>
      </c>
      <c r="E10" s="15" t="n">
        <f aca="false">'Total Revenue'!AB14</f>
        <v>18337.9043787047</v>
      </c>
      <c r="F10" s="15" t="n">
        <f aca="false">'Total Revenue'!AO14</f>
        <v>30966.4936955782</v>
      </c>
      <c r="G10" s="15" t="n">
        <f aca="false">'Total Revenue'!BB14</f>
        <v>41465.2846288978</v>
      </c>
    </row>
    <row r="11" customFormat="false" ht="15" hidden="false" customHeight="false" outlineLevel="0" collapsed="false">
      <c r="A11" s="4" t="s">
        <v>977</v>
      </c>
      <c r="C11" s="15" t="n">
        <f aca="false">'Total Revenue'!B16</f>
        <v>0</v>
      </c>
      <c r="D11" s="15" t="n">
        <f aca="false">'Total Revenue'!O16</f>
        <v>0</v>
      </c>
      <c r="E11" s="15" t="n">
        <f aca="false">'Total Revenue'!AB16</f>
        <v>1986.62834844197</v>
      </c>
      <c r="F11" s="15" t="n">
        <f aca="false">'Total Revenue'!AO16</f>
        <v>4724.1424360894</v>
      </c>
      <c r="G11" s="15" t="n">
        <f aca="false">'Total Revenue'!BB16</f>
        <v>8935.74643377472</v>
      </c>
    </row>
    <row r="13" customFormat="false" ht="15" hidden="false" customHeight="false" outlineLevel="0" collapsed="false">
      <c r="A13" s="4" t="s">
        <v>978</v>
      </c>
      <c r="C13" s="15" t="n">
        <f aca="false">Expenses!B16</f>
        <v>16252.4431114538</v>
      </c>
      <c r="D13" s="15" t="n">
        <f aca="false">Expenses!O16</f>
        <v>80369.463236007</v>
      </c>
      <c r="E13" s="15" t="n">
        <f aca="false">Expenses!AB16</f>
        <v>227899.167193589</v>
      </c>
      <c r="F13" s="15" t="n">
        <f aca="false">Expenses!AO16</f>
        <v>484737.987175533</v>
      </c>
      <c r="G13" s="15" t="n">
        <f aca="false">Expenses!BB16</f>
        <v>843966.641102474</v>
      </c>
    </row>
    <row r="14" customFormat="false" ht="15" hidden="false" customHeight="false" outlineLevel="0" collapsed="false">
      <c r="A14" s="13" t="s">
        <v>93</v>
      </c>
      <c r="C14" s="14" t="n">
        <f aca="false">Expenses!B17</f>
        <v>52349.6110245031</v>
      </c>
      <c r="D14" s="14" t="n">
        <f aca="false">Expenses!O17</f>
        <v>311491.045936843</v>
      </c>
      <c r="E14" s="14" t="n">
        <f aca="false">Expenses!AB17</f>
        <v>993713.535906895</v>
      </c>
      <c r="F14" s="14" t="n">
        <f aca="false">Expenses!AO17</f>
        <v>2279092.20561036</v>
      </c>
      <c r="G14" s="14" t="n">
        <f aca="false">Expenses!BB17</f>
        <v>4154745.47011083</v>
      </c>
    </row>
    <row r="15" customFormat="false" ht="15" hidden="false" customHeight="false" outlineLevel="0" collapsed="false">
      <c r="A15" s="4" t="s">
        <v>979</v>
      </c>
      <c r="C15" s="97" t="n">
        <f aca="false">IFERROR(C14/C6,0)</f>
        <v>0.76309101358329</v>
      </c>
      <c r="D15" s="97" t="n">
        <f aca="false">IFERROR(D14/D6,0)</f>
        <v>0.794902876521921</v>
      </c>
      <c r="E15" s="97" t="n">
        <f aca="false">IFERROR(E14/E6,0)</f>
        <v>0.813444010024474</v>
      </c>
      <c r="F15" s="97" t="n">
        <f aca="false">IFERROR(F14/F6,0)</f>
        <v>0.824613687034468</v>
      </c>
      <c r="G15" s="97" t="n">
        <f aca="false">IFERROR(G14/G6,0)</f>
        <v>0.83116318317087</v>
      </c>
    </row>
    <row r="17" customFormat="false" ht="15" hidden="false" customHeight="false" outlineLevel="0" collapsed="false">
      <c r="A17" s="13" t="s">
        <v>980</v>
      </c>
    </row>
    <row r="18" customFormat="false" ht="15" hidden="false" customHeight="false" outlineLevel="0" collapsed="false">
      <c r="A18" s="4" t="s">
        <v>981</v>
      </c>
      <c r="C18" s="15" t="n">
        <f aca="false">Expenses!B22</f>
        <v>254496.472537741</v>
      </c>
      <c r="D18" s="15" t="n">
        <f aca="false">Expenses!O22</f>
        <v>399500.131551581</v>
      </c>
      <c r="E18" s="15" t="n">
        <f aca="false">Expenses!AB22</f>
        <v>580512.138455041</v>
      </c>
      <c r="F18" s="15" t="n">
        <f aca="false">Expenses!AO22</f>
        <v>789730.808776682</v>
      </c>
      <c r="G18" s="15" t="n">
        <f aca="false">Expenses!BB22</f>
        <v>1079423.63839022</v>
      </c>
    </row>
    <row r="19" customFormat="false" ht="15" hidden="false" customHeight="false" outlineLevel="0" collapsed="false">
      <c r="A19" s="4" t="s">
        <v>982</v>
      </c>
      <c r="C19" s="15" t="n">
        <f aca="false">Expenses!B23</f>
        <v>3616.14737084734</v>
      </c>
      <c r="D19" s="15" t="n">
        <f aca="false">Expenses!O23</f>
        <v>19720.5566162458</v>
      </c>
      <c r="E19" s="15" t="n">
        <f aca="false">Expenses!AB23</f>
        <v>58862.3092702812</v>
      </c>
      <c r="F19" s="15" t="n">
        <f aca="false">Expenses!AO23</f>
        <v>130613.612491689</v>
      </c>
      <c r="G19" s="15" t="n">
        <f aca="false">Expenses!BB23</f>
        <v>233409.14541226</v>
      </c>
    </row>
    <row r="20" customFormat="false" ht="15" hidden="false" customHeight="false" outlineLevel="0" collapsed="false">
      <c r="A20" s="4" t="s">
        <v>983</v>
      </c>
      <c r="C20" s="15" t="n">
        <f aca="false">Expenses!B24</f>
        <v>338.856119619899</v>
      </c>
      <c r="D20" s="15" t="n">
        <f aca="false">Expenses!O24</f>
        <v>2202.76543595821</v>
      </c>
      <c r="E20" s="15" t="n">
        <f aca="false">Expenses!AB24</f>
        <v>7614.4514133579</v>
      </c>
      <c r="F20" s="15" t="n">
        <f aca="false">Expenses!AO24</f>
        <v>17958.4288580925</v>
      </c>
      <c r="G20" s="15" t="n">
        <f aca="false">Expenses!BB24</f>
        <v>33285.9149636205</v>
      </c>
    </row>
    <row r="21" customFormat="false" ht="15" hidden="false" customHeight="false" outlineLevel="0" collapsed="false">
      <c r="A21" s="4" t="s">
        <v>984</v>
      </c>
      <c r="C21" s="15" t="n">
        <f aca="false">Expenses!B25</f>
        <v>40200</v>
      </c>
      <c r="D21" s="15" t="n">
        <f aca="false">Expenses!O25</f>
        <v>90000</v>
      </c>
      <c r="E21" s="15" t="n">
        <f aca="false">Expenses!AB25</f>
        <v>156000</v>
      </c>
      <c r="F21" s="15" t="n">
        <f aca="false">Expenses!AO25</f>
        <v>219600</v>
      </c>
      <c r="G21" s="15" t="n">
        <f aca="false">Expenses!BB25</f>
        <v>282000</v>
      </c>
    </row>
    <row r="22" customFormat="false" ht="15" hidden="false" customHeight="false" outlineLevel="0" collapsed="false">
      <c r="A22" s="4" t="s">
        <v>985</v>
      </c>
      <c r="C22" s="15" t="n">
        <f aca="false">Expenses!B26</f>
        <v>14760</v>
      </c>
      <c r="D22" s="15" t="n">
        <f aca="false">Expenses!O26</f>
        <v>34920</v>
      </c>
      <c r="E22" s="15" t="n">
        <f aca="false">Expenses!AB26</f>
        <v>55080</v>
      </c>
      <c r="F22" s="15" t="n">
        <f aca="false">Expenses!AO26</f>
        <v>75240</v>
      </c>
      <c r="G22" s="15" t="n">
        <f aca="false">Expenses!BB26</f>
        <v>95400</v>
      </c>
    </row>
    <row r="23" customFormat="false" ht="15" hidden="false" customHeight="false" outlineLevel="0" collapsed="false">
      <c r="A23" s="4" t="s">
        <v>986</v>
      </c>
      <c r="C23" s="15" t="n">
        <f aca="false">Expenses!B27</f>
        <v>10800</v>
      </c>
      <c r="D23" s="15" t="n">
        <f aca="false">Expenses!O27</f>
        <v>11664</v>
      </c>
      <c r="E23" s="15" t="n">
        <f aca="false">Expenses!AB27</f>
        <v>12597.12</v>
      </c>
      <c r="F23" s="15" t="n">
        <f aca="false">Expenses!AO27</f>
        <v>13478.9184</v>
      </c>
      <c r="G23" s="15" t="n">
        <f aca="false">Expenses!BB27</f>
        <v>14287.653504</v>
      </c>
    </row>
    <row r="24" customFormat="false" ht="15" hidden="false" customHeight="false" outlineLevel="0" collapsed="false">
      <c r="A24" s="4" t="s">
        <v>987</v>
      </c>
      <c r="C24" s="15" t="n">
        <f aca="false">Expenses!B28</f>
        <v>6000</v>
      </c>
      <c r="D24" s="15" t="n">
        <f aca="false">Expenses!O28</f>
        <v>6480</v>
      </c>
      <c r="E24" s="15" t="n">
        <f aca="false">Expenses!AB28</f>
        <v>6998.4</v>
      </c>
      <c r="F24" s="15" t="n">
        <f aca="false">Expenses!AO28</f>
        <v>7488.288</v>
      </c>
      <c r="G24" s="15" t="n">
        <f aca="false">Expenses!BB28</f>
        <v>7937.58528</v>
      </c>
    </row>
    <row r="25" customFormat="false" ht="15" hidden="false" customHeight="false" outlineLevel="0" collapsed="false">
      <c r="A25" s="4" t="s">
        <v>988</v>
      </c>
      <c r="C25" s="15" t="n">
        <f aca="false">Expenses!B29</f>
        <v>4200</v>
      </c>
      <c r="D25" s="15" t="n">
        <f aca="false">Expenses!O29</f>
        <v>4536</v>
      </c>
      <c r="E25" s="15" t="n">
        <f aca="false">Expenses!AB29</f>
        <v>4898.88</v>
      </c>
      <c r="F25" s="15" t="n">
        <f aca="false">Expenses!AO29</f>
        <v>5241.8016</v>
      </c>
      <c r="G25" s="15" t="n">
        <f aca="false">Expenses!BB29</f>
        <v>5556.309696</v>
      </c>
    </row>
    <row r="26" customFormat="false" ht="15" hidden="false" customHeight="false" outlineLevel="0" collapsed="false">
      <c r="A26" s="4" t="s">
        <v>989</v>
      </c>
      <c r="C26" s="15" t="n">
        <f aca="false">Expenses!B30</f>
        <v>1991.22767027093</v>
      </c>
      <c r="D26" s="15" t="n">
        <f aca="false">Expenses!O30</f>
        <v>6756.64229424485</v>
      </c>
      <c r="E26" s="15" t="n">
        <f aca="false">Expenses!AB30</f>
        <v>15660.2312295272</v>
      </c>
      <c r="F26" s="15" t="n">
        <f aca="false">Expenses!AO30</f>
        <v>28001.1925585115</v>
      </c>
      <c r="G26" s="15" t="n">
        <f aca="false">Expenses!BB30</f>
        <v>39721.9309105202</v>
      </c>
    </row>
    <row r="27" customFormat="false" ht="15" hidden="false" customHeight="false" outlineLevel="0" collapsed="false">
      <c r="A27" s="4" t="s">
        <v>990</v>
      </c>
      <c r="C27" s="15" t="n">
        <f aca="false">Expenses!B31</f>
        <v>10080</v>
      </c>
      <c r="D27" s="15" t="n">
        <f aca="false">Expenses!O31</f>
        <v>17236.8</v>
      </c>
      <c r="E27" s="15" t="n">
        <f aca="false">Expenses!AB31</f>
        <v>27923.616</v>
      </c>
      <c r="F27" s="15" t="n">
        <f aca="false">Expenses!AO31</f>
        <v>41366.55096</v>
      </c>
      <c r="G27" s="15" t="n">
        <f aca="false">Expenses!BB31</f>
        <v>59452.5137472</v>
      </c>
    </row>
    <row r="28" customFormat="false" ht="15" hidden="false" customHeight="false" outlineLevel="0" collapsed="false">
      <c r="A28" s="4" t="s">
        <v>991</v>
      </c>
      <c r="C28" s="15" t="n">
        <f aca="false">Expenses!B32</f>
        <v>6239.77888635322</v>
      </c>
      <c r="D28" s="15" t="n">
        <f aca="false">Expenses!O32</f>
        <v>7063.90062606025</v>
      </c>
      <c r="E28" s="15" t="n">
        <f aca="false">Expenses!AB32</f>
        <v>8481.52733832277</v>
      </c>
      <c r="F28" s="15" t="n">
        <f aca="false">Expenses!AO32</f>
        <v>9906.54585787924</v>
      </c>
      <c r="G28" s="15" t="n">
        <f aca="false">Expenses!BB32</f>
        <v>10783.6130528439</v>
      </c>
    </row>
    <row r="29" customFormat="false" ht="15" hidden="false" customHeight="false" outlineLevel="0" collapsed="false">
      <c r="A29" s="4" t="s">
        <v>992</v>
      </c>
      <c r="C29" s="15" t="n">
        <f aca="false">Expenses!B33</f>
        <v>8064</v>
      </c>
      <c r="D29" s="15" t="n">
        <f aca="false">Expenses!O33</f>
        <v>13789.44</v>
      </c>
      <c r="E29" s="15" t="n">
        <f aca="false">Expenses!AB33</f>
        <v>22338.8928</v>
      </c>
      <c r="F29" s="15" t="n">
        <f aca="false">Expenses!AO33</f>
        <v>33093.240768</v>
      </c>
      <c r="G29" s="15" t="n">
        <f aca="false">Expenses!BB33</f>
        <v>47562.01099776</v>
      </c>
    </row>
    <row r="30" customFormat="false" ht="15" hidden="false" customHeight="false" outlineLevel="0" collapsed="false">
      <c r="A30" s="4" t="s">
        <v>993</v>
      </c>
      <c r="C30" s="15" t="n">
        <f aca="false">Expenses!B34</f>
        <v>21600</v>
      </c>
      <c r="D30" s="15" t="n">
        <f aca="false">Expenses!O34</f>
        <v>36936</v>
      </c>
      <c r="E30" s="15" t="n">
        <f aca="false">Expenses!AB34</f>
        <v>59836.32</v>
      </c>
      <c r="F30" s="15" t="n">
        <f aca="false">Expenses!AO34</f>
        <v>88642.6092</v>
      </c>
      <c r="G30" s="15" t="n">
        <f aca="false">Expenses!BB34</f>
        <v>127398.243744</v>
      </c>
    </row>
    <row r="31" customFormat="false" ht="15" hidden="false" customHeight="false" outlineLevel="0" collapsed="false">
      <c r="A31" s="4" t="s">
        <v>994</v>
      </c>
      <c r="C31" s="15" t="n">
        <f aca="false">Expenses!B35</f>
        <v>5040</v>
      </c>
      <c r="D31" s="15" t="n">
        <f aca="false">Expenses!O35</f>
        <v>5443.2</v>
      </c>
      <c r="E31" s="15" t="n">
        <f aca="false">Expenses!AB35</f>
        <v>5878.656</v>
      </c>
      <c r="F31" s="15" t="n">
        <f aca="false">Expenses!AO35</f>
        <v>6290.16192</v>
      </c>
      <c r="G31" s="15" t="n">
        <f aca="false">Expenses!BB35</f>
        <v>6667.5716352</v>
      </c>
    </row>
    <row r="32" customFormat="false" ht="15" hidden="false" customHeight="false" outlineLevel="0" collapsed="false">
      <c r="A32" s="4" t="s">
        <v>995</v>
      </c>
      <c r="C32" s="15" t="n">
        <f aca="false">Expenses!B36</f>
        <v>4200</v>
      </c>
      <c r="D32" s="15" t="n">
        <f aca="false">Expenses!O36</f>
        <v>4536</v>
      </c>
      <c r="E32" s="15" t="n">
        <f aca="false">Expenses!AB36</f>
        <v>4898.88</v>
      </c>
      <c r="F32" s="15" t="n">
        <f aca="false">Expenses!AO36</f>
        <v>5241.8016</v>
      </c>
      <c r="G32" s="15" t="n">
        <f aca="false">Expenses!BB36</f>
        <v>5556.309696</v>
      </c>
    </row>
    <row r="33" customFormat="false" ht="15" hidden="false" customHeight="false" outlineLevel="0" collapsed="false">
      <c r="A33" s="4" t="s">
        <v>996</v>
      </c>
      <c r="C33" s="15" t="n">
        <f aca="false">Expenses!B37</f>
        <v>1440</v>
      </c>
      <c r="D33" s="15" t="n">
        <f aca="false">Expenses!O37</f>
        <v>1555.2</v>
      </c>
      <c r="E33" s="15" t="n">
        <f aca="false">Expenses!AB37</f>
        <v>1679.616</v>
      </c>
      <c r="F33" s="15" t="n">
        <f aca="false">Expenses!AO37</f>
        <v>1797.18912</v>
      </c>
      <c r="G33" s="15" t="n">
        <f aca="false">Expenses!BB37</f>
        <v>1905.0204672</v>
      </c>
    </row>
    <row r="34" customFormat="false" ht="15" hidden="false" customHeight="false" outlineLevel="0" collapsed="false">
      <c r="A34" s="4" t="s">
        <v>997</v>
      </c>
      <c r="C34" s="15" t="n">
        <f aca="false">Expenses!B38</f>
        <v>4200</v>
      </c>
      <c r="D34" s="15" t="n">
        <f aca="false">Expenses!O38</f>
        <v>11793.6</v>
      </c>
      <c r="E34" s="15" t="n">
        <f aca="false">Expenses!AB38</f>
        <v>23514.624</v>
      </c>
      <c r="F34" s="15" t="n">
        <f aca="false">Expenses!AO38</f>
        <v>39750.3288</v>
      </c>
      <c r="G34" s="15" t="n">
        <f aca="false">Expenses!BB38</f>
        <v>64453.1924736</v>
      </c>
    </row>
    <row r="35" customFormat="false" ht="15" hidden="false" customHeight="false" outlineLevel="0" collapsed="false">
      <c r="A35" s="4" t="s">
        <v>998</v>
      </c>
      <c r="C35" s="15" t="n">
        <f aca="false">Expenses!B39</f>
        <v>6990.29126213592</v>
      </c>
      <c r="D35" s="15" t="n">
        <f aca="false">Expenses!O39</f>
        <v>4888.65999127099</v>
      </c>
      <c r="E35" s="15" t="n">
        <f aca="false">Expenses!AB39</f>
        <v>6447.44338787567</v>
      </c>
      <c r="F35" s="15" t="n">
        <f aca="false">Expenses!AO39</f>
        <v>8145.69743865334</v>
      </c>
      <c r="G35" s="15" t="n">
        <f aca="false">Expenses!BB39</f>
        <v>11087.3666592774</v>
      </c>
    </row>
    <row r="36" customFormat="false" ht="15" hidden="false" customHeight="false" outlineLevel="0" collapsed="false">
      <c r="A36" s="4" t="s">
        <v>999</v>
      </c>
      <c r="C36" s="15" t="n">
        <f aca="false">Expenses!B40</f>
        <v>4320</v>
      </c>
      <c r="D36" s="15" t="n">
        <f aca="false">Expenses!O40</f>
        <v>7387.2</v>
      </c>
      <c r="E36" s="15" t="n">
        <f aca="false">Expenses!AB40</f>
        <v>11967.264</v>
      </c>
      <c r="F36" s="15" t="n">
        <f aca="false">Expenses!AO40</f>
        <v>17728.52184</v>
      </c>
      <c r="G36" s="15" t="n">
        <f aca="false">Expenses!BB40</f>
        <v>25479.6487488</v>
      </c>
    </row>
    <row r="37" customFormat="false" ht="15" hidden="false" customHeight="false" outlineLevel="0" collapsed="false">
      <c r="A37" s="4" t="s">
        <v>1000</v>
      </c>
      <c r="C37" s="15" t="n">
        <f aca="false">Expenses!B41</f>
        <v>14400</v>
      </c>
      <c r="D37" s="15" t="n">
        <f aca="false">Expenses!O41</f>
        <v>15552</v>
      </c>
      <c r="E37" s="15" t="n">
        <f aca="false">Expenses!AB41</f>
        <v>16796.16</v>
      </c>
      <c r="F37" s="15" t="n">
        <f aca="false">Expenses!AO41</f>
        <v>17971.8912</v>
      </c>
      <c r="G37" s="15" t="n">
        <f aca="false">Expenses!BB41</f>
        <v>19050.204672</v>
      </c>
    </row>
    <row r="38" customFormat="false" ht="15" hidden="false" customHeight="false" outlineLevel="0" collapsed="false">
      <c r="A38" s="4" t="s">
        <v>1001</v>
      </c>
      <c r="C38" s="15" t="n">
        <f aca="false">Expenses!B42</f>
        <v>4800</v>
      </c>
      <c r="D38" s="15" t="n">
        <f aca="false">Expenses!O42</f>
        <v>5184</v>
      </c>
      <c r="E38" s="15" t="n">
        <f aca="false">Expenses!AB42</f>
        <v>5598.72</v>
      </c>
      <c r="F38" s="15" t="n">
        <f aca="false">Expenses!AO42</f>
        <v>5990.6304</v>
      </c>
      <c r="G38" s="15" t="n">
        <f aca="false">Expenses!BB42</f>
        <v>6350.068224</v>
      </c>
    </row>
    <row r="39" customFormat="false" ht="15" hidden="false" customHeight="false" outlineLevel="0" collapsed="false">
      <c r="A39" s="4" t="s">
        <v>1002</v>
      </c>
      <c r="C39" s="15" t="n">
        <f aca="false">Expenses!B43</f>
        <v>2400</v>
      </c>
      <c r="D39" s="15" t="n">
        <f aca="false">Expenses!O43</f>
        <v>2592</v>
      </c>
      <c r="E39" s="15" t="n">
        <f aca="false">Expenses!AB43</f>
        <v>2799.36</v>
      </c>
      <c r="F39" s="15" t="n">
        <f aca="false">Expenses!AO43</f>
        <v>2995.3152</v>
      </c>
      <c r="G39" s="15" t="n">
        <f aca="false">Expenses!BB43</f>
        <v>3175.034112</v>
      </c>
    </row>
    <row r="40" customFormat="false" ht="15" hidden="false" customHeight="false" outlineLevel="0" collapsed="false">
      <c r="A40" s="4" t="s">
        <v>1003</v>
      </c>
      <c r="C40" s="15" t="n">
        <f aca="false">Expenses!B44</f>
        <v>25810.6064308181</v>
      </c>
      <c r="D40" s="15" t="n">
        <f aca="false">Expenses!O44</f>
        <v>42584.2857909216</v>
      </c>
      <c r="E40" s="15" t="n">
        <f aca="false">Expenses!AB44</f>
        <v>65783.0765936643</v>
      </c>
      <c r="F40" s="15" t="n">
        <f aca="false">Expenses!AO44</f>
        <v>93976.4120993705</v>
      </c>
      <c r="G40" s="15" t="n">
        <f aca="false">Expenses!BB44</f>
        <v>130796.57858319</v>
      </c>
    </row>
    <row r="41" customFormat="false" ht="15" hidden="false" customHeight="false" outlineLevel="0" collapsed="false">
      <c r="A41" s="13" t="s">
        <v>1004</v>
      </c>
      <c r="C41" s="98" t="n">
        <f aca="false">SUM(C18:C40)</f>
        <v>455987.380277787</v>
      </c>
      <c r="D41" s="98" t="n">
        <f aca="false">SUM(D18:D40)</f>
        <v>752322.382306282</v>
      </c>
      <c r="E41" s="98" t="n">
        <f aca="false">SUM(E18:E40)</f>
        <v>1162167.68648807</v>
      </c>
      <c r="F41" s="98" t="n">
        <f aca="false">SUM(F18:F40)</f>
        <v>1660249.94708888</v>
      </c>
      <c r="G41" s="98" t="n">
        <f aca="false">SUM(G18:G40)</f>
        <v>2310739.5549697</v>
      </c>
    </row>
    <row r="43" customFormat="false" ht="15" hidden="false" customHeight="false" outlineLevel="0" collapsed="false">
      <c r="A43" s="13" t="s">
        <v>95</v>
      </c>
      <c r="C43" s="98" t="n">
        <f aca="false">C14-C41</f>
        <v>-403637.769253284</v>
      </c>
      <c r="D43" s="98" t="n">
        <f aca="false">D14-D41</f>
        <v>-440831.336369439</v>
      </c>
      <c r="E43" s="98" t="n">
        <f aca="false">E14-E41</f>
        <v>-168454.150581175</v>
      </c>
      <c r="F43" s="98" t="n">
        <f aca="false">F14-F41</f>
        <v>618842.258521481</v>
      </c>
      <c r="G43" s="98" t="n">
        <f aca="false">G14-G41</f>
        <v>1844005.91514114</v>
      </c>
    </row>
    <row r="44" customFormat="false" ht="15" hidden="false" customHeight="false" outlineLevel="0" collapsed="false">
      <c r="A44" s="4" t="s">
        <v>1005</v>
      </c>
      <c r="C44" s="97" t="n">
        <f aca="false">IFERROR(C43/C6,0)</f>
        <v>-5.88375631512938</v>
      </c>
      <c r="D44" s="97" t="n">
        <f aca="false">IFERROR(D43/D6,0)</f>
        <v>-1.12497004941875</v>
      </c>
      <c r="E44" s="97" t="n">
        <f aca="false">IFERROR(E43/E6,0)</f>
        <v>-0.137894891035133</v>
      </c>
      <c r="F44" s="97" t="n">
        <f aca="false">IFERROR(F43/F6,0)</f>
        <v>0.22390748177539</v>
      </c>
      <c r="G44" s="97" t="n">
        <f aca="false">IFERROR(G43/G6,0)</f>
        <v>0.368896202484755</v>
      </c>
    </row>
    <row r="45" customFormat="false" ht="15" hidden="false" customHeight="false" outlineLevel="0" collapsed="false">
      <c r="A45" s="4" t="s">
        <v>946</v>
      </c>
      <c r="C45" s="15" t="n">
        <f aca="false">Expenses!B46</f>
        <v>25401.4392748638</v>
      </c>
      <c r="D45" s="15" t="n">
        <f aca="false">Expenses!O46</f>
        <v>30819.2286130826</v>
      </c>
      <c r="E45" s="15" t="n">
        <f aca="false">Expenses!AB46</f>
        <v>37448.3798662964</v>
      </c>
      <c r="F45" s="15" t="n">
        <f aca="false">Expenses!AO46</f>
        <v>32750.708054406</v>
      </c>
      <c r="G45" s="15" t="n">
        <f aca="false">Expenses!BB46</f>
        <v>35226.7498718484</v>
      </c>
    </row>
    <row r="46" customFormat="false" ht="15" hidden="false" customHeight="false" outlineLevel="0" collapsed="false">
      <c r="A46" s="13" t="s">
        <v>949</v>
      </c>
      <c r="C46" s="98" t="n">
        <f aca="false">C43-C45</f>
        <v>-429039.208528148</v>
      </c>
      <c r="D46" s="98" t="n">
        <f aca="false">D43-D45</f>
        <v>-471650.564982522</v>
      </c>
      <c r="E46" s="98" t="n">
        <f aca="false">E43-E45</f>
        <v>-205902.530447471</v>
      </c>
      <c r="F46" s="98" t="n">
        <f aca="false">F43-F45</f>
        <v>586091.550467075</v>
      </c>
      <c r="G46" s="98" t="n">
        <f aca="false">G43-G45</f>
        <v>1808779.16526929</v>
      </c>
    </row>
    <row r="48" customFormat="false" ht="15" hidden="false" customHeight="false" outlineLevel="0" collapsed="false">
      <c r="A48" s="13" t="s">
        <v>1006</v>
      </c>
      <c r="C48" s="98" t="n">
        <f aca="false">C46</f>
        <v>-429039.208528148</v>
      </c>
      <c r="D48" s="98" t="n">
        <f aca="false">D46</f>
        <v>-471650.564982522</v>
      </c>
      <c r="E48" s="98" t="n">
        <f aca="false">E46</f>
        <v>-205902.530447471</v>
      </c>
      <c r="F48" s="98" t="n">
        <f aca="false">F46</f>
        <v>586091.550467075</v>
      </c>
      <c r="G48" s="98" t="n">
        <f aca="false">G46</f>
        <v>1808779.16526929</v>
      </c>
    </row>
    <row r="49" customFormat="false" ht="15" hidden="false" customHeight="false" outlineLevel="0" collapsed="false">
      <c r="A49" s="4" t="s">
        <v>1007</v>
      </c>
      <c r="C49" s="15" t="n">
        <f aca="false">'Assumption Setting'!$C$196</f>
        <v>0</v>
      </c>
      <c r="D49" s="99" t="n">
        <f aca="false">C50</f>
        <v>429039.208528148</v>
      </c>
      <c r="E49" s="99" t="n">
        <f aca="false">D50</f>
        <v>900689.77351067</v>
      </c>
      <c r="F49" s="99" t="n">
        <f aca="false">E50</f>
        <v>1106592.30395814</v>
      </c>
      <c r="G49" s="99" t="n">
        <f aca="false">F50</f>
        <v>520500.753491066</v>
      </c>
    </row>
    <row r="50" customFormat="false" ht="15" hidden="false" customHeight="false" outlineLevel="0" collapsed="false">
      <c r="A50" s="4" t="s">
        <v>1008</v>
      </c>
      <c r="C50" s="99" t="n">
        <f aca="false">MAX(0,C49-MAX(0,C48))+MAX(0,-C48)</f>
        <v>429039.208528148</v>
      </c>
      <c r="D50" s="99" t="n">
        <f aca="false">MAX(0,D49-MAX(0,D48))+MAX(0,-D48)</f>
        <v>900689.77351067</v>
      </c>
      <c r="E50" s="99" t="n">
        <f aca="false">MAX(0,E49-MAX(0,E48))+MAX(0,-E48)</f>
        <v>1106592.30395814</v>
      </c>
      <c r="F50" s="99" t="n">
        <f aca="false">MAX(0,F49-MAX(0,F48))+MAX(0,-F48)</f>
        <v>520500.753491066</v>
      </c>
      <c r="G50" s="99" t="n">
        <f aca="false">MAX(0,G49-MAX(0,G48))+MAX(0,-G48)</f>
        <v>0</v>
      </c>
    </row>
    <row r="51" customFormat="false" ht="15" hidden="false" customHeight="false" outlineLevel="0" collapsed="false">
      <c r="A51" s="4" t="s">
        <v>1009</v>
      </c>
      <c r="C51" s="99" t="n">
        <f aca="false">MAX(0,C48-C49)</f>
        <v>0</v>
      </c>
      <c r="D51" s="99" t="n">
        <f aca="false">MAX(0,D48-D49)</f>
        <v>0</v>
      </c>
      <c r="E51" s="99" t="n">
        <f aca="false">MAX(0,E48-E49)</f>
        <v>0</v>
      </c>
      <c r="F51" s="99" t="n">
        <f aca="false">MAX(0,F48-F49)</f>
        <v>0</v>
      </c>
      <c r="G51" s="99" t="n">
        <f aca="false">MAX(0,G48-G49)</f>
        <v>1288278.41177822</v>
      </c>
    </row>
    <row r="52" customFormat="false" ht="15" hidden="false" customHeight="false" outlineLevel="0" collapsed="false">
      <c r="A52" s="4" t="s">
        <v>1010</v>
      </c>
      <c r="C52" s="99" t="n">
        <f aca="false">-C51*'Assumption Setting'!$C$194</f>
        <v>-0</v>
      </c>
      <c r="D52" s="99" t="n">
        <f aca="false">-D51*'Assumption Setting'!$C$194</f>
        <v>-0</v>
      </c>
      <c r="E52" s="99" t="n">
        <f aca="false">-E51*'Assumption Setting'!$C$194</f>
        <v>-0</v>
      </c>
      <c r="F52" s="99" t="n">
        <f aca="false">-F51*'Assumption Setting'!$C$194</f>
        <v>-0</v>
      </c>
      <c r="G52" s="99" t="n">
        <f aca="false">-G51*'Assumption Setting'!$C$194</f>
        <v>-289862.6426501</v>
      </c>
    </row>
    <row r="53" customFormat="false" ht="15" hidden="false" customHeight="false" outlineLevel="0" collapsed="false">
      <c r="A53" s="13" t="s">
        <v>1011</v>
      </c>
      <c r="C53" s="98" t="n">
        <f aca="false">C48+C52</f>
        <v>-429039.208528148</v>
      </c>
      <c r="D53" s="98" t="n">
        <f aca="false">D48+D52</f>
        <v>-471650.564982522</v>
      </c>
      <c r="E53" s="98" t="n">
        <f aca="false">E48+E52</f>
        <v>-205902.530447471</v>
      </c>
      <c r="F53" s="98" t="n">
        <f aca="false">F48+F52</f>
        <v>586091.550467075</v>
      </c>
      <c r="G53" s="98" t="n">
        <f aca="false">G48+G52</f>
        <v>1518916.52261919</v>
      </c>
    </row>
    <row r="54" customFormat="false" ht="15" hidden="false" customHeight="false" outlineLevel="0" collapsed="false">
      <c r="A54" s="4" t="s">
        <v>1012</v>
      </c>
      <c r="C54" s="97" t="n">
        <f aca="false">IFERROR(C53/C6,0)</f>
        <v>-6.25402859917094</v>
      </c>
      <c r="D54" s="97" t="n">
        <f aca="false">IFERROR(D53/D6,0)</f>
        <v>-1.20361851715575</v>
      </c>
      <c r="E54" s="97" t="n">
        <f aca="false">IFERROR(E53/E6,0)</f>
        <v>-0.168549762068523</v>
      </c>
      <c r="F54" s="97" t="n">
        <f aca="false">IFERROR(F53/F6,0)</f>
        <v>0.212057727713114</v>
      </c>
      <c r="G54" s="97" t="n">
        <f aca="false">IFERROR(G53/G6,0)</f>
        <v>0.303861572506226</v>
      </c>
    </row>
    <row r="56" customFormat="false" ht="15" hidden="false" customHeight="false" outlineLevel="0" collapsed="false">
      <c r="A56" s="4" t="s">
        <v>97</v>
      </c>
      <c r="C56" s="15" t="n">
        <f aca="false">Expenses!B51</f>
        <v>497641.262664104</v>
      </c>
      <c r="D56" s="15" t="n">
        <f aca="false">Expenses!O51</f>
        <v>863511.074155372</v>
      </c>
      <c r="E56" s="15" t="n">
        <f aca="false">Expenses!AB51</f>
        <v>1427515.23354795</v>
      </c>
      <c r="F56" s="15" t="n">
        <f aca="false">Expenses!AO51</f>
        <v>2177738.64231882</v>
      </c>
      <c r="G56" s="15" t="n">
        <f aca="false">Expenses!BB51</f>
        <v>3189932.94594402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
    <col collapsed="false" customWidth="true" hidden="false" outlineLevel="0" max="8" min="3" style="0" width="17"/>
  </cols>
  <sheetData>
    <row r="1" customFormat="false" ht="18.55" hidden="false" customHeight="false" outlineLevel="0" collapsed="false">
      <c r="A1" s="7" t="s">
        <v>968</v>
      </c>
    </row>
    <row r="2" customFormat="false" ht="15" hidden="false" customHeight="false" outlineLevel="0" collapsed="false">
      <c r="A2" s="8" t="s">
        <v>1013</v>
      </c>
    </row>
    <row r="4" customFormat="false" ht="15" hidden="false" customHeight="false" outlineLevel="0" collapsed="false">
      <c r="A4" s="9" t="s">
        <v>1014</v>
      </c>
      <c r="B4" s="10"/>
      <c r="C4" s="10"/>
      <c r="D4" s="10"/>
      <c r="E4" s="10"/>
      <c r="F4" s="10"/>
      <c r="G4" s="10"/>
    </row>
    <row r="5" customFormat="false" ht="15" hidden="false" customHeight="false" outlineLevel="0" collapsed="false">
      <c r="A5" s="11" t="s">
        <v>632</v>
      </c>
      <c r="B5" s="12"/>
      <c r="C5" s="12" t="s">
        <v>87</v>
      </c>
      <c r="D5" s="12" t="s">
        <v>88</v>
      </c>
      <c r="E5" s="12" t="s">
        <v>89</v>
      </c>
      <c r="F5" s="12" t="s">
        <v>90</v>
      </c>
      <c r="G5" s="12" t="s">
        <v>91</v>
      </c>
    </row>
    <row r="6" customFormat="false" ht="15" hidden="false" customHeight="false" outlineLevel="0" collapsed="false">
      <c r="A6" s="4" t="s">
        <v>1015</v>
      </c>
      <c r="C6" s="15" t="n">
        <f aca="false">'Cash Flow Statement'!N34</f>
        <v>185235.302287375</v>
      </c>
      <c r="D6" s="15" t="n">
        <f aca="false">'Cash Flow Statement'!AA34</f>
        <v>237273.564765139</v>
      </c>
      <c r="E6" s="15" t="n">
        <f aca="false">'Cash Flow Statement'!AN34</f>
        <v>188317.945408139</v>
      </c>
      <c r="F6" s="15" t="n">
        <f aca="false">'Cash Flow Statement'!BA34</f>
        <v>1031867.55982344</v>
      </c>
      <c r="G6" s="15" t="n">
        <f aca="false">'Cash Flow Statement'!BN34</f>
        <v>3195853.68084787</v>
      </c>
    </row>
    <row r="7" customFormat="false" ht="15" hidden="false" customHeight="false" outlineLevel="0" collapsed="false">
      <c r="A7" s="4" t="s">
        <v>1016</v>
      </c>
      <c r="C7" s="15" t="n">
        <f aca="false">'Cash Flow Statement'!N13</f>
        <v>2236.58311352374</v>
      </c>
      <c r="D7" s="15" t="n">
        <f aca="false">'Cash Flow Statement'!AA13</f>
        <v>10114.9242468101</v>
      </c>
      <c r="E7" s="15" t="n">
        <f aca="false">'Cash Flow Statement'!AN13</f>
        <v>28076.0124157799</v>
      </c>
      <c r="F7" s="15" t="n">
        <f aca="false">'Cash Flow Statement'!BA13</f>
        <v>58854.8662578268</v>
      </c>
      <c r="G7" s="15" t="n">
        <f aca="false">'Cash Flow Statement'!BN13</f>
        <v>99679.7467323608</v>
      </c>
    </row>
    <row r="8" customFormat="false" ht="15" hidden="false" customHeight="false" outlineLevel="0" collapsed="false">
      <c r="A8" s="4" t="s">
        <v>907</v>
      </c>
      <c r="C8" s="15" t="n">
        <f aca="false">'Depreciation and Amortization'!N20</f>
        <v>30855.3926000828</v>
      </c>
      <c r="D8" s="15" t="n">
        <f aca="false">'Depreciation and Amortization'!AA20</f>
        <v>30847.6220779311</v>
      </c>
      <c r="E8" s="15" t="n">
        <f aca="false">'Depreciation and Amortization'!AN20</f>
        <v>25528.4567758684</v>
      </c>
      <c r="F8" s="15" t="n">
        <f aca="false">'Depreciation and Amortization'!BA20</f>
        <v>26492.7678212595</v>
      </c>
      <c r="G8" s="15" t="n">
        <f aca="false">'Depreciation and Amortization'!BN20</f>
        <v>29939.6840468913</v>
      </c>
    </row>
    <row r="9" customFormat="false" ht="15" hidden="false" customHeight="false" outlineLevel="0" collapsed="false">
      <c r="A9" s="4" t="s">
        <v>908</v>
      </c>
      <c r="C9" s="15" t="n">
        <f aca="false">'Depreciation and Amortization'!N21</f>
        <v>48174.7572815534</v>
      </c>
      <c r="D9" s="15" t="n">
        <f aca="false">'Depreciation and Amortization'!AA21</f>
        <v>36349.5145631068</v>
      </c>
      <c r="E9" s="15" t="n">
        <f aca="false">'Depreciation and Amortization'!AN21</f>
        <v>24524.2718446601</v>
      </c>
      <c r="F9" s="15" t="n">
        <f aca="false">'Depreciation and Amortization'!BA21</f>
        <v>12699.0291262135</v>
      </c>
      <c r="G9" s="15" t="n">
        <f aca="false">'Depreciation and Amortization'!BN21</f>
        <v>873.786407766922</v>
      </c>
    </row>
    <row r="10" customFormat="false" ht="15" hidden="false" customHeight="false" outlineLevel="0" collapsed="false">
      <c r="A10" s="13" t="s">
        <v>1017</v>
      </c>
      <c r="C10" s="100" t="n">
        <f aca="false">SUM(C6:C9)</f>
        <v>266502.035282535</v>
      </c>
      <c r="D10" s="100" t="n">
        <f aca="false">SUM(D6:D9)</f>
        <v>314585.625652987</v>
      </c>
      <c r="E10" s="100" t="n">
        <f aca="false">SUM(E6:E9)</f>
        <v>266446.686444448</v>
      </c>
      <c r="F10" s="100" t="n">
        <f aca="false">SUM(F6:F9)</f>
        <v>1129914.22302874</v>
      </c>
      <c r="G10" s="100" t="n">
        <f aca="false">SUM(G6:G9)</f>
        <v>3326346.89803489</v>
      </c>
    </row>
    <row r="12" customFormat="false" ht="15" hidden="false" customHeight="false" outlineLevel="0" collapsed="false">
      <c r="A12" s="4" t="s">
        <v>1018</v>
      </c>
      <c r="C12" s="15" t="n">
        <f aca="false">'Cash Flow Statement'!N14</f>
        <v>19180.9089591992</v>
      </c>
      <c r="D12" s="15" t="n">
        <f aca="false">'Cash Flow Statement'!AA14</f>
        <v>40914.7970144076</v>
      </c>
      <c r="E12" s="15" t="n">
        <f aca="false">'Cash Flow Statement'!AN14</f>
        <v>77281.2145939583</v>
      </c>
      <c r="F12" s="15" t="n">
        <f aca="false">'Cash Flow Statement'!BA14</f>
        <v>128693.540520239</v>
      </c>
      <c r="G12" s="15" t="n">
        <f aca="false">'Cash Flow Statement'!BN14</f>
        <v>193029.103369816</v>
      </c>
    </row>
    <row r="13" customFormat="false" ht="15" hidden="false" customHeight="false" outlineLevel="0" collapsed="false">
      <c r="A13" s="4" t="s">
        <v>1019</v>
      </c>
      <c r="C13" s="15" t="n">
        <f aca="false">'Cash Flow Statement'!N15</f>
        <v>8258.49632519262</v>
      </c>
      <c r="D13" s="15" t="n">
        <f aca="false">'Cash Flow Statement'!AA15</f>
        <v>13301.9714064127</v>
      </c>
      <c r="E13" s="15" t="n">
        <f aca="false">'Cash Flow Statement'!AN15</f>
        <v>19374.3224468382</v>
      </c>
      <c r="F13" s="15" t="n">
        <f aca="false">'Cash Flow Statement'!BA15</f>
        <v>26602.2602374177</v>
      </c>
      <c r="G13" s="15" t="n">
        <f aca="false">'Cash Flow Statement'!BN15</f>
        <v>36740.8830326232</v>
      </c>
    </row>
    <row r="14" customFormat="false" ht="15" hidden="false" customHeight="false" outlineLevel="0" collapsed="false">
      <c r="A14" s="4" t="s">
        <v>1020</v>
      </c>
      <c r="C14" s="15" t="n">
        <f aca="false">'Cash Flow Statement'!N16</f>
        <v>9849.41134182491</v>
      </c>
      <c r="D14" s="15" t="n">
        <f aca="false">'Cash Flow Statement'!AA16</f>
        <v>52806.2035583706</v>
      </c>
      <c r="E14" s="15" t="n">
        <f aca="false">'Cash Flow Statement'!AN16</f>
        <v>168131.026177326</v>
      </c>
      <c r="F14" s="15" t="n">
        <f aca="false">'Cash Flow Statement'!BA16</f>
        <v>386866.748577688</v>
      </c>
      <c r="G14" s="15" t="n">
        <f aca="false">'Cash Flow Statement'!BN16</f>
        <v>700046.072669758</v>
      </c>
    </row>
    <row r="15" customFormat="false" ht="15" hidden="false" customHeight="false" outlineLevel="0" collapsed="false">
      <c r="A15" s="4" t="s">
        <v>1021</v>
      </c>
      <c r="C15" s="15" t="n">
        <f aca="false">'Cash Flow Statement'!N18</f>
        <v>0</v>
      </c>
      <c r="D15" s="15" t="n">
        <f aca="false">'Cash Flow Statement'!AA18</f>
        <v>0</v>
      </c>
      <c r="E15" s="15" t="n">
        <f aca="false">'Cash Flow Statement'!AN18</f>
        <v>0</v>
      </c>
      <c r="F15" s="15" t="n">
        <f aca="false">'Cash Flow Statement'!BA18</f>
        <v>0</v>
      </c>
      <c r="G15" s="15" t="n">
        <f aca="false">'Cash Flow Statement'!BN18</f>
        <v>289862.6426501</v>
      </c>
    </row>
    <row r="16" customFormat="false" ht="15" hidden="false" customHeight="false" outlineLevel="0" collapsed="false">
      <c r="A16" s="13" t="s">
        <v>1022</v>
      </c>
      <c r="C16" s="100" t="n">
        <f aca="false">SUM(C12:C15)</f>
        <v>37288.8166262168</v>
      </c>
      <c r="D16" s="100" t="n">
        <f aca="false">SUM(D12:D15)</f>
        <v>107022.971979191</v>
      </c>
      <c r="E16" s="100" t="n">
        <f aca="false">SUM(E12:E15)</f>
        <v>264786.563218123</v>
      </c>
      <c r="F16" s="100" t="n">
        <f aca="false">SUM(F12:F15)</f>
        <v>542162.549335345</v>
      </c>
      <c r="G16" s="100" t="n">
        <f aca="false">SUM(G12:G15)</f>
        <v>1219678.7017223</v>
      </c>
    </row>
    <row r="18" customFormat="false" ht="15" hidden="false" customHeight="false" outlineLevel="0" collapsed="false">
      <c r="A18" s="4" t="s">
        <v>1023</v>
      </c>
      <c r="C18" s="99" t="n">
        <f aca="false">'Assumption Setting'!$C$18+'Assumption Setting'!$C$20+IF(12&gt;='Assumption Setting'!$C$190,'Funding and Use of Funds'!$C$9,0)+IF(12&gt;='Assumption Setting'!$C$193,'Funding and Use of Funds'!$C$49,0)</f>
        <v>658252.427184466</v>
      </c>
      <c r="D18" s="99" t="n">
        <f aca="false">'Assumption Setting'!$C$18+'Assumption Setting'!$C$20+IF(24&gt;='Assumption Setting'!$C$190,'Funding and Use of Funds'!$C$9,0)+IF(24&gt;='Assumption Setting'!$C$193,'Funding and Use of Funds'!$C$49,0)</f>
        <v>1108252.42718447</v>
      </c>
      <c r="E18" s="99" t="n">
        <f aca="false">'Assumption Setting'!$C$18+'Assumption Setting'!$C$20+IF(36&gt;='Assumption Setting'!$C$190,'Funding and Use of Funds'!$C$9,0)+IF(36&gt;='Assumption Setting'!$C$193,'Funding and Use of Funds'!$C$49,0)</f>
        <v>1108252.42718447</v>
      </c>
      <c r="F18" s="99" t="n">
        <f aca="false">'Assumption Setting'!$C$18+'Assumption Setting'!$C$20+IF(48&gt;='Assumption Setting'!$C$190,'Funding and Use of Funds'!$C$9,0)+IF(48&gt;='Assumption Setting'!$C$193,'Funding and Use of Funds'!$C$49,0)</f>
        <v>1108252.42718447</v>
      </c>
      <c r="G18" s="99" t="n">
        <f aca="false">'Assumption Setting'!$C$18+'Assumption Setting'!$C$20+IF(60&gt;='Assumption Setting'!$C$190,'Funding and Use of Funds'!$C$9,0)+IF(60&gt;='Assumption Setting'!$C$193,'Funding and Use of Funds'!$C$49,0)</f>
        <v>1108252.42718447</v>
      </c>
    </row>
    <row r="19" customFormat="false" ht="15" hidden="false" customHeight="false" outlineLevel="0" collapsed="false">
      <c r="A19" s="4" t="s">
        <v>1024</v>
      </c>
      <c r="C19" s="99" t="n">
        <f aca="false">SUM('Income Statement'!$C$53:C$53)</f>
        <v>-429039.208528148</v>
      </c>
      <c r="D19" s="99" t="n">
        <f aca="false">SUM('Income Statement'!$C$53:D$53)</f>
        <v>-900689.77351067</v>
      </c>
      <c r="E19" s="99" t="n">
        <f aca="false">SUM('Income Statement'!$C$53:E$53)</f>
        <v>-1106592.30395814</v>
      </c>
      <c r="F19" s="99" t="n">
        <f aca="false">SUM('Income Statement'!$C$53:F$53)</f>
        <v>-520500.753491066</v>
      </c>
      <c r="G19" s="99" t="n">
        <f aca="false">SUM('Income Statement'!$C$53:G$53)</f>
        <v>998415.769128124</v>
      </c>
    </row>
    <row r="20" customFormat="false" ht="15" hidden="false" customHeight="false" outlineLevel="0" collapsed="false">
      <c r="A20" s="13" t="s">
        <v>1025</v>
      </c>
      <c r="C20" s="100" t="n">
        <f aca="false">C18+C19</f>
        <v>229213.218656319</v>
      </c>
      <c r="D20" s="100" t="n">
        <f aca="false">D18+D19</f>
        <v>207562.653673796</v>
      </c>
      <c r="E20" s="100" t="n">
        <f aca="false">E18+E19</f>
        <v>1660.12322632503</v>
      </c>
      <c r="F20" s="100" t="n">
        <f aca="false">F18+F19</f>
        <v>587751.6736934</v>
      </c>
      <c r="G20" s="100" t="n">
        <f aca="false">G18+G19</f>
        <v>2106668.19631259</v>
      </c>
    </row>
    <row r="21" customFormat="false" ht="15" hidden="false" customHeight="false" outlineLevel="0" collapsed="false">
      <c r="A21" s="13" t="s">
        <v>1026</v>
      </c>
      <c r="C21" s="100" t="n">
        <f aca="false">C16+C20</f>
        <v>266502.035282535</v>
      </c>
      <c r="D21" s="100" t="n">
        <f aca="false">D16+D20</f>
        <v>314585.625652987</v>
      </c>
      <c r="E21" s="100" t="n">
        <f aca="false">E16+E20</f>
        <v>266446.686444448</v>
      </c>
      <c r="F21" s="100" t="n">
        <f aca="false">F16+F20</f>
        <v>1129914.22302874</v>
      </c>
      <c r="G21" s="100" t="n">
        <f aca="false">G16+G20</f>
        <v>3326346.89803489</v>
      </c>
    </row>
    <row r="23" customFormat="false" ht="15" hidden="false" customHeight="false" outlineLevel="0" collapsed="false">
      <c r="A23" s="4" t="s">
        <v>1027</v>
      </c>
      <c r="C23" s="21" t="n">
        <f aca="false">ROUND(C10-C21,2)</f>
        <v>0</v>
      </c>
      <c r="D23" s="21" t="n">
        <f aca="false">ROUND(D10-D21,2)</f>
        <v>0</v>
      </c>
      <c r="E23" s="21" t="n">
        <f aca="false">ROUND(E10-E21,2)</f>
        <v>0</v>
      </c>
      <c r="F23" s="21" t="n">
        <f aca="false">ROUND(F10-F21,2)</f>
        <v>0</v>
      </c>
      <c r="G23" s="21" t="n">
        <f aca="false">ROUND(G10-G21,2)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5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969</v>
      </c>
    </row>
    <row r="2" customFormat="false" ht="15" hidden="false" customHeight="false" outlineLevel="0" collapsed="false">
      <c r="A2" s="8" t="s">
        <v>1028</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1029</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56" t="s">
        <v>632</v>
      </c>
      <c r="B5" s="57" t="s">
        <v>87</v>
      </c>
      <c r="C5" s="58" t="s">
        <v>562</v>
      </c>
      <c r="D5" s="58" t="s">
        <v>563</v>
      </c>
      <c r="E5" s="58" t="s">
        <v>564</v>
      </c>
      <c r="F5" s="58" t="s">
        <v>565</v>
      </c>
      <c r="G5" s="58" t="s">
        <v>566</v>
      </c>
      <c r="H5" s="58" t="s">
        <v>567</v>
      </c>
      <c r="I5" s="58" t="s">
        <v>568</v>
      </c>
      <c r="J5" s="58" t="s">
        <v>569</v>
      </c>
      <c r="K5" s="58" t="s">
        <v>570</v>
      </c>
      <c r="L5" s="58" t="s">
        <v>571</v>
      </c>
      <c r="M5" s="58" t="s">
        <v>572</v>
      </c>
      <c r="N5" s="58" t="s">
        <v>573</v>
      </c>
      <c r="O5" s="57" t="s">
        <v>88</v>
      </c>
      <c r="P5" s="58" t="s">
        <v>574</v>
      </c>
      <c r="Q5" s="58" t="s">
        <v>575</v>
      </c>
      <c r="R5" s="58" t="s">
        <v>576</v>
      </c>
      <c r="S5" s="58" t="s">
        <v>577</v>
      </c>
      <c r="T5" s="58" t="s">
        <v>578</v>
      </c>
      <c r="U5" s="58" t="s">
        <v>579</v>
      </c>
      <c r="V5" s="58" t="s">
        <v>580</v>
      </c>
      <c r="W5" s="58" t="s">
        <v>581</v>
      </c>
      <c r="X5" s="58" t="s">
        <v>582</v>
      </c>
      <c r="Y5" s="58" t="s">
        <v>583</v>
      </c>
      <c r="Z5" s="58" t="s">
        <v>584</v>
      </c>
      <c r="AA5" s="58" t="s">
        <v>585</v>
      </c>
      <c r="AB5" s="57" t="s">
        <v>89</v>
      </c>
      <c r="AC5" s="58" t="s">
        <v>586</v>
      </c>
      <c r="AD5" s="58" t="s">
        <v>587</v>
      </c>
      <c r="AE5" s="58" t="s">
        <v>588</v>
      </c>
      <c r="AF5" s="58" t="s">
        <v>589</v>
      </c>
      <c r="AG5" s="58" t="s">
        <v>590</v>
      </c>
      <c r="AH5" s="58" t="s">
        <v>591</v>
      </c>
      <c r="AI5" s="58" t="s">
        <v>592</v>
      </c>
      <c r="AJ5" s="58" t="s">
        <v>593</v>
      </c>
      <c r="AK5" s="58" t="s">
        <v>594</v>
      </c>
      <c r="AL5" s="58" t="s">
        <v>595</v>
      </c>
      <c r="AM5" s="58" t="s">
        <v>596</v>
      </c>
      <c r="AN5" s="58" t="s">
        <v>597</v>
      </c>
      <c r="AO5" s="57" t="s">
        <v>90</v>
      </c>
      <c r="AP5" s="58" t="s">
        <v>598</v>
      </c>
      <c r="AQ5" s="58" t="s">
        <v>599</v>
      </c>
      <c r="AR5" s="58" t="s">
        <v>600</v>
      </c>
      <c r="AS5" s="58" t="s">
        <v>601</v>
      </c>
      <c r="AT5" s="58" t="s">
        <v>602</v>
      </c>
      <c r="AU5" s="58" t="s">
        <v>603</v>
      </c>
      <c r="AV5" s="58" t="s">
        <v>604</v>
      </c>
      <c r="AW5" s="58" t="s">
        <v>605</v>
      </c>
      <c r="AX5" s="58" t="s">
        <v>606</v>
      </c>
      <c r="AY5" s="58" t="s">
        <v>607</v>
      </c>
      <c r="AZ5" s="58" t="s">
        <v>608</v>
      </c>
      <c r="BA5" s="58" t="s">
        <v>609</v>
      </c>
      <c r="BB5" s="57" t="s">
        <v>91</v>
      </c>
      <c r="BC5" s="58" t="s">
        <v>610</v>
      </c>
      <c r="BD5" s="58" t="s">
        <v>611</v>
      </c>
      <c r="BE5" s="58" t="s">
        <v>612</v>
      </c>
      <c r="BF5" s="58" t="s">
        <v>613</v>
      </c>
      <c r="BG5" s="58" t="s">
        <v>614</v>
      </c>
      <c r="BH5" s="58" t="s">
        <v>615</v>
      </c>
      <c r="BI5" s="58" t="s">
        <v>616</v>
      </c>
      <c r="BJ5" s="58" t="s">
        <v>617</v>
      </c>
      <c r="BK5" s="58" t="s">
        <v>618</v>
      </c>
      <c r="BL5" s="58" t="s">
        <v>619</v>
      </c>
      <c r="BM5" s="58" t="s">
        <v>620</v>
      </c>
      <c r="BN5" s="58" t="s">
        <v>621</v>
      </c>
    </row>
    <row r="6" customFormat="false" ht="15" hidden="false" customHeight="false" outlineLevel="0" collapsed="false">
      <c r="A6" s="4" t="s">
        <v>949</v>
      </c>
      <c r="B6" s="59" t="n">
        <f aca="false">SUM(C6:N6)</f>
        <v>-429039.208528148</v>
      </c>
      <c r="C6" s="63" t="n">
        <f aca="false">Expenses!C53</f>
        <v>-47006.784594642</v>
      </c>
      <c r="D6" s="63" t="n">
        <f aca="false">Expenses!D53</f>
        <v>-39300.3279577138</v>
      </c>
      <c r="E6" s="63" t="n">
        <f aca="false">Expenses!E53</f>
        <v>-38479.7955381203</v>
      </c>
      <c r="F6" s="63" t="n">
        <f aca="false">Expenses!F53</f>
        <v>-37462.5327997955</v>
      </c>
      <c r="G6" s="63" t="n">
        <f aca="false">Expenses!G53</f>
        <v>-36537.8665406209</v>
      </c>
      <c r="H6" s="63" t="n">
        <f aca="false">Expenses!H53</f>
        <v>-35615.9324960592</v>
      </c>
      <c r="I6" s="63" t="n">
        <f aca="false">Expenses!I53</f>
        <v>-34698.0062768114</v>
      </c>
      <c r="J6" s="63" t="n">
        <f aca="false">Expenses!J53</f>
        <v>-33785.2581052411</v>
      </c>
      <c r="K6" s="63" t="n">
        <f aca="false">Expenses!K53</f>
        <v>-32878.7593594507</v>
      </c>
      <c r="L6" s="63" t="n">
        <f aca="false">Expenses!L53</f>
        <v>-31979.488746216</v>
      </c>
      <c r="M6" s="63" t="n">
        <f aca="false">Expenses!M53</f>
        <v>-31088.3381232609</v>
      </c>
      <c r="N6" s="63" t="n">
        <f aca="false">Expenses!N53</f>
        <v>-30206.1179902159</v>
      </c>
      <c r="O6" s="59" t="n">
        <f aca="false">SUM(P6:AA6)</f>
        <v>-471650.564982522</v>
      </c>
      <c r="P6" s="63" t="n">
        <f aca="false">Expenses!P53</f>
        <v>-55668.6319666166</v>
      </c>
      <c r="Q6" s="63" t="n">
        <f aca="false">Expenses!Q53</f>
        <v>-49970.1567292824</v>
      </c>
      <c r="R6" s="63" t="n">
        <f aca="false">Expenses!R53</f>
        <v>-47426.4726613924</v>
      </c>
      <c r="S6" s="63" t="n">
        <f aca="false">Expenses!S53</f>
        <v>-44880.7852112811</v>
      </c>
      <c r="T6" s="63" t="n">
        <f aca="false">Expenses!T53</f>
        <v>-43242.2296049589</v>
      </c>
      <c r="U6" s="63" t="n">
        <f aca="false">Expenses!U53</f>
        <v>-40306.2566714697</v>
      </c>
      <c r="V6" s="63" t="n">
        <f aca="false">Expenses!V53</f>
        <v>-38526.1378914561</v>
      </c>
      <c r="W6" s="63" t="n">
        <f aca="false">Expenses!W53</f>
        <v>-35154.0518451385</v>
      </c>
      <c r="X6" s="63" t="n">
        <f aca="false">Expenses!X53</f>
        <v>-33396.9096225053</v>
      </c>
      <c r="Y6" s="63" t="n">
        <f aca="false">Expenses!Y53</f>
        <v>-30374.8470436337</v>
      </c>
      <c r="Z6" s="63" t="n">
        <f aca="false">Expenses!Z53</f>
        <v>-27685.8744310848</v>
      </c>
      <c r="AA6" s="63" t="n">
        <f aca="false">Expenses!AA53</f>
        <v>-25018.2113037024</v>
      </c>
      <c r="AB6" s="59" t="n">
        <f aca="false">SUM(AC6:AN6)</f>
        <v>-205902.530447472</v>
      </c>
      <c r="AC6" s="63" t="n">
        <f aca="false">Expenses!AC53</f>
        <v>-50434.4760572768</v>
      </c>
      <c r="AD6" s="63" t="n">
        <f aca="false">Expenses!AD53</f>
        <v>-40991.5263838789</v>
      </c>
      <c r="AE6" s="63" t="n">
        <f aca="false">Expenses!AE53</f>
        <v>-35118.0033963043</v>
      </c>
      <c r="AF6" s="63" t="n">
        <f aca="false">Expenses!AF53</f>
        <v>-30238.568435524</v>
      </c>
      <c r="AG6" s="63" t="n">
        <f aca="false">Expenses!AG53</f>
        <v>-25215.2855078298</v>
      </c>
      <c r="AH6" s="63" t="n">
        <f aca="false">Expenses!AH53</f>
        <v>-18915.5708121895</v>
      </c>
      <c r="AI6" s="63" t="n">
        <f aca="false">Expenses!AI53</f>
        <v>-15034.2016578766</v>
      </c>
      <c r="AJ6" s="63" t="n">
        <f aca="false">Expenses!AJ53</f>
        <v>-8437.80297964396</v>
      </c>
      <c r="AK6" s="63" t="n">
        <f aca="false">Expenses!AK53</f>
        <v>-3804.54108341161</v>
      </c>
      <c r="AL6" s="63" t="n">
        <f aca="false">Expenses!AL53</f>
        <v>1380.03924150213</v>
      </c>
      <c r="AM6" s="63" t="n">
        <f aca="false">Expenses!AM53</f>
        <v>7551.64764524101</v>
      </c>
      <c r="AN6" s="63" t="n">
        <f aca="false">Expenses!AN53</f>
        <v>13355.7589797207</v>
      </c>
      <c r="AO6" s="59" t="n">
        <f aca="false">SUM(AP6:BA6)</f>
        <v>586091.550467075</v>
      </c>
      <c r="AP6" s="63" t="n">
        <f aca="false">Expenses!AP53</f>
        <v>-2453.78058783218</v>
      </c>
      <c r="AQ6" s="63" t="n">
        <f aca="false">Expenses!AQ53</f>
        <v>9560.38953748327</v>
      </c>
      <c r="AR6" s="63" t="n">
        <f aca="false">Expenses!AR53</f>
        <v>18346.758221598</v>
      </c>
      <c r="AS6" s="63" t="n">
        <f aca="false">Expenses!AS53</f>
        <v>27378.8225099176</v>
      </c>
      <c r="AT6" s="63" t="n">
        <f aca="false">Expenses!AT53</f>
        <v>36162.916691996</v>
      </c>
      <c r="AU6" s="63" t="n">
        <f aca="false">Expenses!AU53</f>
        <v>45177.262057863</v>
      </c>
      <c r="AV6" s="63" t="n">
        <f aca="false">Expenses!AV53</f>
        <v>53058.9921354948</v>
      </c>
      <c r="AW6" s="63" t="n">
        <f aca="false">Expenses!AW53</f>
        <v>62079.6527124791</v>
      </c>
      <c r="AX6" s="63" t="n">
        <f aca="false">Expenses!AX53</f>
        <v>70955.7751672153</v>
      </c>
      <c r="AY6" s="63" t="n">
        <f aca="false">Expenses!AY53</f>
        <v>79516.0724187171</v>
      </c>
      <c r="AZ6" s="63" t="n">
        <f aca="false">Expenses!AZ53</f>
        <v>88273.2371958198</v>
      </c>
      <c r="BA6" s="63" t="n">
        <f aca="false">Expenses!BA53</f>
        <v>98035.4524063233</v>
      </c>
      <c r="BB6" s="59" t="n">
        <f aca="false">SUM(BC6:BN6)</f>
        <v>1808779.16526929</v>
      </c>
      <c r="BC6" s="63" t="n">
        <f aca="false">Expenses!BC53</f>
        <v>87206.2577891989</v>
      </c>
      <c r="BD6" s="63" t="n">
        <f aca="false">Expenses!BD53</f>
        <v>101577.311521509</v>
      </c>
      <c r="BE6" s="63" t="n">
        <f aca="false">Expenses!BE53</f>
        <v>112202.047338829</v>
      </c>
      <c r="BF6" s="63" t="n">
        <f aca="false">Expenses!BF53</f>
        <v>125437.266626807</v>
      </c>
      <c r="BG6" s="63" t="n">
        <f aca="false">Expenses!BG53</f>
        <v>135319.213464147</v>
      </c>
      <c r="BH6" s="63" t="n">
        <f aca="false">Expenses!BH53</f>
        <v>145881.401189996</v>
      </c>
      <c r="BI6" s="63" t="n">
        <f aca="false">Expenses!BI53</f>
        <v>155283.191156558</v>
      </c>
      <c r="BJ6" s="63" t="n">
        <f aca="false">Expenses!BJ53</f>
        <v>168669.704830734</v>
      </c>
      <c r="BK6" s="63" t="n">
        <f aca="false">Expenses!BK53</f>
        <v>178314.93889798</v>
      </c>
      <c r="BL6" s="63" t="n">
        <f aca="false">Expenses!BL53</f>
        <v>188603.857243689</v>
      </c>
      <c r="BM6" s="63" t="n">
        <f aca="false">Expenses!BM53</f>
        <v>198812.533684181</v>
      </c>
      <c r="BN6" s="63" t="n">
        <f aca="false">Expenses!BN53</f>
        <v>211471.441525662</v>
      </c>
    </row>
    <row r="7" customFormat="false" ht="15" hidden="false" customHeight="false" outlineLevel="0" collapsed="false">
      <c r="A7" s="4" t="s">
        <v>1030</v>
      </c>
      <c r="B7" s="59" t="n">
        <f aca="false">SUM(C7:N7)</f>
        <v>0</v>
      </c>
      <c r="C7" s="60" t="n">
        <f aca="false">'Income Statement'!$C$52/12</f>
        <v>-0</v>
      </c>
      <c r="D7" s="60" t="n">
        <f aca="false">'Income Statement'!$C$52/12</f>
        <v>-0</v>
      </c>
      <c r="E7" s="60" t="n">
        <f aca="false">'Income Statement'!$C$52/12</f>
        <v>-0</v>
      </c>
      <c r="F7" s="60" t="n">
        <f aca="false">'Income Statement'!$C$52/12</f>
        <v>-0</v>
      </c>
      <c r="G7" s="60" t="n">
        <f aca="false">'Income Statement'!$C$52/12</f>
        <v>-0</v>
      </c>
      <c r="H7" s="60" t="n">
        <f aca="false">'Income Statement'!$C$52/12</f>
        <v>-0</v>
      </c>
      <c r="I7" s="60" t="n">
        <f aca="false">'Income Statement'!$C$52/12</f>
        <v>-0</v>
      </c>
      <c r="J7" s="60" t="n">
        <f aca="false">'Income Statement'!$C$52/12</f>
        <v>-0</v>
      </c>
      <c r="K7" s="60" t="n">
        <f aca="false">'Income Statement'!$C$52/12</f>
        <v>-0</v>
      </c>
      <c r="L7" s="60" t="n">
        <f aca="false">'Income Statement'!$C$52/12</f>
        <v>-0</v>
      </c>
      <c r="M7" s="60" t="n">
        <f aca="false">'Income Statement'!$C$52/12</f>
        <v>-0</v>
      </c>
      <c r="N7" s="60" t="n">
        <f aca="false">'Income Statement'!$C$52/12</f>
        <v>-0</v>
      </c>
      <c r="O7" s="59" t="n">
        <f aca="false">SUM(P7:AA7)</f>
        <v>0</v>
      </c>
      <c r="P7" s="60" t="n">
        <f aca="false">'Income Statement'!$D$52/12</f>
        <v>-0</v>
      </c>
      <c r="Q7" s="60" t="n">
        <f aca="false">'Income Statement'!$D$52/12</f>
        <v>-0</v>
      </c>
      <c r="R7" s="60" t="n">
        <f aca="false">'Income Statement'!$D$52/12</f>
        <v>-0</v>
      </c>
      <c r="S7" s="60" t="n">
        <f aca="false">'Income Statement'!$D$52/12</f>
        <v>-0</v>
      </c>
      <c r="T7" s="60" t="n">
        <f aca="false">'Income Statement'!$D$52/12</f>
        <v>-0</v>
      </c>
      <c r="U7" s="60" t="n">
        <f aca="false">'Income Statement'!$D$52/12</f>
        <v>-0</v>
      </c>
      <c r="V7" s="60" t="n">
        <f aca="false">'Income Statement'!$D$52/12</f>
        <v>-0</v>
      </c>
      <c r="W7" s="60" t="n">
        <f aca="false">'Income Statement'!$D$52/12</f>
        <v>-0</v>
      </c>
      <c r="X7" s="60" t="n">
        <f aca="false">'Income Statement'!$D$52/12</f>
        <v>-0</v>
      </c>
      <c r="Y7" s="60" t="n">
        <f aca="false">'Income Statement'!$D$52/12</f>
        <v>-0</v>
      </c>
      <c r="Z7" s="60" t="n">
        <f aca="false">'Income Statement'!$D$52/12</f>
        <v>-0</v>
      </c>
      <c r="AA7" s="60" t="n">
        <f aca="false">'Income Statement'!$D$52/12</f>
        <v>-0</v>
      </c>
      <c r="AB7" s="59" t="n">
        <f aca="false">SUM(AC7:AN7)</f>
        <v>0</v>
      </c>
      <c r="AC7" s="60" t="n">
        <f aca="false">'Income Statement'!$E$52/12</f>
        <v>-0</v>
      </c>
      <c r="AD7" s="60" t="n">
        <f aca="false">'Income Statement'!$E$52/12</f>
        <v>-0</v>
      </c>
      <c r="AE7" s="60" t="n">
        <f aca="false">'Income Statement'!$E$52/12</f>
        <v>-0</v>
      </c>
      <c r="AF7" s="60" t="n">
        <f aca="false">'Income Statement'!$E$52/12</f>
        <v>-0</v>
      </c>
      <c r="AG7" s="60" t="n">
        <f aca="false">'Income Statement'!$E$52/12</f>
        <v>-0</v>
      </c>
      <c r="AH7" s="60" t="n">
        <f aca="false">'Income Statement'!$E$52/12</f>
        <v>-0</v>
      </c>
      <c r="AI7" s="60" t="n">
        <f aca="false">'Income Statement'!$E$52/12</f>
        <v>-0</v>
      </c>
      <c r="AJ7" s="60" t="n">
        <f aca="false">'Income Statement'!$E$52/12</f>
        <v>-0</v>
      </c>
      <c r="AK7" s="60" t="n">
        <f aca="false">'Income Statement'!$E$52/12</f>
        <v>-0</v>
      </c>
      <c r="AL7" s="60" t="n">
        <f aca="false">'Income Statement'!$E$52/12</f>
        <v>-0</v>
      </c>
      <c r="AM7" s="60" t="n">
        <f aca="false">'Income Statement'!$E$52/12</f>
        <v>-0</v>
      </c>
      <c r="AN7" s="60" t="n">
        <f aca="false">'Income Statement'!$E$52/12</f>
        <v>-0</v>
      </c>
      <c r="AO7" s="59" t="n">
        <f aca="false">SUM(AP7:BA7)</f>
        <v>0</v>
      </c>
      <c r="AP7" s="60" t="n">
        <f aca="false">'Income Statement'!$F$52/12</f>
        <v>-0</v>
      </c>
      <c r="AQ7" s="60" t="n">
        <f aca="false">'Income Statement'!$F$52/12</f>
        <v>-0</v>
      </c>
      <c r="AR7" s="60" t="n">
        <f aca="false">'Income Statement'!$F$52/12</f>
        <v>-0</v>
      </c>
      <c r="AS7" s="60" t="n">
        <f aca="false">'Income Statement'!$F$52/12</f>
        <v>-0</v>
      </c>
      <c r="AT7" s="60" t="n">
        <f aca="false">'Income Statement'!$F$52/12</f>
        <v>-0</v>
      </c>
      <c r="AU7" s="60" t="n">
        <f aca="false">'Income Statement'!$F$52/12</f>
        <v>-0</v>
      </c>
      <c r="AV7" s="60" t="n">
        <f aca="false">'Income Statement'!$F$52/12</f>
        <v>-0</v>
      </c>
      <c r="AW7" s="60" t="n">
        <f aca="false">'Income Statement'!$F$52/12</f>
        <v>-0</v>
      </c>
      <c r="AX7" s="60" t="n">
        <f aca="false">'Income Statement'!$F$52/12</f>
        <v>-0</v>
      </c>
      <c r="AY7" s="60" t="n">
        <f aca="false">'Income Statement'!$F$52/12</f>
        <v>-0</v>
      </c>
      <c r="AZ7" s="60" t="n">
        <f aca="false">'Income Statement'!$F$52/12</f>
        <v>-0</v>
      </c>
      <c r="BA7" s="60" t="n">
        <f aca="false">'Income Statement'!$F$52/12</f>
        <v>-0</v>
      </c>
      <c r="BB7" s="59" t="n">
        <f aca="false">SUM(BC7:BN7)</f>
        <v>-289862.6426501</v>
      </c>
      <c r="BC7" s="60" t="n">
        <f aca="false">'Income Statement'!$G$52/12</f>
        <v>-24155.2202208417</v>
      </c>
      <c r="BD7" s="60" t="n">
        <f aca="false">'Income Statement'!$G$52/12</f>
        <v>-24155.2202208417</v>
      </c>
      <c r="BE7" s="60" t="n">
        <f aca="false">'Income Statement'!$G$52/12</f>
        <v>-24155.2202208417</v>
      </c>
      <c r="BF7" s="60" t="n">
        <f aca="false">'Income Statement'!$G$52/12</f>
        <v>-24155.2202208417</v>
      </c>
      <c r="BG7" s="60" t="n">
        <f aca="false">'Income Statement'!$G$52/12</f>
        <v>-24155.2202208417</v>
      </c>
      <c r="BH7" s="60" t="n">
        <f aca="false">'Income Statement'!$G$52/12</f>
        <v>-24155.2202208417</v>
      </c>
      <c r="BI7" s="60" t="n">
        <f aca="false">'Income Statement'!$G$52/12</f>
        <v>-24155.2202208417</v>
      </c>
      <c r="BJ7" s="60" t="n">
        <f aca="false">'Income Statement'!$G$52/12</f>
        <v>-24155.2202208417</v>
      </c>
      <c r="BK7" s="60" t="n">
        <f aca="false">'Income Statement'!$G$52/12</f>
        <v>-24155.2202208417</v>
      </c>
      <c r="BL7" s="60" t="n">
        <f aca="false">'Income Statement'!$G$52/12</f>
        <v>-24155.2202208417</v>
      </c>
      <c r="BM7" s="60" t="n">
        <f aca="false">'Income Statement'!$G$52/12</f>
        <v>-24155.2202208417</v>
      </c>
      <c r="BN7" s="60" t="n">
        <f aca="false">'Income Statement'!$G$52/12</f>
        <v>-24155.2202208417</v>
      </c>
    </row>
    <row r="8" customFormat="false" ht="15" hidden="false" customHeight="false" outlineLevel="0" collapsed="false">
      <c r="A8" s="13" t="s">
        <v>96</v>
      </c>
      <c r="B8" s="59" t="n">
        <f aca="false">SUM(C8:N8)</f>
        <v>-429039.208528148</v>
      </c>
      <c r="C8" s="61" t="n">
        <f aca="false">C6+C7</f>
        <v>-47006.784594642</v>
      </c>
      <c r="D8" s="61" t="n">
        <f aca="false">D6+D7</f>
        <v>-39300.3279577138</v>
      </c>
      <c r="E8" s="61" t="n">
        <f aca="false">E6+E7</f>
        <v>-38479.7955381203</v>
      </c>
      <c r="F8" s="61" t="n">
        <f aca="false">F6+F7</f>
        <v>-37462.5327997955</v>
      </c>
      <c r="G8" s="61" t="n">
        <f aca="false">G6+G7</f>
        <v>-36537.8665406209</v>
      </c>
      <c r="H8" s="61" t="n">
        <f aca="false">H6+H7</f>
        <v>-35615.9324960592</v>
      </c>
      <c r="I8" s="61" t="n">
        <f aca="false">I6+I7</f>
        <v>-34698.0062768114</v>
      </c>
      <c r="J8" s="61" t="n">
        <f aca="false">J6+J7</f>
        <v>-33785.2581052411</v>
      </c>
      <c r="K8" s="61" t="n">
        <f aca="false">K6+K7</f>
        <v>-32878.7593594507</v>
      </c>
      <c r="L8" s="61" t="n">
        <f aca="false">L6+L7</f>
        <v>-31979.488746216</v>
      </c>
      <c r="M8" s="61" t="n">
        <f aca="false">M6+M7</f>
        <v>-31088.3381232609</v>
      </c>
      <c r="N8" s="61" t="n">
        <f aca="false">N6+N7</f>
        <v>-30206.1179902159</v>
      </c>
      <c r="O8" s="59" t="n">
        <f aca="false">SUM(P8:AA8)</f>
        <v>-471650.564982522</v>
      </c>
      <c r="P8" s="61" t="n">
        <f aca="false">P6+P7</f>
        <v>-55668.6319666166</v>
      </c>
      <c r="Q8" s="61" t="n">
        <f aca="false">Q6+Q7</f>
        <v>-49970.1567292824</v>
      </c>
      <c r="R8" s="61" t="n">
        <f aca="false">R6+R7</f>
        <v>-47426.4726613924</v>
      </c>
      <c r="S8" s="61" t="n">
        <f aca="false">S6+S7</f>
        <v>-44880.7852112811</v>
      </c>
      <c r="T8" s="61" t="n">
        <f aca="false">T6+T7</f>
        <v>-43242.2296049589</v>
      </c>
      <c r="U8" s="61" t="n">
        <f aca="false">U6+U7</f>
        <v>-40306.2566714697</v>
      </c>
      <c r="V8" s="61" t="n">
        <f aca="false">V6+V7</f>
        <v>-38526.1378914561</v>
      </c>
      <c r="W8" s="61" t="n">
        <f aca="false">W6+W7</f>
        <v>-35154.0518451385</v>
      </c>
      <c r="X8" s="61" t="n">
        <f aca="false">X6+X7</f>
        <v>-33396.9096225053</v>
      </c>
      <c r="Y8" s="61" t="n">
        <f aca="false">Y6+Y7</f>
        <v>-30374.8470436337</v>
      </c>
      <c r="Z8" s="61" t="n">
        <f aca="false">Z6+Z7</f>
        <v>-27685.8744310848</v>
      </c>
      <c r="AA8" s="61" t="n">
        <f aca="false">AA6+AA7</f>
        <v>-25018.2113037024</v>
      </c>
      <c r="AB8" s="59" t="n">
        <f aca="false">SUM(AC8:AN8)</f>
        <v>-205902.530447472</v>
      </c>
      <c r="AC8" s="61" t="n">
        <f aca="false">AC6+AC7</f>
        <v>-50434.4760572768</v>
      </c>
      <c r="AD8" s="61" t="n">
        <f aca="false">AD6+AD7</f>
        <v>-40991.5263838789</v>
      </c>
      <c r="AE8" s="61" t="n">
        <f aca="false">AE6+AE7</f>
        <v>-35118.0033963043</v>
      </c>
      <c r="AF8" s="61" t="n">
        <f aca="false">AF6+AF7</f>
        <v>-30238.568435524</v>
      </c>
      <c r="AG8" s="61" t="n">
        <f aca="false">AG6+AG7</f>
        <v>-25215.2855078298</v>
      </c>
      <c r="AH8" s="61" t="n">
        <f aca="false">AH6+AH7</f>
        <v>-18915.5708121895</v>
      </c>
      <c r="AI8" s="61" t="n">
        <f aca="false">AI6+AI7</f>
        <v>-15034.2016578766</v>
      </c>
      <c r="AJ8" s="61" t="n">
        <f aca="false">AJ6+AJ7</f>
        <v>-8437.80297964396</v>
      </c>
      <c r="AK8" s="61" t="n">
        <f aca="false">AK6+AK7</f>
        <v>-3804.54108341161</v>
      </c>
      <c r="AL8" s="61" t="n">
        <f aca="false">AL6+AL7</f>
        <v>1380.03924150213</v>
      </c>
      <c r="AM8" s="61" t="n">
        <f aca="false">AM6+AM7</f>
        <v>7551.64764524101</v>
      </c>
      <c r="AN8" s="61" t="n">
        <f aca="false">AN6+AN7</f>
        <v>13355.7589797207</v>
      </c>
      <c r="AO8" s="59" t="n">
        <f aca="false">SUM(AP8:BA8)</f>
        <v>586091.550467075</v>
      </c>
      <c r="AP8" s="61" t="n">
        <f aca="false">AP6+AP7</f>
        <v>-2453.78058783218</v>
      </c>
      <c r="AQ8" s="61" t="n">
        <f aca="false">AQ6+AQ7</f>
        <v>9560.38953748327</v>
      </c>
      <c r="AR8" s="61" t="n">
        <f aca="false">AR6+AR7</f>
        <v>18346.758221598</v>
      </c>
      <c r="AS8" s="61" t="n">
        <f aca="false">AS6+AS7</f>
        <v>27378.8225099176</v>
      </c>
      <c r="AT8" s="61" t="n">
        <f aca="false">AT6+AT7</f>
        <v>36162.916691996</v>
      </c>
      <c r="AU8" s="61" t="n">
        <f aca="false">AU6+AU7</f>
        <v>45177.262057863</v>
      </c>
      <c r="AV8" s="61" t="n">
        <f aca="false">AV6+AV7</f>
        <v>53058.9921354948</v>
      </c>
      <c r="AW8" s="61" t="n">
        <f aca="false">AW6+AW7</f>
        <v>62079.6527124791</v>
      </c>
      <c r="AX8" s="61" t="n">
        <f aca="false">AX6+AX7</f>
        <v>70955.7751672153</v>
      </c>
      <c r="AY8" s="61" t="n">
        <f aca="false">AY6+AY7</f>
        <v>79516.0724187171</v>
      </c>
      <c r="AZ8" s="61" t="n">
        <f aca="false">AZ6+AZ7</f>
        <v>88273.2371958198</v>
      </c>
      <c r="BA8" s="61" t="n">
        <f aca="false">BA6+BA7</f>
        <v>98035.4524063233</v>
      </c>
      <c r="BB8" s="59" t="n">
        <f aca="false">SUM(BC8:BN8)</f>
        <v>1518916.52261919</v>
      </c>
      <c r="BC8" s="61" t="n">
        <f aca="false">BC6+BC7</f>
        <v>63051.0375683572</v>
      </c>
      <c r="BD8" s="61" t="n">
        <f aca="false">BD6+BD7</f>
        <v>77422.0913006675</v>
      </c>
      <c r="BE8" s="61" t="n">
        <f aca="false">BE6+BE7</f>
        <v>88046.8271179868</v>
      </c>
      <c r="BF8" s="61" t="n">
        <f aca="false">BF6+BF7</f>
        <v>101282.046405965</v>
      </c>
      <c r="BG8" s="61" t="n">
        <f aca="false">BG6+BG7</f>
        <v>111163.993243305</v>
      </c>
      <c r="BH8" s="61" t="n">
        <f aca="false">BH6+BH7</f>
        <v>121726.180969155</v>
      </c>
      <c r="BI8" s="61" t="n">
        <f aca="false">BI6+BI7</f>
        <v>131127.970935716</v>
      </c>
      <c r="BJ8" s="61" t="n">
        <f aca="false">BJ6+BJ7</f>
        <v>144514.484609892</v>
      </c>
      <c r="BK8" s="61" t="n">
        <f aca="false">BK6+BK7</f>
        <v>154159.718677139</v>
      </c>
      <c r="BL8" s="61" t="n">
        <f aca="false">BL6+BL7</f>
        <v>164448.637022847</v>
      </c>
      <c r="BM8" s="61" t="n">
        <f aca="false">BM6+BM7</f>
        <v>174657.313463339</v>
      </c>
      <c r="BN8" s="61" t="n">
        <f aca="false">BN6+BN7</f>
        <v>187316.22130482</v>
      </c>
    </row>
    <row r="9" customFormat="false" ht="15" hidden="false" customHeight="false" outlineLevel="0" collapsed="false">
      <c r="A9" s="4" t="s">
        <v>1031</v>
      </c>
      <c r="B9" s="59" t="n">
        <f aca="false">SUM(C9:N9)</f>
        <v>25401.4392748638</v>
      </c>
      <c r="C9" s="63" t="n">
        <f aca="false">Expenses!C46</f>
        <v>2081.17583603021</v>
      </c>
      <c r="D9" s="63" t="n">
        <f aca="false">Expenses!D46</f>
        <v>2081.17583603021</v>
      </c>
      <c r="E9" s="63" t="n">
        <f aca="false">Expenses!E46</f>
        <v>2123.90876028034</v>
      </c>
      <c r="F9" s="63" t="n">
        <f aca="false">Expenses!F46</f>
        <v>2123.90876028034</v>
      </c>
      <c r="G9" s="63" t="n">
        <f aca="false">Expenses!G46</f>
        <v>2123.90876028034</v>
      </c>
      <c r="H9" s="63" t="n">
        <f aca="false">Expenses!H46</f>
        <v>2123.90876028034</v>
      </c>
      <c r="I9" s="63" t="n">
        <f aca="false">Expenses!I46</f>
        <v>2123.90876028034</v>
      </c>
      <c r="J9" s="63" t="n">
        <f aca="false">Expenses!J46</f>
        <v>2123.90876028034</v>
      </c>
      <c r="K9" s="63" t="n">
        <f aca="false">Expenses!K46</f>
        <v>2123.90876028034</v>
      </c>
      <c r="L9" s="63" t="n">
        <f aca="false">Expenses!L46</f>
        <v>2123.90876028034</v>
      </c>
      <c r="M9" s="63" t="n">
        <f aca="false">Expenses!M46</f>
        <v>2123.90876028034</v>
      </c>
      <c r="N9" s="63" t="n">
        <f aca="false">Expenses!N46</f>
        <v>2123.90876028034</v>
      </c>
      <c r="O9" s="59" t="n">
        <f aca="false">SUM(P9:AA9)</f>
        <v>30819.2286130826</v>
      </c>
      <c r="P9" s="63" t="n">
        <f aca="false">Expenses!P46</f>
        <v>2491.09037677502</v>
      </c>
      <c r="Q9" s="63" t="n">
        <f aca="false">Expenses!Q46</f>
        <v>2491.09037677502</v>
      </c>
      <c r="R9" s="63" t="n">
        <f aca="false">Expenses!R46</f>
        <v>2491.09037677502</v>
      </c>
      <c r="S9" s="63" t="n">
        <f aca="false">Expenses!S46</f>
        <v>2527.19729605281</v>
      </c>
      <c r="T9" s="63" t="n">
        <f aca="false">Expenses!T46</f>
        <v>2552.44952006797</v>
      </c>
      <c r="U9" s="63" t="n">
        <f aca="false">Expenses!U46</f>
        <v>2552.44952006797</v>
      </c>
      <c r="V9" s="63" t="n">
        <f aca="false">Expenses!V46</f>
        <v>2602.465868845</v>
      </c>
      <c r="W9" s="63" t="n">
        <f aca="false">Expenses!W46</f>
        <v>2602.465868845</v>
      </c>
      <c r="X9" s="63" t="n">
        <f aca="false">Expenses!X46</f>
        <v>2627.23235221971</v>
      </c>
      <c r="Y9" s="63" t="n">
        <f aca="false">Expenses!Y46</f>
        <v>2627.23235221971</v>
      </c>
      <c r="Z9" s="63" t="n">
        <f aca="false">Expenses!Z46</f>
        <v>2627.23235221971</v>
      </c>
      <c r="AA9" s="63" t="n">
        <f aca="false">Expenses!AA46</f>
        <v>2627.23235221971</v>
      </c>
      <c r="AB9" s="59" t="n">
        <f aca="false">SUM(AC9:AN9)</f>
        <v>37448.3798662964</v>
      </c>
      <c r="AC9" s="63" t="n">
        <f aca="false">Expenses!AC46</f>
        <v>3049.66863442712</v>
      </c>
      <c r="AD9" s="63" t="n">
        <f aca="false">Expenses!AD46</f>
        <v>3049.66863442712</v>
      </c>
      <c r="AE9" s="63" t="n">
        <f aca="false">Expenses!AE46</f>
        <v>3049.66863442712</v>
      </c>
      <c r="AF9" s="63" t="n">
        <f aca="false">Expenses!AF46</f>
        <v>3073.60744621245</v>
      </c>
      <c r="AG9" s="63" t="n">
        <f aca="false">Expenses!AG46</f>
        <v>3097.43029905694</v>
      </c>
      <c r="AH9" s="63" t="n">
        <f aca="false">Expenses!AH46</f>
        <v>3097.43029905694</v>
      </c>
      <c r="AI9" s="63" t="n">
        <f aca="false">Expenses!AI46</f>
        <v>3144.61553375225</v>
      </c>
      <c r="AJ9" s="63" t="n">
        <f aca="false">Expenses!AJ46</f>
        <v>3144.61553375225</v>
      </c>
      <c r="AK9" s="63" t="n">
        <f aca="false">Expenses!AK46</f>
        <v>3167.98014070952</v>
      </c>
      <c r="AL9" s="63" t="n">
        <f aca="false">Expenses!AL46</f>
        <v>3191.23157015824</v>
      </c>
      <c r="AM9" s="63" t="n">
        <f aca="false">Expenses!AM46</f>
        <v>3191.23157015824</v>
      </c>
      <c r="AN9" s="63" t="n">
        <f aca="false">Expenses!AN46</f>
        <v>3191.23157015824</v>
      </c>
      <c r="AO9" s="59" t="n">
        <f aca="false">SUM(AP9:BA9)</f>
        <v>32750.708054406</v>
      </c>
      <c r="AP9" s="63" t="n">
        <f aca="false">Expenses!AP46</f>
        <v>2632.09841042376</v>
      </c>
      <c r="AQ9" s="63" t="n">
        <f aca="false">Expenses!AQ46</f>
        <v>2654.9025856336</v>
      </c>
      <c r="AR9" s="63" t="n">
        <f aca="false">Expenses!AR46</f>
        <v>2634.86337380061</v>
      </c>
      <c r="AS9" s="63" t="n">
        <f aca="false">Expenses!AS46</f>
        <v>2657.44715850375</v>
      </c>
      <c r="AT9" s="63" t="n">
        <f aca="false">Expenses!AT46</f>
        <v>2679.92154797969</v>
      </c>
      <c r="AU9" s="63" t="n">
        <f aca="false">Expenses!AU46</f>
        <v>2702.28707213588</v>
      </c>
      <c r="AV9" s="63" t="n">
        <f aca="false">Expenses!AV46</f>
        <v>2746.80144448994</v>
      </c>
      <c r="AW9" s="63" t="n">
        <f aca="false">Expenses!AW46</f>
        <v>2768.95081747398</v>
      </c>
      <c r="AX9" s="63" t="n">
        <f aca="false">Expenses!AX46</f>
        <v>2790.99289950914</v>
      </c>
      <c r="AY9" s="63" t="n">
        <f aca="false">Expenses!AY46</f>
        <v>2812.92821030982</v>
      </c>
      <c r="AZ9" s="63" t="n">
        <f aca="false">Expenses!AZ46</f>
        <v>2834.75726707291</v>
      </c>
      <c r="BA9" s="63" t="n">
        <f aca="false">Expenses!BA46</f>
        <v>2834.75726707291</v>
      </c>
      <c r="BB9" s="59" t="n">
        <f aca="false">SUM(BC9:BN9)</f>
        <v>35226.7498718484</v>
      </c>
      <c r="BC9" s="63" t="n">
        <f aca="false">Expenses!BC46</f>
        <v>2795.08174681236</v>
      </c>
      <c r="BD9" s="63" t="n">
        <f aca="false">Expenses!BD46</f>
        <v>2838.10849249131</v>
      </c>
      <c r="BE9" s="63" t="n">
        <f aca="false">Expenses!BE46</f>
        <v>2880.92681780667</v>
      </c>
      <c r="BF9" s="63" t="n">
        <f aca="false">Expenses!BF46</f>
        <v>2880.92681780667</v>
      </c>
      <c r="BG9" s="63" t="n">
        <f aca="false">Expenses!BG46</f>
        <v>2898.07910223667</v>
      </c>
      <c r="BH9" s="63" t="n">
        <f aca="false">Expenses!BH46</f>
        <v>2940.27820441816</v>
      </c>
      <c r="BI9" s="63" t="n">
        <f aca="false">Expenses!BI46</f>
        <v>2953.25389199122</v>
      </c>
      <c r="BJ9" s="63" t="n">
        <f aca="false">Expenses!BJ46</f>
        <v>2953.25389199122</v>
      </c>
      <c r="BK9" s="63" t="n">
        <f aca="false">Expenses!BK46</f>
        <v>2970.07624264513</v>
      </c>
      <c r="BL9" s="63" t="n">
        <f aca="false">Expenses!BL46</f>
        <v>3011.46362151433</v>
      </c>
      <c r="BM9" s="63" t="n">
        <f aca="false">Expenses!BM46</f>
        <v>3052.65052106734</v>
      </c>
      <c r="BN9" s="63" t="n">
        <f aca="false">Expenses!BN46</f>
        <v>3052.65052106734</v>
      </c>
    </row>
    <row r="11" customFormat="false" ht="15" hidden="false" customHeight="false" outlineLevel="0" collapsed="false">
      <c r="A11" s="9" t="s">
        <v>1032</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row>
    <row r="12" customFormat="false" ht="15" hidden="false" customHeight="false" outlineLevel="0" collapsed="false">
      <c r="A12" s="56" t="s">
        <v>632</v>
      </c>
      <c r="B12" s="57" t="s">
        <v>87</v>
      </c>
      <c r="C12" s="58" t="s">
        <v>562</v>
      </c>
      <c r="D12" s="58" t="s">
        <v>563</v>
      </c>
      <c r="E12" s="58" t="s">
        <v>564</v>
      </c>
      <c r="F12" s="58" t="s">
        <v>565</v>
      </c>
      <c r="G12" s="58" t="s">
        <v>566</v>
      </c>
      <c r="H12" s="58" t="s">
        <v>567</v>
      </c>
      <c r="I12" s="58" t="s">
        <v>568</v>
      </c>
      <c r="J12" s="58" t="s">
        <v>569</v>
      </c>
      <c r="K12" s="58" t="s">
        <v>570</v>
      </c>
      <c r="L12" s="58" t="s">
        <v>571</v>
      </c>
      <c r="M12" s="58" t="s">
        <v>572</v>
      </c>
      <c r="N12" s="58" t="s">
        <v>573</v>
      </c>
      <c r="O12" s="57" t="s">
        <v>88</v>
      </c>
      <c r="P12" s="58" t="s">
        <v>574</v>
      </c>
      <c r="Q12" s="58" t="s">
        <v>575</v>
      </c>
      <c r="R12" s="58" t="s">
        <v>576</v>
      </c>
      <c r="S12" s="58" t="s">
        <v>577</v>
      </c>
      <c r="T12" s="58" t="s">
        <v>578</v>
      </c>
      <c r="U12" s="58" t="s">
        <v>579</v>
      </c>
      <c r="V12" s="58" t="s">
        <v>580</v>
      </c>
      <c r="W12" s="58" t="s">
        <v>581</v>
      </c>
      <c r="X12" s="58" t="s">
        <v>582</v>
      </c>
      <c r="Y12" s="58" t="s">
        <v>583</v>
      </c>
      <c r="Z12" s="58" t="s">
        <v>584</v>
      </c>
      <c r="AA12" s="58" t="s">
        <v>585</v>
      </c>
      <c r="AB12" s="57" t="s">
        <v>89</v>
      </c>
      <c r="AC12" s="58" t="s">
        <v>586</v>
      </c>
      <c r="AD12" s="58" t="s">
        <v>587</v>
      </c>
      <c r="AE12" s="58" t="s">
        <v>588</v>
      </c>
      <c r="AF12" s="58" t="s">
        <v>589</v>
      </c>
      <c r="AG12" s="58" t="s">
        <v>590</v>
      </c>
      <c r="AH12" s="58" t="s">
        <v>591</v>
      </c>
      <c r="AI12" s="58" t="s">
        <v>592</v>
      </c>
      <c r="AJ12" s="58" t="s">
        <v>593</v>
      </c>
      <c r="AK12" s="58" t="s">
        <v>594</v>
      </c>
      <c r="AL12" s="58" t="s">
        <v>595</v>
      </c>
      <c r="AM12" s="58" t="s">
        <v>596</v>
      </c>
      <c r="AN12" s="58" t="s">
        <v>597</v>
      </c>
      <c r="AO12" s="57" t="s">
        <v>90</v>
      </c>
      <c r="AP12" s="58" t="s">
        <v>598</v>
      </c>
      <c r="AQ12" s="58" t="s">
        <v>599</v>
      </c>
      <c r="AR12" s="58" t="s">
        <v>600</v>
      </c>
      <c r="AS12" s="58" t="s">
        <v>601</v>
      </c>
      <c r="AT12" s="58" t="s">
        <v>602</v>
      </c>
      <c r="AU12" s="58" t="s">
        <v>603</v>
      </c>
      <c r="AV12" s="58" t="s">
        <v>604</v>
      </c>
      <c r="AW12" s="58" t="s">
        <v>605</v>
      </c>
      <c r="AX12" s="58" t="s">
        <v>606</v>
      </c>
      <c r="AY12" s="58" t="s">
        <v>607</v>
      </c>
      <c r="AZ12" s="58" t="s">
        <v>608</v>
      </c>
      <c r="BA12" s="58" t="s">
        <v>609</v>
      </c>
      <c r="BB12" s="57" t="s">
        <v>91</v>
      </c>
      <c r="BC12" s="58" t="s">
        <v>610</v>
      </c>
      <c r="BD12" s="58" t="s">
        <v>611</v>
      </c>
      <c r="BE12" s="58" t="s">
        <v>612</v>
      </c>
      <c r="BF12" s="58" t="s">
        <v>613</v>
      </c>
      <c r="BG12" s="58" t="s">
        <v>614</v>
      </c>
      <c r="BH12" s="58" t="s">
        <v>615</v>
      </c>
      <c r="BI12" s="58" t="s">
        <v>616</v>
      </c>
      <c r="BJ12" s="58" t="s">
        <v>617</v>
      </c>
      <c r="BK12" s="58" t="s">
        <v>618</v>
      </c>
      <c r="BL12" s="58" t="s">
        <v>619</v>
      </c>
      <c r="BM12" s="58" t="s">
        <v>620</v>
      </c>
      <c r="BN12" s="58" t="s">
        <v>621</v>
      </c>
    </row>
    <row r="13" customFormat="false" ht="15" hidden="false" customHeight="false" outlineLevel="0" collapsed="false">
      <c r="A13" s="4" t="s">
        <v>1016</v>
      </c>
      <c r="B13" s="59" t="n">
        <f aca="false">N13</f>
        <v>2236.58311352374</v>
      </c>
      <c r="C13" s="60" t="n">
        <f aca="false">'Revenue Streams'!C68*'Assumption Setting'!$C$184/30+'Revenue Streams'!C73*'Assumption Setting'!$C$185/30</f>
        <v>0</v>
      </c>
      <c r="D13" s="60" t="n">
        <f aca="false">'Revenue Streams'!D68*'Assumption Setting'!$C$184/30+'Revenue Streams'!D73*'Assumption Setting'!$C$185/30</f>
        <v>101.814151776848</v>
      </c>
      <c r="E13" s="60" t="n">
        <f aca="false">'Revenue Streams'!E68*'Assumption Setting'!$C$184/30+'Revenue Streams'!E73*'Assumption Setting'!$C$185/30</f>
        <v>304.852581452863</v>
      </c>
      <c r="F13" s="60" t="n">
        <f aca="false">'Revenue Streams'!F68*'Assumption Setting'!$C$184/30+'Revenue Streams'!F73*'Assumption Setting'!$C$185/30</f>
        <v>570.910257369009</v>
      </c>
      <c r="G13" s="60" t="n">
        <f aca="false">'Revenue Streams'!G68*'Assumption Setting'!$C$184/30+'Revenue Streams'!G73*'Assumption Setting'!$C$185/30</f>
        <v>785.61248505151</v>
      </c>
      <c r="H13" s="60" t="n">
        <f aca="false">'Revenue Streams'!H68*'Assumption Setting'!$C$184/30+'Revenue Streams'!H73*'Assumption Setting'!$C$185/30</f>
        <v>998.952899557433</v>
      </c>
      <c r="I13" s="60" t="n">
        <f aca="false">'Revenue Streams'!I68*'Assumption Setting'!$C$184/30+'Revenue Streams'!I73*'Assumption Setting'!$C$185/30</f>
        <v>1210.65569594149</v>
      </c>
      <c r="J13" s="60" t="n">
        <f aca="false">'Revenue Streams'!J68*'Assumption Setting'!$C$184/30+'Revenue Streams'!J73*'Assumption Setting'!$C$185/30</f>
        <v>1420.46959239696</v>
      </c>
      <c r="K13" s="60" t="n">
        <f aca="false">'Revenue Streams'!K68*'Assumption Setting'!$C$184/30+'Revenue Streams'!K73*'Assumption Setting'!$C$185/30</f>
        <v>1628.16625402303</v>
      </c>
      <c r="L13" s="60" t="n">
        <f aca="false">'Revenue Streams'!L68*'Assumption Setting'!$C$184/30+'Revenue Streams'!L73*'Assumption Setting'!$C$185/30</f>
        <v>1833.53880841929</v>
      </c>
      <c r="M13" s="60" t="n">
        <f aca="false">'Revenue Streams'!M68*'Assumption Setting'!$C$184/30+'Revenue Streams'!M73*'Assumption Setting'!$C$185/30</f>
        <v>2036.40044791348</v>
      </c>
      <c r="N13" s="60" t="n">
        <f aca="false">'Revenue Streams'!N68*'Assumption Setting'!$C$184/30+'Revenue Streams'!N73*'Assumption Setting'!$C$185/30</f>
        <v>2236.58311352374</v>
      </c>
      <c r="O13" s="59" t="n">
        <f aca="false">AA13</f>
        <v>10114.9242468101</v>
      </c>
      <c r="P13" s="60" t="n">
        <f aca="false">'Revenue Streams'!P68*'Assumption Setting'!$C$184/30+'Revenue Streams'!P73*'Assumption Setting'!$C$185/30</f>
        <v>2743.31334741068</v>
      </c>
      <c r="Q13" s="60" t="n">
        <f aca="false">'Revenue Streams'!Q68*'Assumption Setting'!$C$184/30+'Revenue Streams'!Q73*'Assumption Setting'!$C$185/30</f>
        <v>3274.53617225183</v>
      </c>
      <c r="R13" s="60" t="n">
        <f aca="false">'Revenue Streams'!R68*'Assumption Setting'!$C$184/30+'Revenue Streams'!R73*'Assumption Setting'!$C$185/30</f>
        <v>3894.76487948357</v>
      </c>
      <c r="S13" s="60" t="n">
        <f aca="false">'Revenue Streams'!S68*'Assumption Setting'!$C$184/30+'Revenue Streams'!S73*'Assumption Setting'!$C$185/30</f>
        <v>4521.42291471018</v>
      </c>
      <c r="T13" s="60" t="n">
        <f aca="false">'Revenue Streams'!T68*'Assumption Setting'!$C$184/30+'Revenue Streams'!T73*'Assumption Setting'!$C$185/30</f>
        <v>5153.22103280066</v>
      </c>
      <c r="U13" s="60" t="n">
        <f aca="false">'Revenue Streams'!U68*'Assumption Setting'!$C$184/30+'Revenue Streams'!U73*'Assumption Setting'!$C$185/30</f>
        <v>5782.39499347657</v>
      </c>
      <c r="V13" s="60" t="n">
        <f aca="false">'Revenue Streams'!V68*'Assumption Setting'!$C$184/30+'Revenue Streams'!V73*'Assumption Setting'!$C$185/30</f>
        <v>6850.48888885071</v>
      </c>
      <c r="W13" s="60" t="n">
        <f aca="false">'Revenue Streams'!W68*'Assumption Setting'!$C$184/30+'Revenue Streams'!W73*'Assumption Setting'!$C$185/30</f>
        <v>7514.48636899112</v>
      </c>
      <c r="X13" s="60" t="n">
        <f aca="false">'Revenue Streams'!X68*'Assumption Setting'!$C$184/30+'Revenue Streams'!X73*'Assumption Setting'!$C$185/30</f>
        <v>8173.43442342618</v>
      </c>
      <c r="Y13" s="60" t="n">
        <f aca="false">'Revenue Streams'!Y68*'Assumption Setting'!$C$184/30+'Revenue Streams'!Y73*'Assumption Setting'!$C$185/30</f>
        <v>8826.80657221279</v>
      </c>
      <c r="Z13" s="60" t="n">
        <f aca="false">'Revenue Streams'!Z68*'Assumption Setting'!$C$184/30+'Revenue Streams'!Z73*'Assumption Setting'!$C$185/30</f>
        <v>9474.11820150838</v>
      </c>
      <c r="AA13" s="60" t="n">
        <f aca="false">'Revenue Streams'!AA68*'Assumption Setting'!$C$184/30+'Revenue Streams'!AA73*'Assumption Setting'!$C$185/30</f>
        <v>10114.9242468101</v>
      </c>
      <c r="AB13" s="59" t="n">
        <f aca="false">AN13</f>
        <v>28076.0124157799</v>
      </c>
      <c r="AC13" s="60" t="n">
        <f aca="false">'Revenue Streams'!AC68*'Assumption Setting'!$C$184/30+'Revenue Streams'!AC73*'Assumption Setting'!$C$185/30</f>
        <v>12243.4231794355</v>
      </c>
      <c r="AD13" s="60" t="n">
        <f aca="false">'Revenue Streams'!AD68*'Assumption Setting'!$C$184/30+'Revenue Streams'!AD73*'Assumption Setting'!$C$185/30</f>
        <v>13541.2380557473</v>
      </c>
      <c r="AE13" s="60" t="n">
        <f aca="false">'Revenue Streams'!AE68*'Assumption Setting'!$C$184/30+'Revenue Streams'!AE73*'Assumption Setting'!$C$185/30</f>
        <v>15006.898834887</v>
      </c>
      <c r="AF13" s="60" t="n">
        <f aca="false">'Revenue Streams'!AF68*'Assumption Setting'!$C$184/30+'Revenue Streams'!AF73*'Assumption Setting'!$C$185/30</f>
        <v>16479.6880787558</v>
      </c>
      <c r="AG13" s="60" t="n">
        <f aca="false">'Revenue Streams'!AG68*'Assumption Setting'!$C$184/30+'Revenue Streams'!AG73*'Assumption Setting'!$C$185/30</f>
        <v>17957.5364774061</v>
      </c>
      <c r="AH13" s="60" t="n">
        <f aca="false">'Revenue Streams'!AH68*'Assumption Setting'!$C$184/30+'Revenue Streams'!AH73*'Assumption Setting'!$C$185/30</f>
        <v>19429.4257142631</v>
      </c>
      <c r="AI13" s="60" t="n">
        <f aca="false">'Revenue Streams'!AI68*'Assumption Setting'!$C$184/30+'Revenue Streams'!AI73*'Assumption Setting'!$C$185/30</f>
        <v>20894.2002530124</v>
      </c>
      <c r="AJ13" s="60" t="n">
        <f aca="false">'Revenue Streams'!AJ68*'Assumption Setting'!$C$184/30+'Revenue Streams'!AJ73*'Assumption Setting'!$C$185/30</f>
        <v>22350.7803517428</v>
      </c>
      <c r="AK13" s="60" t="n">
        <f aca="false">'Revenue Streams'!AK68*'Assumption Setting'!$C$184/30+'Revenue Streams'!AK73*'Assumption Setting'!$C$185/30</f>
        <v>23798.1583765812</v>
      </c>
      <c r="AL13" s="60" t="n">
        <f aca="false">'Revenue Streams'!AL68*'Assumption Setting'!$C$184/30+'Revenue Streams'!AL73*'Assumption Setting'!$C$185/30</f>
        <v>25235.3952794901</v>
      </c>
      <c r="AM13" s="60" t="n">
        <f aca="false">'Revenue Streams'!AM68*'Assumption Setting'!$C$184/30+'Revenue Streams'!AM73*'Assumption Setting'!$C$185/30</f>
        <v>26661.6172331021</v>
      </c>
      <c r="AN13" s="60" t="n">
        <f aca="false">'Revenue Streams'!AN68*'Assumption Setting'!$C$184/30+'Revenue Streams'!AN73*'Assumption Setting'!$C$185/30</f>
        <v>28076.0124157799</v>
      </c>
      <c r="AO13" s="59" t="n">
        <f aca="false">BA13</f>
        <v>58854.8662578268</v>
      </c>
      <c r="AP13" s="60" t="n">
        <f aca="false">'Revenue Streams'!AP68*'Assumption Setting'!$C$184/30+'Revenue Streams'!AP73*'Assumption Setting'!$C$185/30</f>
        <v>32787.0598258325</v>
      </c>
      <c r="AQ13" s="60" t="n">
        <f aca="false">'Revenue Streams'!AQ68*'Assumption Setting'!$C$184/30+'Revenue Streams'!AQ73*'Assumption Setting'!$C$185/30</f>
        <v>35034.6712055841</v>
      </c>
      <c r="AR13" s="60" t="n">
        <f aca="false">'Revenue Streams'!AR68*'Assumption Setting'!$C$184/30+'Revenue Streams'!AR73*'Assumption Setting'!$C$185/30</f>
        <v>37467.8686958401</v>
      </c>
      <c r="AS13" s="60" t="n">
        <f aca="false">'Revenue Streams'!AS68*'Assumption Setting'!$C$184/30+'Revenue Streams'!AS73*'Assumption Setting'!$C$185/30</f>
        <v>39899.2725060234</v>
      </c>
      <c r="AT13" s="60" t="n">
        <f aca="false">'Revenue Streams'!AT68*'Assumption Setting'!$C$184/30+'Revenue Streams'!AT73*'Assumption Setting'!$C$185/30</f>
        <v>42326.6349145495</v>
      </c>
      <c r="AU13" s="60" t="n">
        <f aca="false">'Revenue Streams'!AU68*'Assumption Setting'!$C$184/30+'Revenue Streams'!AU73*'Assumption Setting'!$C$185/30</f>
        <v>44740.071535534</v>
      </c>
      <c r="AV13" s="60" t="n">
        <f aca="false">'Revenue Streams'!AV68*'Assumption Setting'!$C$184/30+'Revenue Streams'!AV73*'Assumption Setting'!$C$185/30</f>
        <v>47138.1617041161</v>
      </c>
      <c r="AW13" s="60" t="n">
        <f aca="false">'Revenue Streams'!AW68*'Assumption Setting'!$C$184/30+'Revenue Streams'!AW73*'Assumption Setting'!$C$185/30</f>
        <v>49519.5762344787</v>
      </c>
      <c r="AX13" s="60" t="n">
        <f aca="false">'Revenue Streams'!AX68*'Assumption Setting'!$C$184/30+'Revenue Streams'!AX73*'Assumption Setting'!$C$185/30</f>
        <v>51883.0732313148</v>
      </c>
      <c r="AY13" s="60" t="n">
        <f aca="false">'Revenue Streams'!AY68*'Assumption Setting'!$C$184/30+'Revenue Streams'!AY73*'Assumption Setting'!$C$185/30</f>
        <v>54227.4940743865</v>
      </c>
      <c r="AZ13" s="60" t="n">
        <f aca="false">'Revenue Streams'!AZ68*'Assumption Setting'!$C$184/30+'Revenue Streams'!AZ73*'Assumption Setting'!$C$185/30</f>
        <v>56551.7595692914</v>
      </c>
      <c r="BA13" s="60" t="n">
        <f aca="false">'Revenue Streams'!BA68*'Assumption Setting'!$C$184/30+'Revenue Streams'!BA73*'Assumption Setting'!$C$185/30</f>
        <v>58854.8662578268</v>
      </c>
      <c r="BB13" s="59" t="n">
        <f aca="false">BN13</f>
        <v>99679.7467323608</v>
      </c>
      <c r="BC13" s="60" t="n">
        <f aca="false">'Revenue Streams'!BC68*'Assumption Setting'!$C$184/30+'Revenue Streams'!BC73*'Assumption Setting'!$C$185/30</f>
        <v>66637.1457132165</v>
      </c>
      <c r="BD13" s="60" t="n">
        <f aca="false">'Revenue Streams'!BD68*'Assumption Setting'!$C$184/30+'Revenue Streams'!BD73*'Assumption Setting'!$C$185/30</f>
        <v>69613.5669601821</v>
      </c>
      <c r="BE13" s="60" t="n">
        <f aca="false">'Revenue Streams'!BE68*'Assumption Setting'!$C$184/30+'Revenue Streams'!BE73*'Assumption Setting'!$C$185/30</f>
        <v>72701.6816996522</v>
      </c>
      <c r="BF13" s="60" t="n">
        <f aca="false">'Revenue Streams'!BF68*'Assumption Setting'!$C$184/30+'Revenue Streams'!BF73*'Assumption Setting'!$C$185/30</f>
        <v>75780.9397701036</v>
      </c>
      <c r="BG13" s="60" t="n">
        <f aca="false">'Revenue Streams'!BG68*'Assumption Setting'!$C$184/30+'Revenue Streams'!BG73*'Assumption Setting'!$C$185/30</f>
        <v>78849.138055481</v>
      </c>
      <c r="BH13" s="60" t="n">
        <f aca="false">'Revenue Streams'!BH68*'Assumption Setting'!$C$184/30+'Revenue Streams'!BH73*'Assumption Setting'!$C$185/30</f>
        <v>81896.869952017</v>
      </c>
      <c r="BI13" s="60" t="n">
        <f aca="false">'Revenue Streams'!BI68*'Assumption Setting'!$C$184/30+'Revenue Streams'!BI73*'Assumption Setting'!$C$185/30</f>
        <v>84922.7100149165</v>
      </c>
      <c r="BJ13" s="60" t="n">
        <f aca="false">'Revenue Streams'!BJ68*'Assumption Setting'!$C$184/30+'Revenue Streams'!BJ73*'Assumption Setting'!$C$185/30</f>
        <v>87925.3231016482</v>
      </c>
      <c r="BK13" s="60" t="n">
        <f aca="false">'Revenue Streams'!BK68*'Assumption Setting'!$C$184/30+'Revenue Streams'!BK73*'Assumption Setting'!$C$185/30</f>
        <v>90903.4604260757</v>
      </c>
      <c r="BL13" s="60" t="n">
        <f aca="false">'Revenue Streams'!BL68*'Assumption Setting'!$C$184/30+'Revenue Streams'!BL73*'Assumption Setting'!$C$185/30</f>
        <v>93855.9557672956</v>
      </c>
      <c r="BM13" s="60" t="n">
        <f aca="false">'Revenue Streams'!BM68*'Assumption Setting'!$C$184/30+'Revenue Streams'!BM73*'Assumption Setting'!$C$185/30</f>
        <v>96781.721827371</v>
      </c>
      <c r="BN13" s="60" t="n">
        <f aca="false">'Revenue Streams'!BN68*'Assumption Setting'!$C$184/30+'Revenue Streams'!BN73*'Assumption Setting'!$C$185/30</f>
        <v>99679.7467323608</v>
      </c>
    </row>
    <row r="14" customFormat="false" ht="15" hidden="false" customHeight="false" outlineLevel="0" collapsed="false">
      <c r="A14" s="4" t="s">
        <v>1018</v>
      </c>
      <c r="B14" s="59" t="n">
        <f aca="false">N14</f>
        <v>19180.9089591992</v>
      </c>
      <c r="C14" s="60" t="n">
        <f aca="false">(Expenses!C16+Expenses!C54)*'Assumption Setting'!$C$186/30</f>
        <v>23146.6039042429</v>
      </c>
      <c r="D14" s="60" t="n">
        <f aca="false">(Expenses!D16+Expenses!D54)*'Assumption Setting'!$C$186/30</f>
        <v>16082.0696462742</v>
      </c>
      <c r="E14" s="60" t="n">
        <f aca="false">(Expenses!E16+Expenses!E54)*'Assumption Setting'!$C$186/30</f>
        <v>16393.6702354696</v>
      </c>
      <c r="F14" s="60" t="n">
        <f aca="false">(Expenses!F16+Expenses!F54)*'Assumption Setting'!$C$186/30</f>
        <v>16798.5770503589</v>
      </c>
      <c r="G14" s="60" t="n">
        <f aca="false">(Expenses!G16+Expenses!G54)*'Assumption Setting'!$C$186/30</f>
        <v>17113.6655933407</v>
      </c>
      <c r="H14" s="60" t="n">
        <f aca="false">(Expenses!H16+Expenses!H54)*'Assumption Setting'!$C$186/30</f>
        <v>17424.1178258171</v>
      </c>
      <c r="I14" s="60" t="n">
        <f aca="false">(Expenses!I16+Expenses!I54)*'Assumption Setting'!$C$186/30</f>
        <v>17729.7534495163</v>
      </c>
      <c r="J14" s="60" t="n">
        <f aca="false">(Expenses!J16+Expenses!J54)*'Assumption Setting'!$C$186/30</f>
        <v>18030.4154483736</v>
      </c>
      <c r="K14" s="60" t="n">
        <f aca="false">(Expenses!K16+Expenses!K54)*'Assumption Setting'!$C$186/30</f>
        <v>18325.9683774565</v>
      </c>
      <c r="L14" s="60" t="n">
        <f aca="false">(Expenses!L16+Expenses!L54)*'Assumption Setting'!$C$186/30</f>
        <v>18616.2967619621</v>
      </c>
      <c r="M14" s="60" t="n">
        <f aca="false">(Expenses!M16+Expenses!M54)*'Assumption Setting'!$C$186/30</f>
        <v>18901.3035994883</v>
      </c>
      <c r="N14" s="60" t="n">
        <f aca="false">(Expenses!N16+Expenses!N54)*'Assumption Setting'!$C$186/30</f>
        <v>19180.9089591992</v>
      </c>
      <c r="O14" s="59" t="n">
        <f aca="false">AA14</f>
        <v>40914.7970144076</v>
      </c>
      <c r="P14" s="60" t="n">
        <f aca="false">(Expenses!P16+Expenses!P54)*'Assumption Setting'!$C$186/30</f>
        <v>34099.8002234642</v>
      </c>
      <c r="Q14" s="60" t="n">
        <f aca="false">(Expenses!Q16+Expenses!Q54)*'Assumption Setting'!$C$186/30</f>
        <v>31215.882820899</v>
      </c>
      <c r="R14" s="60" t="n">
        <f aca="false">(Expenses!R16+Expenses!R54)*'Assumption Setting'!$C$186/30</f>
        <v>32067.5374567423</v>
      </c>
      <c r="S14" s="60" t="n">
        <f aca="false">(Expenses!S16+Expenses!S54)*'Assumption Setting'!$C$186/30</f>
        <v>32920.2252229615</v>
      </c>
      <c r="T14" s="60" t="n">
        <f aca="false">(Expenses!T16+Expenses!T54)*'Assumption Setting'!$C$186/30</f>
        <v>34365.3521365412</v>
      </c>
      <c r="U14" s="60" t="n">
        <f aca="false">(Expenses!U16+Expenses!U54)*'Assumption Setting'!$C$186/30</f>
        <v>34885.4672263291</v>
      </c>
      <c r="V14" s="60" t="n">
        <f aca="false">(Expenses!V16+Expenses!V54)*'Assumption Setting'!$C$186/30</f>
        <v>37155.0899934814</v>
      </c>
      <c r="W14" s="60" t="n">
        <f aca="false">(Expenses!W16+Expenses!W54)*'Assumption Setting'!$C$186/30</f>
        <v>37365.4525636156</v>
      </c>
      <c r="X14" s="60" t="n">
        <f aca="false">(Expenses!X16+Expenses!X54)*'Assumption Setting'!$C$186/30</f>
        <v>38789.7403872799</v>
      </c>
      <c r="Y14" s="60" t="n">
        <f aca="false">(Expenses!Y16+Expenses!Y54)*'Assumption Setting'!$C$186/30</f>
        <v>39299.6601656176</v>
      </c>
      <c r="Z14" s="60" t="n">
        <f aca="false">(Expenses!Z16+Expenses!Z54)*'Assumption Setting'!$C$186/30</f>
        <v>40112.7087793693</v>
      </c>
      <c r="AA14" s="60" t="n">
        <f aca="false">(Expenses!AA16+Expenses!AA54)*'Assumption Setting'!$C$186/30</f>
        <v>40914.7970144076</v>
      </c>
      <c r="AB14" s="59" t="n">
        <f aca="false">AN14</f>
        <v>77281.2145939583</v>
      </c>
      <c r="AC14" s="60" t="n">
        <f aca="false">(Expenses!AC16+Expenses!AC54)*'Assumption Setting'!$C$186/30</f>
        <v>60884.4239158904</v>
      </c>
      <c r="AD14" s="60" t="n">
        <f aca="false">(Expenses!AD16+Expenses!AD54)*'Assumption Setting'!$C$186/30</f>
        <v>58099.0330756589</v>
      </c>
      <c r="AE14" s="60" t="n">
        <f aca="false">(Expenses!AE16+Expenses!AE54)*'Assumption Setting'!$C$186/30</f>
        <v>59884.1425817401</v>
      </c>
      <c r="AF14" s="60" t="n">
        <f aca="false">(Expenses!AF16+Expenses!AF54)*'Assumption Setting'!$C$186/30</f>
        <v>62307.6511580229</v>
      </c>
      <c r="AG14" s="60" t="n">
        <f aca="false">(Expenses!AG16+Expenses!AG54)*'Assumption Setting'!$C$186/30</f>
        <v>64396.0196955909</v>
      </c>
      <c r="AH14" s="60" t="n">
        <f aca="false">(Expenses!AH16+Expenses!AH54)*'Assumption Setting'!$C$186/30</f>
        <v>65821.93448331</v>
      </c>
      <c r="AI14" s="60" t="n">
        <f aca="false">(Expenses!AI16+Expenses!AI54)*'Assumption Setting'!$C$186/30</f>
        <v>68837.5619901867</v>
      </c>
      <c r="AJ14" s="60" t="n">
        <f aca="false">(Expenses!AJ16+Expenses!AJ54)*'Assumption Setting'!$C$186/30</f>
        <v>69902.2209234269</v>
      </c>
      <c r="AK14" s="60" t="n">
        <f aca="false">(Expenses!AK16+Expenses!AK54)*'Assumption Setting'!$C$186/30</f>
        <v>72263.770102189</v>
      </c>
      <c r="AL14" s="60" t="n">
        <f aca="false">(Expenses!AL16+Expenses!AL54)*'Assumption Setting'!$C$186/30</f>
        <v>74261.4077652662</v>
      </c>
      <c r="AM14" s="60" t="n">
        <f aca="false">(Expenses!AM16+Expenses!AM54)*'Assumption Setting'!$C$186/30</f>
        <v>75615.3349413776</v>
      </c>
      <c r="AN14" s="60" t="n">
        <f aca="false">(Expenses!AN16+Expenses!AN54)*'Assumption Setting'!$C$186/30</f>
        <v>77281.2145939583</v>
      </c>
      <c r="AO14" s="59" t="n">
        <f aca="false">BA14</f>
        <v>128693.540520239</v>
      </c>
      <c r="AP14" s="60" t="n">
        <f aca="false">(Expenses!AP16+Expenses!AP54)*'Assumption Setting'!$C$186/30</f>
        <v>99583.6900658108</v>
      </c>
      <c r="AQ14" s="60" t="n">
        <f aca="false">(Expenses!AQ16+Expenses!AQ54)*'Assumption Setting'!$C$186/30</f>
        <v>98617.0283760053</v>
      </c>
      <c r="AR14" s="60" t="n">
        <f aca="false">(Expenses!AR16+Expenses!AR54)*'Assumption Setting'!$C$186/30</f>
        <v>101757.647730334</v>
      </c>
      <c r="AS14" s="60" t="n">
        <f aca="false">(Expenses!AS16+Expenses!AS54)*'Assumption Setting'!$C$186/30</f>
        <v>104873.714580268</v>
      </c>
      <c r="AT14" s="60" t="n">
        <f aca="false">(Expenses!AT16+Expenses!AT54)*'Assumption Setting'!$C$186/30</f>
        <v>107988.093893671</v>
      </c>
      <c r="AU14" s="60" t="n">
        <f aca="false">(Expenses!AU16+Expenses!AU54)*'Assumption Setting'!$C$186/30</f>
        <v>111065.480098236</v>
      </c>
      <c r="AV14" s="60" t="n">
        <f aca="false">(Expenses!AV16+Expenses!AV54)*'Assumption Setting'!$C$186/30</f>
        <v>114792.280634017</v>
      </c>
      <c r="AW14" s="60" t="n">
        <f aca="false">(Expenses!AW16+Expenses!AW54)*'Assumption Setting'!$C$186/30</f>
        <v>117483.287508577</v>
      </c>
      <c r="AX14" s="60" t="n">
        <f aca="false">(Expenses!AX16+Expenses!AX54)*'Assumption Setting'!$C$186/30</f>
        <v>120488.037403473</v>
      </c>
      <c r="AY14" s="60" t="n">
        <f aca="false">(Expenses!AY16+Expenses!AY54)*'Assumption Setting'!$C$186/30</f>
        <v>123481.319163254</v>
      </c>
      <c r="AZ14" s="60" t="n">
        <f aca="false">(Expenses!AZ16+Expenses!AZ54)*'Assumption Setting'!$C$186/30</f>
        <v>126433.005513843</v>
      </c>
      <c r="BA14" s="60" t="n">
        <f aca="false">(Expenses!BA16+Expenses!BA54)*'Assumption Setting'!$C$186/30</f>
        <v>128693.540520239</v>
      </c>
      <c r="BB14" s="59" t="n">
        <f aca="false">BN14</f>
        <v>193029.103369816</v>
      </c>
      <c r="BC14" s="60" t="n">
        <f aca="false">(Expenses!BC16+Expenses!BC54)*'Assumption Setting'!$C$186/30</f>
        <v>155269.743275401</v>
      </c>
      <c r="BD14" s="60" t="n">
        <f aca="false">(Expenses!BD16+Expenses!BD54)*'Assumption Setting'!$C$186/30</f>
        <v>155019.7170617</v>
      </c>
      <c r="BE14" s="60" t="n">
        <f aca="false">(Expenses!BE16+Expenses!BE54)*'Assumption Setting'!$C$186/30</f>
        <v>159183.381328496</v>
      </c>
      <c r="BF14" s="60" t="n">
        <f aca="false">(Expenses!BF16+Expenses!BF54)*'Assumption Setting'!$C$186/30</f>
        <v>161880.454403997</v>
      </c>
      <c r="BG14" s="60" t="n">
        <f aca="false">(Expenses!BG16+Expenses!BG54)*'Assumption Setting'!$C$186/30</f>
        <v>166764.388546413</v>
      </c>
      <c r="BH14" s="60" t="n">
        <f aca="false">(Expenses!BH16+Expenses!BH54)*'Assumption Setting'!$C$186/30</f>
        <v>170861.936893263</v>
      </c>
      <c r="BI14" s="60" t="n">
        <f aca="false">(Expenses!BI16+Expenses!BI54)*'Assumption Setting'!$C$186/30</f>
        <v>175641.996274167</v>
      </c>
      <c r="BJ14" s="60" t="n">
        <f aca="false">(Expenses!BJ16+Expenses!BJ54)*'Assumption Setting'!$C$186/30</f>
        <v>177871.372234228</v>
      </c>
      <c r="BK14" s="60" t="n">
        <f aca="false">(Expenses!BK16+Expenses!BK54)*'Assumption Setting'!$C$186/30</f>
        <v>182622.585803679</v>
      </c>
      <c r="BL14" s="60" t="n">
        <f aca="false">(Expenses!BL16+Expenses!BL54)*'Assumption Setting'!$C$186/30</f>
        <v>186597.8086734</v>
      </c>
      <c r="BM14" s="60" t="n">
        <f aca="false">(Expenses!BM16+Expenses!BM54)*'Assumption Setting'!$C$186/30</f>
        <v>190540.069817386</v>
      </c>
      <c r="BN14" s="60" t="n">
        <f aca="false">(Expenses!BN16+Expenses!BN54)*'Assumption Setting'!$C$186/30</f>
        <v>193029.103369816</v>
      </c>
    </row>
    <row r="15" customFormat="false" ht="15" hidden="false" customHeight="false" outlineLevel="0" collapsed="false">
      <c r="A15" s="4" t="s">
        <v>1019</v>
      </c>
      <c r="B15" s="59" t="n">
        <f aca="false">N15</f>
        <v>8258.49632519262</v>
      </c>
      <c r="C15" s="60" t="n">
        <f aca="false">Payroll!C122*'Assumption Setting'!$C$187/30</f>
        <v>8711.60194174757</v>
      </c>
      <c r="D15" s="60" t="n">
        <f aca="false">Payroll!D122*'Assumption Setting'!$C$187/30</f>
        <v>8669.40318338112</v>
      </c>
      <c r="E15" s="60" t="n">
        <f aca="false">Payroll!E122*'Assumption Setting'!$C$187/30</f>
        <v>8627.40883463067</v>
      </c>
      <c r="F15" s="60" t="n">
        <f aca="false">Payroll!F122*'Assumption Setting'!$C$187/30</f>
        <v>8585.6179053417</v>
      </c>
      <c r="G15" s="60" t="n">
        <f aca="false">Payroll!G122*'Assumption Setting'!$C$187/30</f>
        <v>8544.02941015599</v>
      </c>
      <c r="H15" s="60" t="n">
        <f aca="false">Payroll!H122*'Assumption Setting'!$C$187/30</f>
        <v>8502.64236848834</v>
      </c>
      <c r="I15" s="60" t="n">
        <f aca="false">Payroll!I122*'Assumption Setting'!$C$187/30</f>
        <v>8461.45580450351</v>
      </c>
      <c r="J15" s="60" t="n">
        <f aca="false">Payroll!J122*'Assumption Setting'!$C$187/30</f>
        <v>8420.46874709314</v>
      </c>
      <c r="K15" s="60" t="n">
        <f aca="false">Payroll!K122*'Assumption Setting'!$C$187/30</f>
        <v>8379.68022985293</v>
      </c>
      <c r="L15" s="60" t="n">
        <f aca="false">Payroll!L122*'Assumption Setting'!$C$187/30</f>
        <v>8339.08929105978</v>
      </c>
      <c r="M15" s="60" t="n">
        <f aca="false">Payroll!M122*'Assumption Setting'!$C$187/30</f>
        <v>8298.69497364919</v>
      </c>
      <c r="N15" s="60" t="n">
        <f aca="false">Payroll!N122*'Assumption Setting'!$C$187/30</f>
        <v>8258.49632519262</v>
      </c>
      <c r="O15" s="59" t="n">
        <f aca="false">AA15</f>
        <v>13301.9714064127</v>
      </c>
      <c r="P15" s="60" t="n">
        <f aca="false">Payroll!P122*'Assumption Setting'!$C$187/30</f>
        <v>13328.3522623191</v>
      </c>
      <c r="Q15" s="60" t="n">
        <f aca="false">Payroll!Q122*'Assumption Setting'!$C$187/30</f>
        <v>13263.7900933516</v>
      </c>
      <c r="R15" s="60" t="n">
        <f aca="false">Payroll!R122*'Assumption Setting'!$C$187/30</f>
        <v>13199.5406617413</v>
      </c>
      <c r="S15" s="60" t="n">
        <f aca="false">Payroll!S122*'Assumption Setting'!$C$187/30</f>
        <v>13135.602452597</v>
      </c>
      <c r="T15" s="60" t="n">
        <f aca="false">Payroll!T122*'Assumption Setting'!$C$187/30</f>
        <v>13215.3427116282</v>
      </c>
      <c r="U15" s="60" t="n">
        <f aca="false">Payroll!U122*'Assumption Setting'!$C$187/30</f>
        <v>13151.3279577923</v>
      </c>
      <c r="V15" s="60" t="n">
        <f aca="false">Payroll!V122*'Assumption Setting'!$C$187/30</f>
        <v>13486.8953505576</v>
      </c>
      <c r="W15" s="60" t="n">
        <f aca="false">Payroll!W122*'Assumption Setting'!$C$187/30</f>
        <v>13421.5652032647</v>
      </c>
      <c r="X15" s="60" t="n">
        <f aca="false">Payroll!X122*'Assumption Setting'!$C$187/30</f>
        <v>13497.1624885703</v>
      </c>
      <c r="Y15" s="60" t="n">
        <f aca="false">Payroll!Y122*'Assumption Setting'!$C$187/30</f>
        <v>13431.7826075453</v>
      </c>
      <c r="Z15" s="60" t="n">
        <f aca="false">Payroll!Z122*'Assumption Setting'!$C$187/30</f>
        <v>13366.7194248521</v>
      </c>
      <c r="AA15" s="60" t="n">
        <f aca="false">Payroll!AA122*'Assumption Setting'!$C$187/30</f>
        <v>13301.9714064127</v>
      </c>
      <c r="AB15" s="59" t="n">
        <f aca="false">AN15</f>
        <v>19374.3224468382</v>
      </c>
      <c r="AC15" s="60" t="n">
        <f aca="false">Payroll!AC122*'Assumption Setting'!$C$187/30</f>
        <v>19319.7598003297</v>
      </c>
      <c r="AD15" s="60" t="n">
        <f aca="false">Payroll!AD122*'Assumption Setting'!$C$187/30</f>
        <v>19226.1754192981</v>
      </c>
      <c r="AE15" s="60" t="n">
        <f aca="false">Payroll!AE122*'Assumption Setting'!$C$187/30</f>
        <v>19133.0443584146</v>
      </c>
      <c r="AF15" s="60" t="n">
        <f aca="false">Payroll!AF122*'Assumption Setting'!$C$187/30</f>
        <v>19192.585743383</v>
      </c>
      <c r="AG15" s="60" t="n">
        <f aca="false">Payroll!AG122*'Assumption Setting'!$C$187/30</f>
        <v>19344.6723780726</v>
      </c>
      <c r="AH15" s="60" t="n">
        <f aca="false">Payroll!AH122*'Assumption Setting'!$C$187/30</f>
        <v>19250.9673212049</v>
      </c>
      <c r="AI15" s="60" t="n">
        <f aca="false">Payroll!AI122*'Assumption Setting'!$C$187/30</f>
        <v>19457.7560727917</v>
      </c>
      <c r="AJ15" s="60" t="n">
        <f aca="false">Payroll!AJ122*'Assumption Setting'!$C$187/30</f>
        <v>19363.5032416408</v>
      </c>
      <c r="AK15" s="60" t="n">
        <f aca="false">Payroll!AK122*'Assumption Setting'!$C$187/30</f>
        <v>19510.0481870671</v>
      </c>
      <c r="AL15" s="60" t="n">
        <f aca="false">Payroll!AL122*'Assumption Setting'!$C$187/30</f>
        <v>19563.3924719582</v>
      </c>
      <c r="AM15" s="60" t="n">
        <f aca="false">Payroll!AM122*'Assumption Setting'!$C$187/30</f>
        <v>19468.6279410174</v>
      </c>
      <c r="AN15" s="60" t="n">
        <f aca="false">Payroll!AN122*'Assumption Setting'!$C$187/30</f>
        <v>19374.3224468382</v>
      </c>
      <c r="AO15" s="59" t="n">
        <f aca="false">BA15</f>
        <v>26602.2602374177</v>
      </c>
      <c r="AP15" s="60" t="n">
        <f aca="false">Payroll!AP122*'Assumption Setting'!$C$187/30</f>
        <v>25859.6571544677</v>
      </c>
      <c r="AQ15" s="60" t="n">
        <f aca="false">Payroll!AQ122*'Assumption Setting'!$C$187/30</f>
        <v>25896.8008959563</v>
      </c>
      <c r="AR15" s="60" t="n">
        <f aca="false">Payroll!AR122*'Assumption Setting'!$C$187/30</f>
        <v>26033.7375829823</v>
      </c>
      <c r="AS15" s="60" t="n">
        <f aca="false">Payroll!AS122*'Assumption Setting'!$C$187/30</f>
        <v>26068.4685024427</v>
      </c>
      <c r="AT15" s="60" t="n">
        <f aca="false">Payroll!AT122*'Assumption Setting'!$C$187/30</f>
        <v>26202.0378692422</v>
      </c>
      <c r="AU15" s="60" t="n">
        <f aca="false">Payroll!AU122*'Assumption Setting'!$C$187/30</f>
        <v>26234.3991347107</v>
      </c>
      <c r="AV15" s="60" t="n">
        <f aca="false">Payroll!AV122*'Assumption Setting'!$C$187/30</f>
        <v>26424.3437269152</v>
      </c>
      <c r="AW15" s="60" t="n">
        <f aca="false">Payroll!AW122*'Assumption Setting'!$C$187/30</f>
        <v>26552.4314696231</v>
      </c>
      <c r="AX15" s="60" t="n">
        <f aca="false">Payroll!AX122*'Assumption Setting'!$C$187/30</f>
        <v>26580.7919420195</v>
      </c>
      <c r="AY15" s="60" t="n">
        <f aca="false">Payroll!AY122*'Assumption Setting'!$C$187/30</f>
        <v>26705.6469106197</v>
      </c>
      <c r="AZ15" s="60" t="n">
        <f aca="false">Payroll!AZ122*'Assumption Setting'!$C$187/30</f>
        <v>26731.7480842757</v>
      </c>
      <c r="BA15" s="60" t="n">
        <f aca="false">Payroll!BA122*'Assumption Setting'!$C$187/30</f>
        <v>26602.2602374177</v>
      </c>
      <c r="BB15" s="59" t="n">
        <f aca="false">BN15</f>
        <v>36740.8830326232</v>
      </c>
      <c r="BC15" s="60" t="n">
        <f aca="false">Payroll!BC122*'Assumption Setting'!$C$187/30</f>
        <v>34957.1437769743</v>
      </c>
      <c r="BD15" s="60" t="n">
        <f aca="false">Payroll!BD122*'Assumption Setting'!$C$187/30</f>
        <v>35239.0044873421</v>
      </c>
      <c r="BE15" s="60" t="n">
        <f aca="false">Payroll!BE122*'Assumption Setting'!$C$187/30</f>
        <v>35517.3143099901</v>
      </c>
      <c r="BF15" s="60" t="n">
        <f aca="false">Payroll!BF122*'Assumption Setting'!$C$187/30</f>
        <v>35345.269423824</v>
      </c>
      <c r="BG15" s="60" t="n">
        <f aca="false">Payroll!BG122*'Assumption Setting'!$C$187/30</f>
        <v>35618.7250866903</v>
      </c>
      <c r="BH15" s="60" t="n">
        <f aca="false">Payroll!BH122*'Assumption Setting'!$C$187/30</f>
        <v>35888.7021824647</v>
      </c>
      <c r="BI15" s="60" t="n">
        <f aca="false">Payroll!BI122*'Assumption Setting'!$C$187/30</f>
        <v>36322.7119995901</v>
      </c>
      <c r="BJ15" s="60" t="n">
        <f aca="false">Payroll!BJ122*'Assumption Setting'!$C$187/30</f>
        <v>36146.7657893369</v>
      </c>
      <c r="BK15" s="60" t="n">
        <f aca="false">Payroll!BK122*'Assumption Setting'!$C$187/30</f>
        <v>36407.7856045481</v>
      </c>
      <c r="BL15" s="60" t="n">
        <f aca="false">Payroll!BL122*'Assumption Setting'!$C$187/30</f>
        <v>36665.4285241053</v>
      </c>
      <c r="BM15" s="60" t="n">
        <f aca="false">Payroll!BM122*'Assumption Setting'!$C$187/30</f>
        <v>36919.7211385999</v>
      </c>
      <c r="BN15" s="60" t="n">
        <f aca="false">Payroll!BN122*'Assumption Setting'!$C$187/30</f>
        <v>36740.8830326232</v>
      </c>
    </row>
    <row r="16" customFormat="false" ht="15" hidden="false" customHeight="false" outlineLevel="0" collapsed="false">
      <c r="A16" s="4" t="s">
        <v>1020</v>
      </c>
      <c r="B16" s="59" t="n">
        <f aca="false">N16</f>
        <v>9849.41134182491</v>
      </c>
      <c r="C16" s="60" t="n">
        <f aca="false">'Revenue Streams'!C74*'Assumption Setting'!$C$188</f>
        <v>0</v>
      </c>
      <c r="D16" s="60" t="n">
        <f aca="false">'Revenue Streams'!D74*'Assumption Setting'!$C$188</f>
        <v>453.559080715322</v>
      </c>
      <c r="E16" s="60" t="n">
        <f aca="false">'Revenue Streams'!E74*'Assumption Setting'!$C$188</f>
        <v>1358.45120035681</v>
      </c>
      <c r="F16" s="60" t="n">
        <f aca="false">'Revenue Streams'!F74*'Assumption Setting'!$C$188</f>
        <v>2297.0473065885</v>
      </c>
      <c r="G16" s="60" t="n">
        <f aca="false">'Revenue Streams'!G74*'Assumption Setting'!$C$188</f>
        <v>3266.95459037756</v>
      </c>
      <c r="H16" s="60" t="n">
        <f aca="false">'Revenue Streams'!H74*'Assumption Setting'!$C$188</f>
        <v>4231.70480456167</v>
      </c>
      <c r="I16" s="60" t="n">
        <f aca="false">'Revenue Streams'!I74*'Assumption Setting'!$C$188</f>
        <v>5190.05398109289</v>
      </c>
      <c r="J16" s="60" t="n">
        <f aca="false">'Revenue Streams'!J74*'Assumption Setting'!$C$188</f>
        <v>6140.86586566084</v>
      </c>
      <c r="K16" s="60" t="n">
        <f aca="false">'Revenue Streams'!K74*'Assumption Setting'!$C$188</f>
        <v>7083.10504097414</v>
      </c>
      <c r="L16" s="60" t="n">
        <f aca="false">'Revenue Streams'!L74*'Assumption Setting'!$C$188</f>
        <v>8015.83045150371</v>
      </c>
      <c r="M16" s="60" t="n">
        <f aca="false">'Revenue Streams'!M74*'Assumption Setting'!$C$188</f>
        <v>8938.18930680178</v>
      </c>
      <c r="N16" s="60" t="n">
        <f aca="false">'Revenue Streams'!N74*'Assumption Setting'!$C$188</f>
        <v>9849.41134182491</v>
      </c>
      <c r="O16" s="59" t="n">
        <f aca="false">AA16</f>
        <v>52806.2035583706</v>
      </c>
      <c r="P16" s="60" t="n">
        <f aca="false">'Revenue Streams'!P74*'Assumption Setting'!$C$188</f>
        <v>15084.4569556835</v>
      </c>
      <c r="Q16" s="60" t="n">
        <f aca="false">'Revenue Streams'!Q74*'Assumption Setting'!$C$188</f>
        <v>17605.3250928843</v>
      </c>
      <c r="R16" s="60" t="n">
        <f aca="false">'Revenue Streams'!R74*'Assumption Setting'!$C$188</f>
        <v>21071.1015883549</v>
      </c>
      <c r="S16" s="60" t="n">
        <f aca="false">'Revenue Streams'!S74*'Assumption Setting'!$C$188</f>
        <v>24597.1726345588</v>
      </c>
      <c r="T16" s="60" t="n">
        <f aca="false">'Revenue Streams'!T74*'Assumption Setting'!$C$188</f>
        <v>28178.0545054327</v>
      </c>
      <c r="U16" s="60" t="n">
        <f aca="false">'Revenue Streams'!U74*'Assumption Setting'!$C$188</f>
        <v>31749.8085432947</v>
      </c>
      <c r="V16" s="60" t="n">
        <f aca="false">'Revenue Streams'!V74*'Assumption Setting'!$C$188</f>
        <v>35308.8850936694</v>
      </c>
      <c r="W16" s="60" t="n">
        <f aca="false">'Revenue Streams'!W74*'Assumption Setting'!$C$188</f>
        <v>38851.9777808717</v>
      </c>
      <c r="X16" s="60" t="n">
        <f aca="false">'Revenue Streams'!X74*'Assumption Setting'!$C$188</f>
        <v>42376.0108221805</v>
      </c>
      <c r="Y16" s="60" t="n">
        <f aca="false">'Revenue Streams'!Y74*'Assumption Setting'!$C$188</f>
        <v>45878.1269509192</v>
      </c>
      <c r="Z16" s="60" t="n">
        <f aca="false">'Revenue Streams'!Z74*'Assumption Setting'!$C$188</f>
        <v>49355.6759199434</v>
      </c>
      <c r="AA16" s="60" t="n">
        <f aca="false">'Revenue Streams'!AA74*'Assumption Setting'!$C$188</f>
        <v>52806.2035583706</v>
      </c>
      <c r="AB16" s="59" t="n">
        <f aca="false">AN16</f>
        <v>168131.026177326</v>
      </c>
      <c r="AC16" s="60" t="n">
        <f aca="false">'Revenue Streams'!AC74*'Assumption Setting'!$C$188</f>
        <v>72229.1608427315</v>
      </c>
      <c r="AD16" s="60" t="n">
        <f aca="false">'Revenue Streams'!AD74*'Assumption Setting'!$C$188</f>
        <v>79307.3755653521</v>
      </c>
      <c r="AE16" s="60" t="n">
        <f aca="false">'Revenue Streams'!AE74*'Assumption Setting'!$C$188</f>
        <v>88080.5186267986</v>
      </c>
      <c r="AF16" s="60" t="n">
        <f aca="false">'Revenue Streams'!AF74*'Assumption Setting'!$C$188</f>
        <v>96959.1408407414</v>
      </c>
      <c r="AG16" s="60" t="n">
        <f aca="false">'Revenue Streams'!AG74*'Assumption Setting'!$C$188</f>
        <v>105933.166957717</v>
      </c>
      <c r="AH16" s="60" t="n">
        <f aca="false">'Revenue Streams'!AH74*'Assumption Setting'!$C$188</f>
        <v>114898.203373916</v>
      </c>
      <c r="AI16" s="60" t="n">
        <f aca="false">'Revenue Streams'!AI74*'Assumption Setting'!$C$188</f>
        <v>123847.176651234</v>
      </c>
      <c r="AJ16" s="60" t="n">
        <f aca="false">'Revenue Streams'!AJ74*'Assumption Setting'!$C$188</f>
        <v>132773.420727296</v>
      </c>
      <c r="AK16" s="60" t="n">
        <f aca="false">'Revenue Streams'!AK74*'Assumption Setting'!$C$188</f>
        <v>141670.658384086</v>
      </c>
      <c r="AL16" s="60" t="n">
        <f aca="false">'Revenue Streams'!AL74*'Assumption Setting'!$C$188</f>
        <v>150532.983512377</v>
      </c>
      <c r="AM16" s="60" t="n">
        <f aca="false">'Revenue Streams'!AM74*'Assumption Setting'!$C$188</f>
        <v>159354.844137987</v>
      </c>
      <c r="AN16" s="60" t="n">
        <f aca="false">'Revenue Streams'!AN74*'Assumption Setting'!$C$188</f>
        <v>168131.026177326</v>
      </c>
      <c r="AO16" s="59" t="n">
        <f aca="false">BA16</f>
        <v>386866.748577688</v>
      </c>
      <c r="AP16" s="60" t="n">
        <f aca="false">'Revenue Streams'!AP74*'Assumption Setting'!$C$188</f>
        <v>212826.338995526</v>
      </c>
      <c r="AQ16" s="60" t="n">
        <f aca="false">'Revenue Streams'!AQ74*'Assumption Setting'!$C$188</f>
        <v>226864.102686106</v>
      </c>
      <c r="AR16" s="60" t="n">
        <f aca="false">'Revenue Streams'!AR74*'Assumption Setting'!$C$188</f>
        <v>242904.742458778</v>
      </c>
      <c r="AS16" s="60" t="n">
        <f aca="false">'Revenue Streams'!AS74*'Assumption Setting'!$C$188</f>
        <v>259022.269183669</v>
      </c>
      <c r="AT16" s="60" t="n">
        <f aca="false">'Revenue Streams'!AT74*'Assumption Setting'!$C$188</f>
        <v>275203.882169583</v>
      </c>
      <c r="AU16" s="60" t="n">
        <f aca="false">'Revenue Streams'!AU74*'Assumption Setting'!$C$188</f>
        <v>291346.228541365</v>
      </c>
      <c r="AV16" s="60" t="n">
        <f aca="false">'Revenue Streams'!AV74*'Assumption Setting'!$C$188</f>
        <v>307439.579323052</v>
      </c>
      <c r="AW16" s="60" t="n">
        <f aca="false">'Revenue Streams'!AW74*'Assumption Setting'!$C$188</f>
        <v>323474.735344238</v>
      </c>
      <c r="AX16" s="60" t="n">
        <f aca="false">'Revenue Streams'!AX74*'Assumption Setting'!$C$188</f>
        <v>339443.004966788</v>
      </c>
      <c r="AY16" s="60" t="n">
        <f aca="false">'Revenue Streams'!AY74*'Assumption Setting'!$C$188</f>
        <v>355336.182688055</v>
      </c>
      <c r="AZ16" s="60" t="n">
        <f aca="false">'Revenue Streams'!AZ74*'Assumption Setting'!$C$188</f>
        <v>371146.52858659</v>
      </c>
      <c r="BA16" s="60" t="n">
        <f aca="false">'Revenue Streams'!BA74*'Assumption Setting'!$C$188</f>
        <v>386866.748577688</v>
      </c>
      <c r="BB16" s="59" t="n">
        <f aca="false">BN16</f>
        <v>700046.072669758</v>
      </c>
      <c r="BC16" s="60" t="n">
        <f aca="false">'Revenue Streams'!BC74*'Assumption Setting'!$C$188</f>
        <v>461330.692755219</v>
      </c>
      <c r="BD16" s="60" t="n">
        <f aca="false">'Revenue Streams'!BD74*'Assumption Setting'!$C$188</f>
        <v>481991.743691063</v>
      </c>
      <c r="BE16" s="60" t="n">
        <f aca="false">'Revenue Streams'!BE74*'Assumption Setting'!$C$188</f>
        <v>503987.253100262</v>
      </c>
      <c r="BF16" s="60" t="n">
        <f aca="false">'Revenue Streams'!BF74*'Assumption Setting'!$C$188</f>
        <v>526029.576786371</v>
      </c>
      <c r="BG16" s="60" t="n">
        <f aca="false">'Revenue Streams'!BG74*'Assumption Setting'!$C$188</f>
        <v>548105.153583652</v>
      </c>
      <c r="BH16" s="60" t="n">
        <f aca="false">'Revenue Streams'!BH74*'Assumption Setting'!$C$188</f>
        <v>570108.023188511</v>
      </c>
      <c r="BI16" s="60" t="n">
        <f aca="false">'Revenue Streams'!BI74*'Assumption Setting'!$C$188</f>
        <v>592027.660854473</v>
      </c>
      <c r="BJ16" s="60" t="n">
        <f aca="false">'Revenue Streams'!BJ74*'Assumption Setting'!$C$188</f>
        <v>613854.088373735</v>
      </c>
      <c r="BK16" s="60" t="n">
        <f aca="false">'Revenue Streams'!BK74*'Assumption Setting'!$C$188</f>
        <v>635577.852447978</v>
      </c>
      <c r="BL16" s="60" t="n">
        <f aca="false">'Revenue Streams'!BL74*'Assumption Setting'!$C$188</f>
        <v>657190.003861204</v>
      </c>
      <c r="BM16" s="60" t="n">
        <f aca="false">'Revenue Streams'!BM74*'Assumption Setting'!$C$188</f>
        <v>678682.077425251</v>
      </c>
      <c r="BN16" s="60" t="n">
        <f aca="false">'Revenue Streams'!BN74*'Assumption Setting'!$C$188</f>
        <v>700046.072669758</v>
      </c>
    </row>
    <row r="17" customFormat="false" ht="15" hidden="false" customHeight="false" outlineLevel="0" collapsed="false">
      <c r="A17" s="4" t="s">
        <v>1033</v>
      </c>
      <c r="B17" s="59" t="n">
        <f aca="false">SUM(C17:N17)</f>
        <v>0</v>
      </c>
      <c r="C17" s="60" t="n">
        <v>0</v>
      </c>
      <c r="D17" s="60" t="n">
        <v>0</v>
      </c>
      <c r="E17" s="60" t="n">
        <v>0</v>
      </c>
      <c r="F17" s="60" t="n">
        <v>0</v>
      </c>
      <c r="G17" s="60" t="n">
        <v>0</v>
      </c>
      <c r="H17" s="60" t="n">
        <v>0</v>
      </c>
      <c r="I17" s="60" t="n">
        <v>0</v>
      </c>
      <c r="J17" s="60" t="n">
        <v>0</v>
      </c>
      <c r="K17" s="60" t="n">
        <v>0</v>
      </c>
      <c r="L17" s="60" t="n">
        <v>0</v>
      </c>
      <c r="M17" s="60" t="n">
        <v>0</v>
      </c>
      <c r="N17" s="60" t="n">
        <v>0</v>
      </c>
      <c r="O17" s="59" t="n">
        <f aca="false">SUM(P17:AA17)</f>
        <v>0</v>
      </c>
      <c r="P17" s="60" t="n">
        <f aca="false">IF(1='Assumption Setting'!$C$195,-'Income Statement'!$C$52,0)</f>
        <v>0</v>
      </c>
      <c r="Q17" s="60" t="n">
        <f aca="false">IF(2='Assumption Setting'!$C$195,-'Income Statement'!$C$52,0)</f>
        <v>0</v>
      </c>
      <c r="R17" s="60" t="n">
        <f aca="false">IF(3='Assumption Setting'!$C$195,-'Income Statement'!$C$52,0)</f>
        <v>0</v>
      </c>
      <c r="S17" s="60" t="n">
        <f aca="false">IF(4='Assumption Setting'!$C$195,-'Income Statement'!$C$52,0)</f>
        <v>0</v>
      </c>
      <c r="T17" s="60" t="n">
        <f aca="false">IF(5='Assumption Setting'!$C$195,-'Income Statement'!$C$52,0)</f>
        <v>0</v>
      </c>
      <c r="U17" s="60" t="n">
        <f aca="false">IF(6='Assumption Setting'!$C$195,-'Income Statement'!$C$52,0)</f>
        <v>0</v>
      </c>
      <c r="V17" s="60" t="n">
        <f aca="false">IF(7='Assumption Setting'!$C$195,-'Income Statement'!$C$52,0)</f>
        <v>0</v>
      </c>
      <c r="W17" s="60" t="n">
        <f aca="false">IF(8='Assumption Setting'!$C$195,-'Income Statement'!$C$52,0)</f>
        <v>0</v>
      </c>
      <c r="X17" s="60" t="n">
        <f aca="false">IF(9='Assumption Setting'!$C$195,-'Income Statement'!$C$52,0)</f>
        <v>0</v>
      </c>
      <c r="Y17" s="60" t="n">
        <f aca="false">IF(10='Assumption Setting'!$C$195,-'Income Statement'!$C$52,0)</f>
        <v>0</v>
      </c>
      <c r="Z17" s="60" t="n">
        <f aca="false">IF(11='Assumption Setting'!$C$195,-'Income Statement'!$C$52,0)</f>
        <v>0</v>
      </c>
      <c r="AA17" s="60" t="n">
        <f aca="false">IF(12='Assumption Setting'!$C$195,-'Income Statement'!$C$52,0)</f>
        <v>0</v>
      </c>
      <c r="AB17" s="59" t="n">
        <f aca="false">SUM(AC17:AN17)</f>
        <v>0</v>
      </c>
      <c r="AC17" s="60" t="n">
        <f aca="false">IF(1='Assumption Setting'!$C$195,-'Income Statement'!$D$52,0)</f>
        <v>0</v>
      </c>
      <c r="AD17" s="60" t="n">
        <f aca="false">IF(2='Assumption Setting'!$C$195,-'Income Statement'!$D$52,0)</f>
        <v>0</v>
      </c>
      <c r="AE17" s="60" t="n">
        <f aca="false">IF(3='Assumption Setting'!$C$195,-'Income Statement'!$D$52,0)</f>
        <v>0</v>
      </c>
      <c r="AF17" s="60" t="n">
        <f aca="false">IF(4='Assumption Setting'!$C$195,-'Income Statement'!$D$52,0)</f>
        <v>0</v>
      </c>
      <c r="AG17" s="60" t="n">
        <f aca="false">IF(5='Assumption Setting'!$C$195,-'Income Statement'!$D$52,0)</f>
        <v>0</v>
      </c>
      <c r="AH17" s="60" t="n">
        <f aca="false">IF(6='Assumption Setting'!$C$195,-'Income Statement'!$D$52,0)</f>
        <v>0</v>
      </c>
      <c r="AI17" s="60" t="n">
        <f aca="false">IF(7='Assumption Setting'!$C$195,-'Income Statement'!$D$52,0)</f>
        <v>0</v>
      </c>
      <c r="AJ17" s="60" t="n">
        <f aca="false">IF(8='Assumption Setting'!$C$195,-'Income Statement'!$D$52,0)</f>
        <v>0</v>
      </c>
      <c r="AK17" s="60" t="n">
        <f aca="false">IF(9='Assumption Setting'!$C$195,-'Income Statement'!$D$52,0)</f>
        <v>0</v>
      </c>
      <c r="AL17" s="60" t="n">
        <f aca="false">IF(10='Assumption Setting'!$C$195,-'Income Statement'!$D$52,0)</f>
        <v>0</v>
      </c>
      <c r="AM17" s="60" t="n">
        <f aca="false">IF(11='Assumption Setting'!$C$195,-'Income Statement'!$D$52,0)</f>
        <v>0</v>
      </c>
      <c r="AN17" s="60" t="n">
        <f aca="false">IF(12='Assumption Setting'!$C$195,-'Income Statement'!$D$52,0)</f>
        <v>0</v>
      </c>
      <c r="AO17" s="59" t="n">
        <f aca="false">SUM(AP17:BA17)</f>
        <v>0</v>
      </c>
      <c r="AP17" s="60" t="n">
        <f aca="false">IF(1='Assumption Setting'!$C$195,-'Income Statement'!$E$52,0)</f>
        <v>0</v>
      </c>
      <c r="AQ17" s="60" t="n">
        <f aca="false">IF(2='Assumption Setting'!$C$195,-'Income Statement'!$E$52,0)</f>
        <v>0</v>
      </c>
      <c r="AR17" s="60" t="n">
        <f aca="false">IF(3='Assumption Setting'!$C$195,-'Income Statement'!$E$52,0)</f>
        <v>0</v>
      </c>
      <c r="AS17" s="60" t="n">
        <f aca="false">IF(4='Assumption Setting'!$C$195,-'Income Statement'!$E$52,0)</f>
        <v>0</v>
      </c>
      <c r="AT17" s="60" t="n">
        <f aca="false">IF(5='Assumption Setting'!$C$195,-'Income Statement'!$E$52,0)</f>
        <v>0</v>
      </c>
      <c r="AU17" s="60" t="n">
        <f aca="false">IF(6='Assumption Setting'!$C$195,-'Income Statement'!$E$52,0)</f>
        <v>0</v>
      </c>
      <c r="AV17" s="60" t="n">
        <f aca="false">IF(7='Assumption Setting'!$C$195,-'Income Statement'!$E$52,0)</f>
        <v>0</v>
      </c>
      <c r="AW17" s="60" t="n">
        <f aca="false">IF(8='Assumption Setting'!$C$195,-'Income Statement'!$E$52,0)</f>
        <v>0</v>
      </c>
      <c r="AX17" s="60" t="n">
        <f aca="false">IF(9='Assumption Setting'!$C$195,-'Income Statement'!$E$52,0)</f>
        <v>0</v>
      </c>
      <c r="AY17" s="60" t="n">
        <f aca="false">IF(10='Assumption Setting'!$C$195,-'Income Statement'!$E$52,0)</f>
        <v>0</v>
      </c>
      <c r="AZ17" s="60" t="n">
        <f aca="false">IF(11='Assumption Setting'!$C$195,-'Income Statement'!$E$52,0)</f>
        <v>0</v>
      </c>
      <c r="BA17" s="60" t="n">
        <f aca="false">IF(12='Assumption Setting'!$C$195,-'Income Statement'!$E$52,0)</f>
        <v>0</v>
      </c>
      <c r="BB17" s="59" t="n">
        <f aca="false">SUM(BC17:BN17)</f>
        <v>0</v>
      </c>
      <c r="BC17" s="60" t="n">
        <f aca="false">IF(1='Assumption Setting'!$C$195,-'Income Statement'!$F$52,0)</f>
        <v>0</v>
      </c>
      <c r="BD17" s="60" t="n">
        <f aca="false">IF(2='Assumption Setting'!$C$195,-'Income Statement'!$F$52,0)</f>
        <v>0</v>
      </c>
      <c r="BE17" s="60" t="n">
        <f aca="false">IF(3='Assumption Setting'!$C$195,-'Income Statement'!$F$52,0)</f>
        <v>0</v>
      </c>
      <c r="BF17" s="60" t="n">
        <f aca="false">IF(4='Assumption Setting'!$C$195,-'Income Statement'!$F$52,0)</f>
        <v>0</v>
      </c>
      <c r="BG17" s="60" t="n">
        <f aca="false">IF(5='Assumption Setting'!$C$195,-'Income Statement'!$F$52,0)</f>
        <v>0</v>
      </c>
      <c r="BH17" s="60" t="n">
        <f aca="false">IF(6='Assumption Setting'!$C$195,-'Income Statement'!$F$52,0)</f>
        <v>0</v>
      </c>
      <c r="BI17" s="60" t="n">
        <f aca="false">IF(7='Assumption Setting'!$C$195,-'Income Statement'!$F$52,0)</f>
        <v>0</v>
      </c>
      <c r="BJ17" s="60" t="n">
        <f aca="false">IF(8='Assumption Setting'!$C$195,-'Income Statement'!$F$52,0)</f>
        <v>0</v>
      </c>
      <c r="BK17" s="60" t="n">
        <f aca="false">IF(9='Assumption Setting'!$C$195,-'Income Statement'!$F$52,0)</f>
        <v>0</v>
      </c>
      <c r="BL17" s="60" t="n">
        <f aca="false">IF(10='Assumption Setting'!$C$195,-'Income Statement'!$F$52,0)</f>
        <v>0</v>
      </c>
      <c r="BM17" s="60" t="n">
        <f aca="false">IF(11='Assumption Setting'!$C$195,-'Income Statement'!$F$52,0)</f>
        <v>0</v>
      </c>
      <c r="BN17" s="60" t="n">
        <f aca="false">IF(12='Assumption Setting'!$C$195,-'Income Statement'!$F$52,0)</f>
        <v>0</v>
      </c>
    </row>
    <row r="18" customFormat="false" ht="15" hidden="false" customHeight="false" outlineLevel="0" collapsed="false">
      <c r="A18" s="4" t="s">
        <v>1021</v>
      </c>
      <c r="B18" s="59" t="n">
        <f aca="false">N18</f>
        <v>0</v>
      </c>
      <c r="C18" s="60" t="n">
        <f aca="false">-C7-C17</f>
        <v>0</v>
      </c>
      <c r="D18" s="60" t="n">
        <f aca="false">C18-D7-D17</f>
        <v>0</v>
      </c>
      <c r="E18" s="60" t="n">
        <f aca="false">D18-E7-E17</f>
        <v>0</v>
      </c>
      <c r="F18" s="60" t="n">
        <f aca="false">E18-F7-F17</f>
        <v>0</v>
      </c>
      <c r="G18" s="60" t="n">
        <f aca="false">F18-G7-G17</f>
        <v>0</v>
      </c>
      <c r="H18" s="60" t="n">
        <f aca="false">G18-H7-H17</f>
        <v>0</v>
      </c>
      <c r="I18" s="60" t="n">
        <f aca="false">H18-I7-I17</f>
        <v>0</v>
      </c>
      <c r="J18" s="60" t="n">
        <f aca="false">I18-J7-J17</f>
        <v>0</v>
      </c>
      <c r="K18" s="60" t="n">
        <f aca="false">J18-K7-K17</f>
        <v>0</v>
      </c>
      <c r="L18" s="60" t="n">
        <f aca="false">K18-L7-L17</f>
        <v>0</v>
      </c>
      <c r="M18" s="60" t="n">
        <f aca="false">L18-M7-M17</f>
        <v>0</v>
      </c>
      <c r="N18" s="60" t="n">
        <f aca="false">M18-N7-N17</f>
        <v>0</v>
      </c>
      <c r="O18" s="59" t="n">
        <f aca="false">AA18</f>
        <v>0</v>
      </c>
      <c r="P18" s="60" t="n">
        <f aca="false">N18-P7-P17</f>
        <v>0</v>
      </c>
      <c r="Q18" s="60" t="n">
        <f aca="false">P18-Q7-Q17</f>
        <v>0</v>
      </c>
      <c r="R18" s="60" t="n">
        <f aca="false">Q18-R7-R17</f>
        <v>0</v>
      </c>
      <c r="S18" s="60" t="n">
        <f aca="false">R18-S7-S17</f>
        <v>0</v>
      </c>
      <c r="T18" s="60" t="n">
        <f aca="false">S18-T7-T17</f>
        <v>0</v>
      </c>
      <c r="U18" s="60" t="n">
        <f aca="false">T18-U7-U17</f>
        <v>0</v>
      </c>
      <c r="V18" s="60" t="n">
        <f aca="false">U18-V7-V17</f>
        <v>0</v>
      </c>
      <c r="W18" s="60" t="n">
        <f aca="false">V18-W7-W17</f>
        <v>0</v>
      </c>
      <c r="X18" s="60" t="n">
        <f aca="false">W18-X7-X17</f>
        <v>0</v>
      </c>
      <c r="Y18" s="60" t="n">
        <f aca="false">X18-Y7-Y17</f>
        <v>0</v>
      </c>
      <c r="Z18" s="60" t="n">
        <f aca="false">Y18-Z7-Z17</f>
        <v>0</v>
      </c>
      <c r="AA18" s="60" t="n">
        <f aca="false">Z18-AA7-AA17</f>
        <v>0</v>
      </c>
      <c r="AB18" s="59" t="n">
        <f aca="false">AN18</f>
        <v>0</v>
      </c>
      <c r="AC18" s="60" t="n">
        <f aca="false">AA18-AC7-AC17</f>
        <v>0</v>
      </c>
      <c r="AD18" s="60" t="n">
        <f aca="false">AC18-AD7-AD17</f>
        <v>0</v>
      </c>
      <c r="AE18" s="60" t="n">
        <f aca="false">AD18-AE7-AE17</f>
        <v>0</v>
      </c>
      <c r="AF18" s="60" t="n">
        <f aca="false">AE18-AF7-AF17</f>
        <v>0</v>
      </c>
      <c r="AG18" s="60" t="n">
        <f aca="false">AF18-AG7-AG17</f>
        <v>0</v>
      </c>
      <c r="AH18" s="60" t="n">
        <f aca="false">AG18-AH7-AH17</f>
        <v>0</v>
      </c>
      <c r="AI18" s="60" t="n">
        <f aca="false">AH18-AI7-AI17</f>
        <v>0</v>
      </c>
      <c r="AJ18" s="60" t="n">
        <f aca="false">AI18-AJ7-AJ17</f>
        <v>0</v>
      </c>
      <c r="AK18" s="60" t="n">
        <f aca="false">AJ18-AK7-AK17</f>
        <v>0</v>
      </c>
      <c r="AL18" s="60" t="n">
        <f aca="false">AK18-AL7-AL17</f>
        <v>0</v>
      </c>
      <c r="AM18" s="60" t="n">
        <f aca="false">AL18-AM7-AM17</f>
        <v>0</v>
      </c>
      <c r="AN18" s="60" t="n">
        <f aca="false">AM18-AN7-AN17</f>
        <v>0</v>
      </c>
      <c r="AO18" s="59" t="n">
        <f aca="false">BA18</f>
        <v>0</v>
      </c>
      <c r="AP18" s="60" t="n">
        <f aca="false">AN18-AP7-AP17</f>
        <v>0</v>
      </c>
      <c r="AQ18" s="60" t="n">
        <f aca="false">AP18-AQ7-AQ17</f>
        <v>0</v>
      </c>
      <c r="AR18" s="60" t="n">
        <f aca="false">AQ18-AR7-AR17</f>
        <v>0</v>
      </c>
      <c r="AS18" s="60" t="n">
        <f aca="false">AR18-AS7-AS17</f>
        <v>0</v>
      </c>
      <c r="AT18" s="60" t="n">
        <f aca="false">AS18-AT7-AT17</f>
        <v>0</v>
      </c>
      <c r="AU18" s="60" t="n">
        <f aca="false">AT18-AU7-AU17</f>
        <v>0</v>
      </c>
      <c r="AV18" s="60" t="n">
        <f aca="false">AU18-AV7-AV17</f>
        <v>0</v>
      </c>
      <c r="AW18" s="60" t="n">
        <f aca="false">AV18-AW7-AW17</f>
        <v>0</v>
      </c>
      <c r="AX18" s="60" t="n">
        <f aca="false">AW18-AX7-AX17</f>
        <v>0</v>
      </c>
      <c r="AY18" s="60" t="n">
        <f aca="false">AX18-AY7-AY17</f>
        <v>0</v>
      </c>
      <c r="AZ18" s="60" t="n">
        <f aca="false">AY18-AZ7-AZ17</f>
        <v>0</v>
      </c>
      <c r="BA18" s="60" t="n">
        <f aca="false">AZ18-BA7-BA17</f>
        <v>0</v>
      </c>
      <c r="BB18" s="59" t="n">
        <f aca="false">BN18</f>
        <v>289862.6426501</v>
      </c>
      <c r="BC18" s="60" t="n">
        <f aca="false">BA18-BC7-BC17</f>
        <v>24155.2202208417</v>
      </c>
      <c r="BD18" s="60" t="n">
        <f aca="false">BC18-BD7-BD17</f>
        <v>48310.4404416834</v>
      </c>
      <c r="BE18" s="60" t="n">
        <f aca="false">BD18-BE7-BE17</f>
        <v>72465.6606625251</v>
      </c>
      <c r="BF18" s="60" t="n">
        <f aca="false">BE18-BF7-BF17</f>
        <v>96620.8808833668</v>
      </c>
      <c r="BG18" s="60" t="n">
        <f aca="false">BF18-BG7-BG17</f>
        <v>120776.101104209</v>
      </c>
      <c r="BH18" s="60" t="n">
        <f aca="false">BG18-BH7-BH17</f>
        <v>144931.32132505</v>
      </c>
      <c r="BI18" s="60" t="n">
        <f aca="false">BH18-BI7-BI17</f>
        <v>169086.541545892</v>
      </c>
      <c r="BJ18" s="60" t="n">
        <f aca="false">BI18-BJ7-BJ17</f>
        <v>193241.761766734</v>
      </c>
      <c r="BK18" s="60" t="n">
        <f aca="false">BJ18-BK7-BK17</f>
        <v>217396.981987575</v>
      </c>
      <c r="BL18" s="60" t="n">
        <f aca="false">BK18-BL7-BL17</f>
        <v>241552.202208417</v>
      </c>
      <c r="BM18" s="60" t="n">
        <f aca="false">BL18-BM7-BM17</f>
        <v>265707.422429259</v>
      </c>
      <c r="BN18" s="60" t="n">
        <f aca="false">BM18-BN7-BN17</f>
        <v>289862.6426501</v>
      </c>
    </row>
    <row r="20" customFormat="false" ht="15" hidden="false" customHeight="false" outlineLevel="0" collapsed="false">
      <c r="A20" s="9" t="s">
        <v>1034</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row>
    <row r="21" customFormat="false" ht="15" hidden="false" customHeight="false" outlineLevel="0" collapsed="false">
      <c r="A21" s="56" t="s">
        <v>632</v>
      </c>
      <c r="B21" s="57" t="s">
        <v>87</v>
      </c>
      <c r="C21" s="58" t="s">
        <v>562</v>
      </c>
      <c r="D21" s="58" t="s">
        <v>563</v>
      </c>
      <c r="E21" s="58" t="s">
        <v>564</v>
      </c>
      <c r="F21" s="58" t="s">
        <v>565</v>
      </c>
      <c r="G21" s="58" t="s">
        <v>566</v>
      </c>
      <c r="H21" s="58" t="s">
        <v>567</v>
      </c>
      <c r="I21" s="58" t="s">
        <v>568</v>
      </c>
      <c r="J21" s="58" t="s">
        <v>569</v>
      </c>
      <c r="K21" s="58" t="s">
        <v>570</v>
      </c>
      <c r="L21" s="58" t="s">
        <v>571</v>
      </c>
      <c r="M21" s="58" t="s">
        <v>572</v>
      </c>
      <c r="N21" s="58" t="s">
        <v>573</v>
      </c>
      <c r="O21" s="57" t="s">
        <v>88</v>
      </c>
      <c r="P21" s="58" t="s">
        <v>574</v>
      </c>
      <c r="Q21" s="58" t="s">
        <v>575</v>
      </c>
      <c r="R21" s="58" t="s">
        <v>576</v>
      </c>
      <c r="S21" s="58" t="s">
        <v>577</v>
      </c>
      <c r="T21" s="58" t="s">
        <v>578</v>
      </c>
      <c r="U21" s="58" t="s">
        <v>579</v>
      </c>
      <c r="V21" s="58" t="s">
        <v>580</v>
      </c>
      <c r="W21" s="58" t="s">
        <v>581</v>
      </c>
      <c r="X21" s="58" t="s">
        <v>582</v>
      </c>
      <c r="Y21" s="58" t="s">
        <v>583</v>
      </c>
      <c r="Z21" s="58" t="s">
        <v>584</v>
      </c>
      <c r="AA21" s="58" t="s">
        <v>585</v>
      </c>
      <c r="AB21" s="57" t="s">
        <v>89</v>
      </c>
      <c r="AC21" s="58" t="s">
        <v>586</v>
      </c>
      <c r="AD21" s="58" t="s">
        <v>587</v>
      </c>
      <c r="AE21" s="58" t="s">
        <v>588</v>
      </c>
      <c r="AF21" s="58" t="s">
        <v>589</v>
      </c>
      <c r="AG21" s="58" t="s">
        <v>590</v>
      </c>
      <c r="AH21" s="58" t="s">
        <v>591</v>
      </c>
      <c r="AI21" s="58" t="s">
        <v>592</v>
      </c>
      <c r="AJ21" s="58" t="s">
        <v>593</v>
      </c>
      <c r="AK21" s="58" t="s">
        <v>594</v>
      </c>
      <c r="AL21" s="58" t="s">
        <v>595</v>
      </c>
      <c r="AM21" s="58" t="s">
        <v>596</v>
      </c>
      <c r="AN21" s="58" t="s">
        <v>597</v>
      </c>
      <c r="AO21" s="57" t="s">
        <v>90</v>
      </c>
      <c r="AP21" s="58" t="s">
        <v>598</v>
      </c>
      <c r="AQ21" s="58" t="s">
        <v>599</v>
      </c>
      <c r="AR21" s="58" t="s">
        <v>600</v>
      </c>
      <c r="AS21" s="58" t="s">
        <v>601</v>
      </c>
      <c r="AT21" s="58" t="s">
        <v>602</v>
      </c>
      <c r="AU21" s="58" t="s">
        <v>603</v>
      </c>
      <c r="AV21" s="58" t="s">
        <v>604</v>
      </c>
      <c r="AW21" s="58" t="s">
        <v>605</v>
      </c>
      <c r="AX21" s="58" t="s">
        <v>606</v>
      </c>
      <c r="AY21" s="58" t="s">
        <v>607</v>
      </c>
      <c r="AZ21" s="58" t="s">
        <v>608</v>
      </c>
      <c r="BA21" s="58" t="s">
        <v>609</v>
      </c>
      <c r="BB21" s="57" t="s">
        <v>91</v>
      </c>
      <c r="BC21" s="58" t="s">
        <v>610</v>
      </c>
      <c r="BD21" s="58" t="s">
        <v>611</v>
      </c>
      <c r="BE21" s="58" t="s">
        <v>612</v>
      </c>
      <c r="BF21" s="58" t="s">
        <v>613</v>
      </c>
      <c r="BG21" s="58" t="s">
        <v>614</v>
      </c>
      <c r="BH21" s="58" t="s">
        <v>615</v>
      </c>
      <c r="BI21" s="58" t="s">
        <v>616</v>
      </c>
      <c r="BJ21" s="58" t="s">
        <v>617</v>
      </c>
      <c r="BK21" s="58" t="s">
        <v>618</v>
      </c>
      <c r="BL21" s="58" t="s">
        <v>619</v>
      </c>
      <c r="BM21" s="58" t="s">
        <v>620</v>
      </c>
      <c r="BN21" s="58" t="s">
        <v>621</v>
      </c>
    </row>
    <row r="22" customFormat="false" ht="15" hidden="false" customHeight="false" outlineLevel="0" collapsed="false">
      <c r="A22" s="4" t="s">
        <v>1035</v>
      </c>
      <c r="B22" s="59" t="n">
        <f aca="false">SUM(C22:N22)</f>
        <v>-2236.58311352374</v>
      </c>
      <c r="C22" s="60" t="n">
        <f aca="false">-C13</f>
        <v>-0</v>
      </c>
      <c r="D22" s="60" t="n">
        <f aca="false">-(D13-C13)</f>
        <v>-101.814151776848</v>
      </c>
      <c r="E22" s="60" t="n">
        <f aca="false">-(E13-D13)</f>
        <v>-203.038429676015</v>
      </c>
      <c r="F22" s="60" t="n">
        <f aca="false">-(F13-E13)</f>
        <v>-266.057675916146</v>
      </c>
      <c r="G22" s="60" t="n">
        <f aca="false">-(G13-F13)</f>
        <v>-214.702227682501</v>
      </c>
      <c r="H22" s="60" t="n">
        <f aca="false">-(H13-G13)</f>
        <v>-213.340414505923</v>
      </c>
      <c r="I22" s="60" t="n">
        <f aca="false">-(I13-H13)</f>
        <v>-211.702796384053</v>
      </c>
      <c r="J22" s="60" t="n">
        <f aca="false">-(J13-I13)</f>
        <v>-209.813896455471</v>
      </c>
      <c r="K22" s="60" t="n">
        <f aca="false">-(K13-J13)</f>
        <v>-207.696661626077</v>
      </c>
      <c r="L22" s="60" t="n">
        <f aca="false">-(L13-K13)</f>
        <v>-205.372554396251</v>
      </c>
      <c r="M22" s="60" t="n">
        <f aca="false">-(M13-L13)</f>
        <v>-202.861639494196</v>
      </c>
      <c r="N22" s="60" t="n">
        <f aca="false">-(N13-M13)</f>
        <v>-200.182665610257</v>
      </c>
      <c r="O22" s="59" t="n">
        <f aca="false">SUM(P22:AA22)</f>
        <v>-7878.34113328631</v>
      </c>
      <c r="P22" s="60" t="n">
        <f aca="false">-(P13-N13)</f>
        <v>-506.730233886938</v>
      </c>
      <c r="Q22" s="60" t="n">
        <f aca="false">-(Q13-P13)</f>
        <v>-531.222824841149</v>
      </c>
      <c r="R22" s="60" t="n">
        <f aca="false">-(R13-Q13)</f>
        <v>-620.228707231744</v>
      </c>
      <c r="S22" s="60" t="n">
        <f aca="false">-(S13-R13)</f>
        <v>-626.658035226613</v>
      </c>
      <c r="T22" s="60" t="n">
        <f aca="false">-(T13-S13)</f>
        <v>-631.798118090481</v>
      </c>
      <c r="U22" s="60" t="n">
        <f aca="false">-(U13-T13)</f>
        <v>-629.173960675906</v>
      </c>
      <c r="V22" s="60" t="n">
        <f aca="false">-(V13-U13)</f>
        <v>-1068.09389537414</v>
      </c>
      <c r="W22" s="60" t="n">
        <f aca="false">-(W13-V13)</f>
        <v>-663.997480140411</v>
      </c>
      <c r="X22" s="60" t="n">
        <f aca="false">-(X13-W13)</f>
        <v>-658.948054435057</v>
      </c>
      <c r="Y22" s="60" t="n">
        <f aca="false">-(Y13-X13)</f>
        <v>-653.372148786608</v>
      </c>
      <c r="Z22" s="60" t="n">
        <f aca="false">-(Z13-Y13)</f>
        <v>-647.311629295591</v>
      </c>
      <c r="AA22" s="60" t="n">
        <f aca="false">-(AA13-Z13)</f>
        <v>-640.806045301672</v>
      </c>
      <c r="AB22" s="59" t="n">
        <f aca="false">SUM(AC22:AN22)</f>
        <v>-17961.0881689699</v>
      </c>
      <c r="AC22" s="60" t="n">
        <f aca="false">-(AC13-AA13)</f>
        <v>-2128.49893262543</v>
      </c>
      <c r="AD22" s="60" t="n">
        <f aca="false">-(AD13-AC13)</f>
        <v>-1297.81487631183</v>
      </c>
      <c r="AE22" s="60" t="n">
        <f aca="false">-(AE13-AD13)</f>
        <v>-1465.66077913974</v>
      </c>
      <c r="AF22" s="60" t="n">
        <f aca="false">-(AF13-AE13)</f>
        <v>-1472.78924386876</v>
      </c>
      <c r="AG22" s="60" t="n">
        <f aca="false">-(AG13-AF13)</f>
        <v>-1477.84839865033</v>
      </c>
      <c r="AH22" s="60" t="n">
        <f aca="false">-(AH13-AG13)</f>
        <v>-1471.88923685696</v>
      </c>
      <c r="AI22" s="60" t="n">
        <f aca="false">-(AI13-AH13)</f>
        <v>-1464.77453874934</v>
      </c>
      <c r="AJ22" s="60" t="n">
        <f aca="false">-(AJ13-AI13)</f>
        <v>-1456.58009873031</v>
      </c>
      <c r="AK22" s="60" t="n">
        <f aca="false">-(AK13-AJ13)</f>
        <v>-1447.37802483843</v>
      </c>
      <c r="AL22" s="60" t="n">
        <f aca="false">-(AL13-AK13)</f>
        <v>-1437.23690290894</v>
      </c>
      <c r="AM22" s="60" t="n">
        <f aca="false">-(AM13-AL13)</f>
        <v>-1426.22195361194</v>
      </c>
      <c r="AN22" s="60" t="n">
        <f aca="false">-(AN13-AM13)</f>
        <v>-1414.39518267786</v>
      </c>
      <c r="AO22" s="59" t="n">
        <f aca="false">SUM(AP22:BA22)</f>
        <v>-30778.8538420469</v>
      </c>
      <c r="AP22" s="60" t="n">
        <f aca="false">-(AP13-AN13)</f>
        <v>-4711.04741005252</v>
      </c>
      <c r="AQ22" s="60" t="n">
        <f aca="false">-(AQ13-AP13)</f>
        <v>-2247.61137975164</v>
      </c>
      <c r="AR22" s="60" t="n">
        <f aca="false">-(AR13-AQ13)</f>
        <v>-2433.19749025604</v>
      </c>
      <c r="AS22" s="60" t="n">
        <f aca="false">-(AS13-AR13)</f>
        <v>-2431.40381018324</v>
      </c>
      <c r="AT22" s="60" t="n">
        <f aca="false">-(AT13-AS13)</f>
        <v>-2427.36240852616</v>
      </c>
      <c r="AU22" s="60" t="n">
        <f aca="false">-(AU13-AT13)</f>
        <v>-2413.4366209845</v>
      </c>
      <c r="AV22" s="60" t="n">
        <f aca="false">-(AV13-AU13)</f>
        <v>-2398.0901685821</v>
      </c>
      <c r="AW22" s="60" t="n">
        <f aca="false">-(AW13-AV13)</f>
        <v>-2381.41453036252</v>
      </c>
      <c r="AX22" s="60" t="n">
        <f aca="false">-(AX13-AW13)</f>
        <v>-2363.49699683613</v>
      </c>
      <c r="AY22" s="60" t="n">
        <f aca="false">-(AY13-AX13)</f>
        <v>-2344.42084307168</v>
      </c>
      <c r="AZ22" s="60" t="n">
        <f aca="false">-(AZ13-AY13)</f>
        <v>-2324.26549490493</v>
      </c>
      <c r="BA22" s="60" t="n">
        <f aca="false">-(BA13-AZ13)</f>
        <v>-2303.10668853545</v>
      </c>
      <c r="BB22" s="59" t="n">
        <f aca="false">SUM(BC22:BN22)</f>
        <v>-40824.880474534</v>
      </c>
      <c r="BC22" s="60" t="n">
        <f aca="false">-(BC13-BA13)</f>
        <v>-7782.27945538964</v>
      </c>
      <c r="BD22" s="60" t="n">
        <f aca="false">-(BD13-BC13)</f>
        <v>-2976.42124696561</v>
      </c>
      <c r="BE22" s="60" t="n">
        <f aca="false">-(BE13-BD13)</f>
        <v>-3088.11473947013</v>
      </c>
      <c r="BF22" s="60" t="n">
        <f aca="false">-(BF13-BE13)</f>
        <v>-3079.2580704514</v>
      </c>
      <c r="BG22" s="60" t="n">
        <f aca="false">-(BG13-BF13)</f>
        <v>-3068.19828537738</v>
      </c>
      <c r="BH22" s="60" t="n">
        <f aca="false">-(BH13-BG13)</f>
        <v>-3047.73189653602</v>
      </c>
      <c r="BI22" s="60" t="n">
        <f aca="false">-(BI13-BH13)</f>
        <v>-3025.84006289944</v>
      </c>
      <c r="BJ22" s="60" t="n">
        <f aca="false">-(BJ13-BI13)</f>
        <v>-3002.61308673177</v>
      </c>
      <c r="BK22" s="60" t="n">
        <f aca="false">-(BK13-BJ13)</f>
        <v>-2978.13732442749</v>
      </c>
      <c r="BL22" s="60" t="n">
        <f aca="false">-(BL13-BK13)</f>
        <v>-2952.49534121991</v>
      </c>
      <c r="BM22" s="60" t="n">
        <f aca="false">-(BM13-BL13)</f>
        <v>-2925.76606007537</v>
      </c>
      <c r="BN22" s="60" t="n">
        <f aca="false">-(BN13-BM13)</f>
        <v>-2898.02490498984</v>
      </c>
    </row>
    <row r="23" customFormat="false" ht="15" hidden="false" customHeight="false" outlineLevel="0" collapsed="false">
      <c r="A23" s="4" t="s">
        <v>1036</v>
      </c>
      <c r="B23" s="59" t="n">
        <f aca="false">SUM(C23:N23)</f>
        <v>19180.9089591992</v>
      </c>
      <c r="C23" s="60" t="n">
        <f aca="false">C14</f>
        <v>23146.6039042429</v>
      </c>
      <c r="D23" s="60" t="n">
        <f aca="false">(D14-C14)</f>
        <v>-7064.53425796866</v>
      </c>
      <c r="E23" s="60" t="n">
        <f aca="false">(E14-D14)</f>
        <v>311.600589195359</v>
      </c>
      <c r="F23" s="60" t="n">
        <f aca="false">(F14-E14)</f>
        <v>404.906814889353</v>
      </c>
      <c r="G23" s="60" t="n">
        <f aca="false">(G14-F14)</f>
        <v>315.088542981761</v>
      </c>
      <c r="H23" s="60" t="n">
        <f aca="false">(H14-G14)</f>
        <v>310.452232476455</v>
      </c>
      <c r="I23" s="60" t="n">
        <f aca="false">(I14-H14)</f>
        <v>305.635623699192</v>
      </c>
      <c r="J23" s="60" t="n">
        <f aca="false">(J14-I14)</f>
        <v>300.661998857257</v>
      </c>
      <c r="K23" s="60" t="n">
        <f aca="false">(K14-J14)</f>
        <v>295.552929082911</v>
      </c>
      <c r="L23" s="60" t="n">
        <f aca="false">(L14-K14)</f>
        <v>290.328384505581</v>
      </c>
      <c r="M23" s="60" t="n">
        <f aca="false">(M14-L14)</f>
        <v>285.006837526224</v>
      </c>
      <c r="N23" s="60" t="n">
        <f aca="false">(N14-M14)</f>
        <v>279.60535971096</v>
      </c>
      <c r="O23" s="59" t="n">
        <f aca="false">SUM(P23:AA23)</f>
        <v>21733.8880552084</v>
      </c>
      <c r="P23" s="60" t="n">
        <f aca="false">(P14-N14)</f>
        <v>14918.8912642649</v>
      </c>
      <c r="Q23" s="60" t="n">
        <f aca="false">(Q14-P14)</f>
        <v>-2883.91740256523</v>
      </c>
      <c r="R23" s="60" t="n">
        <f aca="false">(R14-Q14)</f>
        <v>851.654635843363</v>
      </c>
      <c r="S23" s="60" t="n">
        <f aca="false">(S14-R14)</f>
        <v>852.687766219166</v>
      </c>
      <c r="T23" s="60" t="n">
        <f aca="false">(T14-S14)</f>
        <v>1445.1269135797</v>
      </c>
      <c r="U23" s="60" t="n">
        <f aca="false">(U14-T14)</f>
        <v>520.115089787956</v>
      </c>
      <c r="V23" s="60" t="n">
        <f aca="false">(V14-U14)</f>
        <v>2269.62276715224</v>
      </c>
      <c r="W23" s="60" t="n">
        <f aca="false">(W14-V14)</f>
        <v>210.362570134203</v>
      </c>
      <c r="X23" s="60" t="n">
        <f aca="false">(X14-W14)</f>
        <v>1424.28782366435</v>
      </c>
      <c r="Y23" s="60" t="n">
        <f aca="false">(Y14-X14)</f>
        <v>509.919778337702</v>
      </c>
      <c r="Z23" s="60" t="n">
        <f aca="false">(Z14-Y14)</f>
        <v>813.048613751686</v>
      </c>
      <c r="AA23" s="60" t="n">
        <f aca="false">(AA14-Z14)</f>
        <v>802.088235038289</v>
      </c>
      <c r="AB23" s="59" t="n">
        <f aca="false">SUM(AC23:AN23)</f>
        <v>36366.4175795507</v>
      </c>
      <c r="AC23" s="60" t="n">
        <f aca="false">(AC14-AA14)</f>
        <v>19969.6269014828</v>
      </c>
      <c r="AD23" s="60" t="n">
        <f aca="false">(AD14-AC14)</f>
        <v>-2785.39084023156</v>
      </c>
      <c r="AE23" s="60" t="n">
        <f aca="false">(AE14-AD14)</f>
        <v>1785.10950608119</v>
      </c>
      <c r="AF23" s="60" t="n">
        <f aca="false">(AF14-AE14)</f>
        <v>2423.5085762828</v>
      </c>
      <c r="AG23" s="60" t="n">
        <f aca="false">(AG14-AF14)</f>
        <v>2088.36853756808</v>
      </c>
      <c r="AH23" s="60" t="n">
        <f aca="false">(AH14-AG14)</f>
        <v>1425.91478771904</v>
      </c>
      <c r="AI23" s="60" t="n">
        <f aca="false">(AI14-AH14)</f>
        <v>3015.62750687671</v>
      </c>
      <c r="AJ23" s="60" t="n">
        <f aca="false">(AJ14-AI14)</f>
        <v>1064.65893324016</v>
      </c>
      <c r="AK23" s="60" t="n">
        <f aca="false">(AK14-AJ14)</f>
        <v>2361.5491787621</v>
      </c>
      <c r="AL23" s="60" t="n">
        <f aca="false">(AL14-AK14)</f>
        <v>1997.63766307721</v>
      </c>
      <c r="AM23" s="60" t="n">
        <f aca="false">(AM14-AL14)</f>
        <v>1353.92717611139</v>
      </c>
      <c r="AN23" s="60" t="n">
        <f aca="false">(AN14-AM14)</f>
        <v>1665.87965258073</v>
      </c>
      <c r="AO23" s="59" t="n">
        <f aca="false">SUM(AP23:BA23)</f>
        <v>51412.3259262808</v>
      </c>
      <c r="AP23" s="60" t="n">
        <f aca="false">(AP14-AN14)</f>
        <v>22302.4754718525</v>
      </c>
      <c r="AQ23" s="60" t="n">
        <f aca="false">(AQ14-AP14)</f>
        <v>-966.661689805536</v>
      </c>
      <c r="AR23" s="60" t="n">
        <f aca="false">(AR14-AQ14)</f>
        <v>3140.61935432868</v>
      </c>
      <c r="AS23" s="60" t="n">
        <f aca="false">(AS14-AR14)</f>
        <v>3116.06684993378</v>
      </c>
      <c r="AT23" s="60" t="n">
        <f aca="false">(AT14-AS14)</f>
        <v>3114.37931340323</v>
      </c>
      <c r="AU23" s="60" t="n">
        <f aca="false">(AU14-AT14)</f>
        <v>3077.38620456547</v>
      </c>
      <c r="AV23" s="60" t="n">
        <f aca="false">(AV14-AU14)</f>
        <v>3726.80053578064</v>
      </c>
      <c r="AW23" s="60" t="n">
        <f aca="false">(AW14-AV14)</f>
        <v>2691.00687456034</v>
      </c>
      <c r="AX23" s="60" t="n">
        <f aca="false">(AX14-AW14)</f>
        <v>3004.74989489572</v>
      </c>
      <c r="AY23" s="60" t="n">
        <f aca="false">(AY14-AX14)</f>
        <v>2993.2817597807</v>
      </c>
      <c r="AZ23" s="60" t="n">
        <f aca="false">(AZ14-AY14)</f>
        <v>2951.68635058941</v>
      </c>
      <c r="BA23" s="60" t="n">
        <f aca="false">(BA14-AZ14)</f>
        <v>2260.53500639585</v>
      </c>
      <c r="BB23" s="59" t="n">
        <f aca="false">SUM(BC23:BN23)</f>
        <v>64335.5628495773</v>
      </c>
      <c r="BC23" s="60" t="n">
        <f aca="false">(BC14-BA14)</f>
        <v>26576.2027551615</v>
      </c>
      <c r="BD23" s="60" t="n">
        <f aca="false">(BD14-BC14)</f>
        <v>-250.02621370097</v>
      </c>
      <c r="BE23" s="60" t="n">
        <f aca="false">(BE14-BD14)</f>
        <v>4163.66426679635</v>
      </c>
      <c r="BF23" s="60" t="n">
        <f aca="false">(BF14-BE14)</f>
        <v>2697.0730755009</v>
      </c>
      <c r="BG23" s="60" t="n">
        <f aca="false">(BG14-BF14)</f>
        <v>4883.93414241605</v>
      </c>
      <c r="BH23" s="60" t="n">
        <f aca="false">(BH14-BG14)</f>
        <v>4097.5483468505</v>
      </c>
      <c r="BI23" s="60" t="n">
        <f aca="false">(BI14-BH14)</f>
        <v>4780.05938090361</v>
      </c>
      <c r="BJ23" s="60" t="n">
        <f aca="false">(BJ14-BI14)</f>
        <v>2229.3759600613</v>
      </c>
      <c r="BK23" s="60" t="n">
        <f aca="false">(BK14-BJ14)</f>
        <v>4751.2135694506</v>
      </c>
      <c r="BL23" s="60" t="n">
        <f aca="false">(BL14-BK14)</f>
        <v>3975.22286972121</v>
      </c>
      <c r="BM23" s="60" t="n">
        <f aca="false">(BM14-BL14)</f>
        <v>3942.26114398555</v>
      </c>
      <c r="BN23" s="60" t="n">
        <f aca="false">(BN14-BM14)</f>
        <v>2489.03355243063</v>
      </c>
    </row>
    <row r="24" customFormat="false" ht="15" hidden="false" customHeight="false" outlineLevel="0" collapsed="false">
      <c r="A24" s="4" t="s">
        <v>1037</v>
      </c>
      <c r="B24" s="59" t="n">
        <f aca="false">SUM(C24:N24)</f>
        <v>8258.49632519262</v>
      </c>
      <c r="C24" s="60" t="n">
        <f aca="false">C15</f>
        <v>8711.60194174757</v>
      </c>
      <c r="D24" s="60" t="n">
        <f aca="false">(D15-C15)</f>
        <v>-42.1987583664522</v>
      </c>
      <c r="E24" s="60" t="n">
        <f aca="false">(E15-D15)</f>
        <v>-41.9943487504534</v>
      </c>
      <c r="F24" s="60" t="n">
        <f aca="false">(F15-E15)</f>
        <v>-41.7909292889653</v>
      </c>
      <c r="G24" s="60" t="n">
        <f aca="false">(G15-F15)</f>
        <v>-41.5884951857133</v>
      </c>
      <c r="H24" s="60" t="n">
        <f aca="false">(H15-G15)</f>
        <v>-41.3870416676455</v>
      </c>
      <c r="I24" s="60" t="n">
        <f aca="false">(I15-H15)</f>
        <v>-41.1865639848347</v>
      </c>
      <c r="J24" s="60" t="n">
        <f aca="false">(J15-I15)</f>
        <v>-40.9870574103679</v>
      </c>
      <c r="K24" s="60" t="n">
        <f aca="false">(K15-J15)</f>
        <v>-40.788517240213</v>
      </c>
      <c r="L24" s="60" t="n">
        <f aca="false">(L15-K15)</f>
        <v>-40.5909387931442</v>
      </c>
      <c r="M24" s="60" t="n">
        <f aca="false">(M15-L15)</f>
        <v>-40.3943174105971</v>
      </c>
      <c r="N24" s="60" t="n">
        <f aca="false">(N15-M15)</f>
        <v>-40.1986484565714</v>
      </c>
      <c r="O24" s="59" t="n">
        <f aca="false">SUM(P24:AA24)</f>
        <v>5043.47508122005</v>
      </c>
      <c r="P24" s="60" t="n">
        <f aca="false">(P15-N15)</f>
        <v>5069.85593712649</v>
      </c>
      <c r="Q24" s="60" t="n">
        <f aca="false">(Q15-P15)</f>
        <v>-64.5621689674845</v>
      </c>
      <c r="R24" s="60" t="n">
        <f aca="false">(R15-Q15)</f>
        <v>-64.2494316103239</v>
      </c>
      <c r="S24" s="60" t="n">
        <f aca="false">(S15-R15)</f>
        <v>-63.938209144264</v>
      </c>
      <c r="T24" s="60" t="n">
        <f aca="false">(T15-S15)</f>
        <v>79.7402590311995</v>
      </c>
      <c r="U24" s="60" t="n">
        <f aca="false">(U15-T15)</f>
        <v>-64.014753835967</v>
      </c>
      <c r="V24" s="60" t="n">
        <f aca="false">(V15-U15)</f>
        <v>335.567392765346</v>
      </c>
      <c r="W24" s="60" t="n">
        <f aca="false">(W15-V15)</f>
        <v>-65.3301472929379</v>
      </c>
      <c r="X24" s="60" t="n">
        <f aca="false">(X15-W15)</f>
        <v>75.5972853055937</v>
      </c>
      <c r="Y24" s="60" t="n">
        <f aca="false">(Y15-X15)</f>
        <v>-65.3798810249209</v>
      </c>
      <c r="Z24" s="60" t="n">
        <f aca="false">(Z15-Y15)</f>
        <v>-65.0631826932186</v>
      </c>
      <c r="AA24" s="60" t="n">
        <f aca="false">(AA15-Z15)</f>
        <v>-64.7480184394626</v>
      </c>
      <c r="AB24" s="59" t="n">
        <f aca="false">SUM(AC24:AN24)</f>
        <v>6072.35104042553</v>
      </c>
      <c r="AC24" s="60" t="n">
        <f aca="false">(AC15-AA15)</f>
        <v>6017.78839391707</v>
      </c>
      <c r="AD24" s="60" t="n">
        <f aca="false">(AD15-AC15)</f>
        <v>-93.5843810315892</v>
      </c>
      <c r="AE24" s="60" t="n">
        <f aca="false">(AE15-AD15)</f>
        <v>-93.1310608835374</v>
      </c>
      <c r="AF24" s="60" t="n">
        <f aca="false">(AF15-AE15)</f>
        <v>59.5413849684264</v>
      </c>
      <c r="AG24" s="60" t="n">
        <f aca="false">(AG15-AF15)</f>
        <v>152.08663468956</v>
      </c>
      <c r="AH24" s="60" t="n">
        <f aca="false">(AH15-AG15)</f>
        <v>-93.7050568677369</v>
      </c>
      <c r="AI24" s="60" t="n">
        <f aca="false">(AI15-AH15)</f>
        <v>206.788751586842</v>
      </c>
      <c r="AJ24" s="60" t="n">
        <f aca="false">(AJ15-AI15)</f>
        <v>-94.2528311508759</v>
      </c>
      <c r="AK24" s="60" t="n">
        <f aca="false">(AK15-AJ15)</f>
        <v>146.544945426227</v>
      </c>
      <c r="AL24" s="60" t="n">
        <f aca="false">(AL15-AK15)</f>
        <v>53.3442848911436</v>
      </c>
      <c r="AM24" s="60" t="n">
        <f aca="false">(AM15-AL15)</f>
        <v>-94.7645309407526</v>
      </c>
      <c r="AN24" s="60" t="n">
        <f aca="false">(AN15-AM15)</f>
        <v>-94.305494179247</v>
      </c>
      <c r="AO24" s="59" t="n">
        <f aca="false">SUM(AP24:BA24)</f>
        <v>7227.93779057949</v>
      </c>
      <c r="AP24" s="60" t="n">
        <f aca="false">(AP15-AN15)</f>
        <v>6485.33470762946</v>
      </c>
      <c r="AQ24" s="60" t="n">
        <f aca="false">(AQ15-AP15)</f>
        <v>37.1437414886568</v>
      </c>
      <c r="AR24" s="60" t="n">
        <f aca="false">(AR15-AQ15)</f>
        <v>136.936687026031</v>
      </c>
      <c r="AS24" s="60" t="n">
        <f aca="false">(AS15-AR15)</f>
        <v>34.7309194603949</v>
      </c>
      <c r="AT24" s="60" t="n">
        <f aca="false">(AT15-AS15)</f>
        <v>133.569366799507</v>
      </c>
      <c r="AU24" s="60" t="n">
        <f aca="false">(AU15-AT15)</f>
        <v>32.3612654684766</v>
      </c>
      <c r="AV24" s="60" t="n">
        <f aca="false">(AV15-AU15)</f>
        <v>189.94459220452</v>
      </c>
      <c r="AW24" s="60" t="n">
        <f aca="false">(AW15-AV15)</f>
        <v>128.08774270783</v>
      </c>
      <c r="AX24" s="60" t="n">
        <f aca="false">(AX15-AW15)</f>
        <v>28.3604723964709</v>
      </c>
      <c r="AY24" s="60" t="n">
        <f aca="false">(AY15-AX15)</f>
        <v>124.854968600161</v>
      </c>
      <c r="AZ24" s="60" t="n">
        <f aca="false">(AZ15-AY15)</f>
        <v>26.101173656014</v>
      </c>
      <c r="BA24" s="60" t="n">
        <f aca="false">(BA15-AZ15)</f>
        <v>-129.487846858032</v>
      </c>
      <c r="BB24" s="59" t="n">
        <f aca="false">SUM(BC24:BN24)</f>
        <v>10138.6227952056</v>
      </c>
      <c r="BC24" s="60" t="n">
        <f aca="false">(BC15-BA15)</f>
        <v>8354.88353955657</v>
      </c>
      <c r="BD24" s="60" t="n">
        <f aca="false">(BD15-BC15)</f>
        <v>281.860710367866</v>
      </c>
      <c r="BE24" s="60" t="n">
        <f aca="false">(BE15-BD15)</f>
        <v>278.309822647978</v>
      </c>
      <c r="BF24" s="60" t="n">
        <f aca="false">(BF15-BE15)</f>
        <v>-172.044886166143</v>
      </c>
      <c r="BG24" s="60" t="n">
        <f aca="false">(BG15-BF15)</f>
        <v>273.455662866363</v>
      </c>
      <c r="BH24" s="60" t="n">
        <f aca="false">(BH15-BG15)</f>
        <v>269.977095774411</v>
      </c>
      <c r="BI24" s="60" t="n">
        <f aca="false">(BI15-BH15)</f>
        <v>434.009817125341</v>
      </c>
      <c r="BJ24" s="60" t="n">
        <f aca="false">(BJ15-BI15)</f>
        <v>-175.946210253205</v>
      </c>
      <c r="BK24" s="60" t="n">
        <f aca="false">(BK15-BJ15)</f>
        <v>261.019815211235</v>
      </c>
      <c r="BL24" s="60" t="n">
        <f aca="false">(BL15-BK15)</f>
        <v>257.642919557235</v>
      </c>
      <c r="BM24" s="60" t="n">
        <f aca="false">(BM15-BL15)</f>
        <v>254.292614494567</v>
      </c>
      <c r="BN24" s="60" t="n">
        <f aca="false">(BN15-BM15)</f>
        <v>-178.838105976662</v>
      </c>
    </row>
    <row r="25" customFormat="false" ht="15" hidden="false" customHeight="false" outlineLevel="0" collapsed="false">
      <c r="A25" s="4" t="s">
        <v>1038</v>
      </c>
      <c r="B25" s="59" t="n">
        <f aca="false">SUM(C25:N25)</f>
        <v>9849.41134182491</v>
      </c>
      <c r="C25" s="60" t="n">
        <f aca="false">C16</f>
        <v>0</v>
      </c>
      <c r="D25" s="60" t="n">
        <f aca="false">(D16-C16)</f>
        <v>453.559080715322</v>
      </c>
      <c r="E25" s="60" t="n">
        <f aca="false">(E16-D16)</f>
        <v>904.892119641491</v>
      </c>
      <c r="F25" s="60" t="n">
        <f aca="false">(F16-E16)</f>
        <v>938.596106231691</v>
      </c>
      <c r="G25" s="60" t="n">
        <f aca="false">(G16-F16)</f>
        <v>969.907283789055</v>
      </c>
      <c r="H25" s="60" t="n">
        <f aca="false">(H16-G16)</f>
        <v>964.75021418411</v>
      </c>
      <c r="I25" s="60" t="n">
        <f aca="false">(I16-H16)</f>
        <v>958.349176531222</v>
      </c>
      <c r="J25" s="60" t="n">
        <f aca="false">(J16-I16)</f>
        <v>950.811884567946</v>
      </c>
      <c r="K25" s="60" t="n">
        <f aca="false">(K16-J16)</f>
        <v>942.239175313303</v>
      </c>
      <c r="L25" s="60" t="n">
        <f aca="false">(L16-K16)</f>
        <v>932.725410529567</v>
      </c>
      <c r="M25" s="60" t="n">
        <f aca="false">(M16-L16)</f>
        <v>922.358855298076</v>
      </c>
      <c r="N25" s="60" t="n">
        <f aca="false">(N16-M16)</f>
        <v>911.222035023122</v>
      </c>
      <c r="O25" s="59" t="n">
        <f aca="false">SUM(P25:AA25)</f>
        <v>42956.7922165457</v>
      </c>
      <c r="P25" s="60" t="n">
        <f aca="false">(P16-N16)</f>
        <v>5235.04561385864</v>
      </c>
      <c r="Q25" s="60" t="n">
        <f aca="false">(Q16-P16)</f>
        <v>2520.86813720076</v>
      </c>
      <c r="R25" s="60" t="n">
        <f aca="false">(R16-Q16)</f>
        <v>3465.77649547062</v>
      </c>
      <c r="S25" s="60" t="n">
        <f aca="false">(S16-R16)</f>
        <v>3526.07104620387</v>
      </c>
      <c r="T25" s="60" t="n">
        <f aca="false">(T16-S16)</f>
        <v>3580.88187087389</v>
      </c>
      <c r="U25" s="60" t="n">
        <f aca="false">(U16-T16)</f>
        <v>3571.754037862</v>
      </c>
      <c r="V25" s="60" t="n">
        <f aca="false">(V16-U16)</f>
        <v>3559.07655037466</v>
      </c>
      <c r="W25" s="60" t="n">
        <f aca="false">(W16-V16)</f>
        <v>3543.09268720234</v>
      </c>
      <c r="X25" s="60" t="n">
        <f aca="false">(X16-W16)</f>
        <v>3524.03304130879</v>
      </c>
      <c r="Y25" s="60" t="n">
        <f aca="false">(Y16-X16)</f>
        <v>3502.11612873875</v>
      </c>
      <c r="Z25" s="60" t="n">
        <f aca="false">(Z16-Y16)</f>
        <v>3477.54896902412</v>
      </c>
      <c r="AA25" s="60" t="n">
        <f aca="false">(AA16-Z16)</f>
        <v>3450.52763842725</v>
      </c>
      <c r="AB25" s="59" t="n">
        <f aca="false">SUM(AC25:AN25)</f>
        <v>115324.822618956</v>
      </c>
      <c r="AC25" s="60" t="n">
        <f aca="false">(AC16-AA16)</f>
        <v>19422.9572843609</v>
      </c>
      <c r="AD25" s="60" t="n">
        <f aca="false">(AD16-AC16)</f>
        <v>7078.21472262059</v>
      </c>
      <c r="AE25" s="60" t="n">
        <f aca="false">(AE16-AD16)</f>
        <v>8773.14306144645</v>
      </c>
      <c r="AF25" s="60" t="n">
        <f aca="false">(AF16-AE16)</f>
        <v>8878.62221394289</v>
      </c>
      <c r="AG25" s="60" t="n">
        <f aca="false">(AG16-AF16)</f>
        <v>8974.02611697516</v>
      </c>
      <c r="AH25" s="60" t="n">
        <f aca="false">(AH16-AG16)</f>
        <v>8965.03641619942</v>
      </c>
      <c r="AI25" s="60" t="n">
        <f aca="false">(AI16-AH16)</f>
        <v>8948.97327731764</v>
      </c>
      <c r="AJ25" s="60" t="n">
        <f aca="false">(AJ16-AI16)</f>
        <v>8926.24407606272</v>
      </c>
      <c r="AK25" s="60" t="n">
        <f aca="false">(AK16-AJ16)</f>
        <v>8897.23765679004</v>
      </c>
      <c r="AL25" s="60" t="n">
        <f aca="false">(AL16-AK16)</f>
        <v>8862.32512829092</v>
      </c>
      <c r="AM25" s="60" t="n">
        <f aca="false">(AM16-AL16)</f>
        <v>8821.86062560923</v>
      </c>
      <c r="AN25" s="60" t="n">
        <f aca="false">(AN16-AM16)</f>
        <v>8776.18203933965</v>
      </c>
      <c r="AO25" s="59" t="n">
        <f aca="false">SUM(AP25:BA25)</f>
        <v>218735.722400362</v>
      </c>
      <c r="AP25" s="60" t="n">
        <f aca="false">(AP16-AN16)</f>
        <v>44695.3128181995</v>
      </c>
      <c r="AQ25" s="60" t="n">
        <f aca="false">(AQ16-AP16)</f>
        <v>14037.7636905801</v>
      </c>
      <c r="AR25" s="60" t="n">
        <f aca="false">(AR16-AQ16)</f>
        <v>16040.639772672</v>
      </c>
      <c r="AS25" s="60" t="n">
        <f aca="false">(AS16-AR16)</f>
        <v>16117.5267248911</v>
      </c>
      <c r="AT25" s="60" t="n">
        <f aca="false">(AT16-AS16)</f>
        <v>16181.6129859139</v>
      </c>
      <c r="AU25" s="60" t="n">
        <f aca="false">(AU16-AT16)</f>
        <v>16142.3463717824</v>
      </c>
      <c r="AV25" s="60" t="n">
        <f aca="false">(AV16-AU16)</f>
        <v>16093.3507816872</v>
      </c>
      <c r="AW25" s="60" t="n">
        <f aca="false">(AW16-AV16)</f>
        <v>16035.1560211859</v>
      </c>
      <c r="AX25" s="60" t="n">
        <f aca="false">(AX16-AW16)</f>
        <v>15968.2696225502</v>
      </c>
      <c r="AY25" s="60" t="n">
        <f aca="false">(AY16-AX16)</f>
        <v>15893.1777212666</v>
      </c>
      <c r="AZ25" s="60" t="n">
        <f aca="false">(AZ16-AY16)</f>
        <v>15810.345898535</v>
      </c>
      <c r="BA25" s="60" t="n">
        <f aca="false">(BA16-AZ16)</f>
        <v>15720.2199910977</v>
      </c>
      <c r="BB25" s="59" t="n">
        <f aca="false">SUM(BC25:BN25)</f>
        <v>313179.32409207</v>
      </c>
      <c r="BC25" s="60" t="n">
        <f aca="false">(BC16-BA16)</f>
        <v>74463.9441775309</v>
      </c>
      <c r="BD25" s="60" t="n">
        <f aca="false">(BD16-BC16)</f>
        <v>20661.0509358445</v>
      </c>
      <c r="BE25" s="60" t="n">
        <f aca="false">(BE16-BD16)</f>
        <v>21995.5094091988</v>
      </c>
      <c r="BF25" s="60" t="n">
        <f aca="false">(BF16-BE16)</f>
        <v>22042.323686109</v>
      </c>
      <c r="BG25" s="60" t="n">
        <f aca="false">(BG16-BF16)</f>
        <v>22075.5767972808</v>
      </c>
      <c r="BH25" s="60" t="n">
        <f aca="false">(BH16-BG16)</f>
        <v>22002.8696048595</v>
      </c>
      <c r="BI25" s="60" t="n">
        <f aca="false">(BI16-BH16)</f>
        <v>21919.6376659618</v>
      </c>
      <c r="BJ25" s="60" t="n">
        <f aca="false">(BJ16-BI16)</f>
        <v>21826.4275192616</v>
      </c>
      <c r="BK25" s="60" t="n">
        <f aca="false">(BK16-BJ16)</f>
        <v>21723.7640742435</v>
      </c>
      <c r="BL25" s="60" t="n">
        <f aca="false">(BL16-BK16)</f>
        <v>21612.1514132255</v>
      </c>
      <c r="BM25" s="60" t="n">
        <f aca="false">(BM16-BL16)</f>
        <v>21492.073564047</v>
      </c>
      <c r="BN25" s="60" t="n">
        <f aca="false">(BN16-BM16)</f>
        <v>21363.995244507</v>
      </c>
    </row>
    <row r="26" customFormat="false" ht="15" hidden="false" customHeight="false" outlineLevel="0" collapsed="false">
      <c r="A26" s="4" t="s">
        <v>1039</v>
      </c>
      <c r="B26" s="59" t="n">
        <f aca="false">SUM(C26:N26)</f>
        <v>0</v>
      </c>
      <c r="C26" s="60" t="n">
        <f aca="false">C18</f>
        <v>0</v>
      </c>
      <c r="D26" s="60" t="n">
        <f aca="false">(D18-C18)</f>
        <v>0</v>
      </c>
      <c r="E26" s="60" t="n">
        <f aca="false">(E18-D18)</f>
        <v>0</v>
      </c>
      <c r="F26" s="60" t="n">
        <f aca="false">(F18-E18)</f>
        <v>0</v>
      </c>
      <c r="G26" s="60" t="n">
        <f aca="false">(G18-F18)</f>
        <v>0</v>
      </c>
      <c r="H26" s="60" t="n">
        <f aca="false">(H18-G18)</f>
        <v>0</v>
      </c>
      <c r="I26" s="60" t="n">
        <f aca="false">(I18-H18)</f>
        <v>0</v>
      </c>
      <c r="J26" s="60" t="n">
        <f aca="false">(J18-I18)</f>
        <v>0</v>
      </c>
      <c r="K26" s="60" t="n">
        <f aca="false">(K18-J18)</f>
        <v>0</v>
      </c>
      <c r="L26" s="60" t="n">
        <f aca="false">(L18-K18)</f>
        <v>0</v>
      </c>
      <c r="M26" s="60" t="n">
        <f aca="false">(M18-L18)</f>
        <v>0</v>
      </c>
      <c r="N26" s="60" t="n">
        <f aca="false">(N18-M18)</f>
        <v>0</v>
      </c>
      <c r="O26" s="59" t="n">
        <f aca="false">SUM(P26:AA26)</f>
        <v>0</v>
      </c>
      <c r="P26" s="60" t="n">
        <f aca="false">(P18-N18)</f>
        <v>0</v>
      </c>
      <c r="Q26" s="60" t="n">
        <f aca="false">(Q18-P18)</f>
        <v>0</v>
      </c>
      <c r="R26" s="60" t="n">
        <f aca="false">(R18-Q18)</f>
        <v>0</v>
      </c>
      <c r="S26" s="60" t="n">
        <f aca="false">(S18-R18)</f>
        <v>0</v>
      </c>
      <c r="T26" s="60" t="n">
        <f aca="false">(T18-S18)</f>
        <v>0</v>
      </c>
      <c r="U26" s="60" t="n">
        <f aca="false">(U18-T18)</f>
        <v>0</v>
      </c>
      <c r="V26" s="60" t="n">
        <f aca="false">(V18-U18)</f>
        <v>0</v>
      </c>
      <c r="W26" s="60" t="n">
        <f aca="false">(W18-V18)</f>
        <v>0</v>
      </c>
      <c r="X26" s="60" t="n">
        <f aca="false">(X18-W18)</f>
        <v>0</v>
      </c>
      <c r="Y26" s="60" t="n">
        <f aca="false">(Y18-X18)</f>
        <v>0</v>
      </c>
      <c r="Z26" s="60" t="n">
        <f aca="false">(Z18-Y18)</f>
        <v>0</v>
      </c>
      <c r="AA26" s="60" t="n">
        <f aca="false">(AA18-Z18)</f>
        <v>0</v>
      </c>
      <c r="AB26" s="59" t="n">
        <f aca="false">SUM(AC26:AN26)</f>
        <v>0</v>
      </c>
      <c r="AC26" s="60" t="n">
        <f aca="false">(AC18-AA18)</f>
        <v>0</v>
      </c>
      <c r="AD26" s="60" t="n">
        <f aca="false">(AD18-AC18)</f>
        <v>0</v>
      </c>
      <c r="AE26" s="60" t="n">
        <f aca="false">(AE18-AD18)</f>
        <v>0</v>
      </c>
      <c r="AF26" s="60" t="n">
        <f aca="false">(AF18-AE18)</f>
        <v>0</v>
      </c>
      <c r="AG26" s="60" t="n">
        <f aca="false">(AG18-AF18)</f>
        <v>0</v>
      </c>
      <c r="AH26" s="60" t="n">
        <f aca="false">(AH18-AG18)</f>
        <v>0</v>
      </c>
      <c r="AI26" s="60" t="n">
        <f aca="false">(AI18-AH18)</f>
        <v>0</v>
      </c>
      <c r="AJ26" s="60" t="n">
        <f aca="false">(AJ18-AI18)</f>
        <v>0</v>
      </c>
      <c r="AK26" s="60" t="n">
        <f aca="false">(AK18-AJ18)</f>
        <v>0</v>
      </c>
      <c r="AL26" s="60" t="n">
        <f aca="false">(AL18-AK18)</f>
        <v>0</v>
      </c>
      <c r="AM26" s="60" t="n">
        <f aca="false">(AM18-AL18)</f>
        <v>0</v>
      </c>
      <c r="AN26" s="60" t="n">
        <f aca="false">(AN18-AM18)</f>
        <v>0</v>
      </c>
      <c r="AO26" s="59" t="n">
        <f aca="false">SUM(AP26:BA26)</f>
        <v>0</v>
      </c>
      <c r="AP26" s="60" t="n">
        <f aca="false">(AP18-AN18)</f>
        <v>0</v>
      </c>
      <c r="AQ26" s="60" t="n">
        <f aca="false">(AQ18-AP18)</f>
        <v>0</v>
      </c>
      <c r="AR26" s="60" t="n">
        <f aca="false">(AR18-AQ18)</f>
        <v>0</v>
      </c>
      <c r="AS26" s="60" t="n">
        <f aca="false">(AS18-AR18)</f>
        <v>0</v>
      </c>
      <c r="AT26" s="60" t="n">
        <f aca="false">(AT18-AS18)</f>
        <v>0</v>
      </c>
      <c r="AU26" s="60" t="n">
        <f aca="false">(AU18-AT18)</f>
        <v>0</v>
      </c>
      <c r="AV26" s="60" t="n">
        <f aca="false">(AV18-AU18)</f>
        <v>0</v>
      </c>
      <c r="AW26" s="60" t="n">
        <f aca="false">(AW18-AV18)</f>
        <v>0</v>
      </c>
      <c r="AX26" s="60" t="n">
        <f aca="false">(AX18-AW18)</f>
        <v>0</v>
      </c>
      <c r="AY26" s="60" t="n">
        <f aca="false">(AY18-AX18)</f>
        <v>0</v>
      </c>
      <c r="AZ26" s="60" t="n">
        <f aca="false">(AZ18-AY18)</f>
        <v>0</v>
      </c>
      <c r="BA26" s="60" t="n">
        <f aca="false">(BA18-AZ18)</f>
        <v>0</v>
      </c>
      <c r="BB26" s="59" t="n">
        <f aca="false">SUM(BC26:BN26)</f>
        <v>289862.6426501</v>
      </c>
      <c r="BC26" s="60" t="n">
        <f aca="false">(BC18-BA18)</f>
        <v>24155.2202208417</v>
      </c>
      <c r="BD26" s="60" t="n">
        <f aca="false">(BD18-BC18)</f>
        <v>24155.2202208417</v>
      </c>
      <c r="BE26" s="60" t="n">
        <f aca="false">(BE18-BD18)</f>
        <v>24155.2202208417</v>
      </c>
      <c r="BF26" s="60" t="n">
        <f aca="false">(BF18-BE18)</f>
        <v>24155.2202208417</v>
      </c>
      <c r="BG26" s="60" t="n">
        <f aca="false">(BG18-BF18)</f>
        <v>24155.2202208417</v>
      </c>
      <c r="BH26" s="60" t="n">
        <f aca="false">(BH18-BG18)</f>
        <v>24155.2202208417</v>
      </c>
      <c r="BI26" s="60" t="n">
        <f aca="false">(BI18-BH18)</f>
        <v>24155.2202208417</v>
      </c>
      <c r="BJ26" s="60" t="n">
        <f aca="false">(BJ18-BI18)</f>
        <v>24155.2202208417</v>
      </c>
      <c r="BK26" s="60" t="n">
        <f aca="false">(BK18-BJ18)</f>
        <v>24155.2202208417</v>
      </c>
      <c r="BL26" s="60" t="n">
        <f aca="false">(BL18-BK18)</f>
        <v>24155.2202208417</v>
      </c>
      <c r="BM26" s="60" t="n">
        <f aca="false">(BM18-BL18)</f>
        <v>24155.2202208417</v>
      </c>
      <c r="BN26" s="60" t="n">
        <f aca="false">(BN18-BM18)</f>
        <v>24155.2202208417</v>
      </c>
    </row>
    <row r="27" customFormat="false" ht="15" hidden="false" customHeight="false" outlineLevel="0" collapsed="false">
      <c r="A27" s="13" t="s">
        <v>1040</v>
      </c>
      <c r="B27" s="59" t="n">
        <f aca="false">SUM(C27:N27)</f>
        <v>-368585.535740591</v>
      </c>
      <c r="C27" s="61" t="n">
        <f aca="false">C8+C9+SUM(C22:C26)</f>
        <v>-13067.4029126214</v>
      </c>
      <c r="D27" s="61" t="n">
        <f aca="false">D8+D9+SUM(D22:D26)</f>
        <v>-43974.1402090802</v>
      </c>
      <c r="E27" s="61" t="n">
        <f aca="false">E8+E9+SUM(E22:E26)</f>
        <v>-35384.4268474296</v>
      </c>
      <c r="F27" s="61" t="n">
        <f aca="false">F8+F9+SUM(F22:F26)</f>
        <v>-34302.9697235992</v>
      </c>
      <c r="G27" s="61" t="n">
        <f aca="false">G8+G9+SUM(G22:G26)</f>
        <v>-33385.252676438</v>
      </c>
      <c r="H27" s="61" t="n">
        <f aca="false">H8+H9+SUM(H22:H26)</f>
        <v>-32471.5487452919</v>
      </c>
      <c r="I27" s="61" t="n">
        <f aca="false">I8+I9+SUM(I22:I26)</f>
        <v>-31563.0020766695</v>
      </c>
      <c r="J27" s="61" t="n">
        <f aca="false">J8+J9+SUM(J22:J26)</f>
        <v>-30660.6764154014</v>
      </c>
      <c r="K27" s="61" t="n">
        <f aca="false">K8+K9+SUM(K22:K26)</f>
        <v>-29765.5436736404</v>
      </c>
      <c r="L27" s="61" t="n">
        <f aca="false">L8+L9+SUM(L22:L26)</f>
        <v>-28878.4896840899</v>
      </c>
      <c r="M27" s="61" t="n">
        <f aca="false">M8+M9+SUM(M22:M26)</f>
        <v>-28000.319627061</v>
      </c>
      <c r="N27" s="61" t="n">
        <f aca="false">N8+N9+SUM(N22:N26)</f>
        <v>-27131.7631492683</v>
      </c>
      <c r="O27" s="59" t="n">
        <f aca="false">SUM(P27:AA27)</f>
        <v>-378975.522149752</v>
      </c>
      <c r="P27" s="61" t="n">
        <f aca="false">P8+P9+SUM(P22:P26)</f>
        <v>-28460.4790084785</v>
      </c>
      <c r="Q27" s="61" t="n">
        <f aca="false">Q8+Q9+SUM(Q22:Q26)</f>
        <v>-48437.9006116805</v>
      </c>
      <c r="R27" s="61" t="n">
        <f aca="false">R8+R9+SUM(R22:R26)</f>
        <v>-41302.4292921455</v>
      </c>
      <c r="S27" s="61" t="n">
        <f aca="false">S8+S9+SUM(S22:S26)</f>
        <v>-38665.4253471761</v>
      </c>
      <c r="T27" s="61" t="n">
        <f aca="false">T8+T9+SUM(T22:T26)</f>
        <v>-36215.8291594966</v>
      </c>
      <c r="U27" s="61" t="n">
        <f aca="false">U8+U9+SUM(U22:U26)</f>
        <v>-34355.1267382636</v>
      </c>
      <c r="V27" s="61" t="n">
        <f aca="false">V8+V9+SUM(V22:V26)</f>
        <v>-30827.499207693</v>
      </c>
      <c r="W27" s="61" t="n">
        <f aca="false">W8+W9+SUM(W22:W26)</f>
        <v>-29527.4583463903</v>
      </c>
      <c r="X27" s="61" t="n">
        <f aca="false">X8+X9+SUM(X22:X26)</f>
        <v>-26404.707174442</v>
      </c>
      <c r="Y27" s="61" t="n">
        <f aca="false">Y8+Y9+SUM(Y22:Y26)</f>
        <v>-24454.3308141491</v>
      </c>
      <c r="Z27" s="61" t="n">
        <f aca="false">Z8+Z9+SUM(Z22:Z26)</f>
        <v>-21480.4193080781</v>
      </c>
      <c r="AA27" s="61" t="n">
        <f aca="false">AA8+AA9+SUM(AA22:AA26)</f>
        <v>-18843.9171417583</v>
      </c>
      <c r="AB27" s="59" t="n">
        <f aca="false">SUM(AC27:AN27)</f>
        <v>-28651.6475112132</v>
      </c>
      <c r="AC27" s="61" t="n">
        <f aca="false">AC8+AC9+SUM(AC22:AC26)</f>
        <v>-4102.93377571432</v>
      </c>
      <c r="AD27" s="61" t="n">
        <f aca="false">AD8+AD9+SUM(AD22:AD26)</f>
        <v>-35040.4331244062</v>
      </c>
      <c r="AE27" s="61" t="n">
        <f aca="false">AE8+AE9+SUM(AE22:AE26)</f>
        <v>-23068.8740343728</v>
      </c>
      <c r="AF27" s="61" t="n">
        <f aca="false">AF8+AF9+SUM(AF22:AF26)</f>
        <v>-17276.0780579862</v>
      </c>
      <c r="AG27" s="61" t="n">
        <f aca="false">AG8+AG9+SUM(AG22:AG26)</f>
        <v>-12381.2223181904</v>
      </c>
      <c r="AH27" s="61" t="n">
        <f aca="false">AH8+AH9+SUM(AH22:AH26)</f>
        <v>-6992.78360293878</v>
      </c>
      <c r="AI27" s="61" t="n">
        <f aca="false">AI8+AI9+SUM(AI22:AI26)</f>
        <v>-1182.97112709247</v>
      </c>
      <c r="AJ27" s="61" t="n">
        <f aca="false">AJ8+AJ9+SUM(AJ22:AJ26)</f>
        <v>3146.88263352998</v>
      </c>
      <c r="AK27" s="61" t="n">
        <f aca="false">AK8+AK9+SUM(AK22:AK26)</f>
        <v>9321.39281343785</v>
      </c>
      <c r="AL27" s="61" t="n">
        <f aca="false">AL8+AL9+SUM(AL22:AL26)</f>
        <v>14047.3409850107</v>
      </c>
      <c r="AM27" s="61" t="n">
        <f aca="false">AM8+AM9+SUM(AM22:AM26)</f>
        <v>19397.6805325672</v>
      </c>
      <c r="AN27" s="61" t="n">
        <f aca="false">AN8+AN9+SUM(AN22:AN26)</f>
        <v>25480.3515649422</v>
      </c>
      <c r="AO27" s="59" t="n">
        <f aca="false">SUM(AP27:BA27)</f>
        <v>865439.390796656</v>
      </c>
      <c r="AP27" s="61" t="n">
        <f aca="false">AP8+AP9+SUM(AP22:AP26)</f>
        <v>68950.3934102205</v>
      </c>
      <c r="AQ27" s="61" t="n">
        <f aca="false">AQ8+AQ9+SUM(AQ22:AQ26)</f>
        <v>23075.9264856285</v>
      </c>
      <c r="AR27" s="61" t="n">
        <f aca="false">AR8+AR9+SUM(AR22:AR26)</f>
        <v>37866.6199191693</v>
      </c>
      <c r="AS27" s="61" t="n">
        <f aca="false">AS8+AS9+SUM(AS22:AS26)</f>
        <v>46873.1903525233</v>
      </c>
      <c r="AT27" s="61" t="n">
        <f aca="false">AT8+AT9+SUM(AT22:AT26)</f>
        <v>55845.0374975661</v>
      </c>
      <c r="AU27" s="61" t="n">
        <f aca="false">AU8+AU9+SUM(AU22:AU26)</f>
        <v>64718.2063508307</v>
      </c>
      <c r="AV27" s="61" t="n">
        <f aca="false">AV8+AV9+SUM(AV22:AV26)</f>
        <v>73417.799321075</v>
      </c>
      <c r="AW27" s="61" t="n">
        <f aca="false">AW8+AW9+SUM(AW22:AW26)</f>
        <v>81321.4396380446</v>
      </c>
      <c r="AX27" s="61" t="n">
        <f aca="false">AX8+AX9+SUM(AX22:AX26)</f>
        <v>90384.6510597307</v>
      </c>
      <c r="AY27" s="61" t="n">
        <f aca="false">AY8+AY9+SUM(AY22:AY26)</f>
        <v>98995.8942356027</v>
      </c>
      <c r="AZ27" s="61" t="n">
        <f aca="false">AZ8+AZ9+SUM(AZ22:AZ26)</f>
        <v>107571.862390768</v>
      </c>
      <c r="BA27" s="61" t="n">
        <f aca="false">BA8+BA9+SUM(BA22:BA26)</f>
        <v>116418.370135496</v>
      </c>
      <c r="BB27" s="59" t="n">
        <f aca="false">SUM(BC27:BN27)</f>
        <v>2190834.54440346</v>
      </c>
      <c r="BC27" s="61" t="n">
        <f aca="false">BC8+BC9+SUM(BC22:BC26)</f>
        <v>191614.090552871</v>
      </c>
      <c r="BD27" s="61" t="n">
        <f aca="false">BD8+BD9+SUM(BD22:BD26)</f>
        <v>122131.884199546</v>
      </c>
      <c r="BE27" s="61" t="n">
        <f aca="false">BE8+BE9+SUM(BE22:BE26)</f>
        <v>138432.342915808</v>
      </c>
      <c r="BF27" s="61" t="n">
        <f aca="false">BF8+BF9+SUM(BF22:BF26)</f>
        <v>149806.287249606</v>
      </c>
      <c r="BG27" s="61" t="n">
        <f aca="false">BG8+BG9+SUM(BG22:BG26)</f>
        <v>162382.060883569</v>
      </c>
      <c r="BH27" s="61" t="n">
        <f aca="false">BH8+BH9+SUM(BH22:BH26)</f>
        <v>172144.342545363</v>
      </c>
      <c r="BI27" s="61" t="n">
        <f aca="false">BI8+BI9+SUM(BI22:BI26)</f>
        <v>182344.311849641</v>
      </c>
      <c r="BJ27" s="61" t="n">
        <f aca="false">BJ8+BJ9+SUM(BJ22:BJ26)</f>
        <v>192500.202905063</v>
      </c>
      <c r="BK27" s="61" t="n">
        <f aca="false">BK8+BK9+SUM(BK22:BK26)</f>
        <v>205042.875275103</v>
      </c>
      <c r="BL27" s="61" t="n">
        <f aca="false">BL8+BL9+SUM(BL22:BL26)</f>
        <v>214507.842726487</v>
      </c>
      <c r="BM27" s="61" t="n">
        <f aca="false">BM8+BM9+SUM(BM22:BM26)</f>
        <v>224628.0454677</v>
      </c>
      <c r="BN27" s="61" t="n">
        <f aca="false">BN8+BN9+SUM(BN22:BN26)</f>
        <v>235300.257832701</v>
      </c>
    </row>
    <row r="28" customFormat="false" ht="15" hidden="false" customHeight="false" outlineLevel="0" collapsed="false">
      <c r="A28" s="4" t="s">
        <v>1041</v>
      </c>
      <c r="B28" s="59" t="n">
        <f aca="false">SUM(C28:N28)</f>
        <v>-46179.161972034</v>
      </c>
      <c r="C28" s="60" t="n">
        <f aca="false">-'Capital Expenditure'!C13</f>
        <v>-44640.7766990291</v>
      </c>
      <c r="D28" s="60" t="n">
        <f aca="false">-'Capital Expenditure'!D13</f>
        <v>-0</v>
      </c>
      <c r="E28" s="60" t="n">
        <f aca="false">-'Capital Expenditure'!E13</f>
        <v>-1538.38527300487</v>
      </c>
      <c r="F28" s="60" t="n">
        <f aca="false">-'Capital Expenditure'!F13</f>
        <v>-0</v>
      </c>
      <c r="G28" s="60" t="n">
        <f aca="false">-'Capital Expenditure'!G13</f>
        <v>-0</v>
      </c>
      <c r="H28" s="60" t="n">
        <f aca="false">-'Capital Expenditure'!H13</f>
        <v>-0</v>
      </c>
      <c r="I28" s="60" t="n">
        <f aca="false">-'Capital Expenditure'!I13</f>
        <v>-0</v>
      </c>
      <c r="J28" s="60" t="n">
        <f aca="false">-'Capital Expenditure'!J13</f>
        <v>-0</v>
      </c>
      <c r="K28" s="60" t="n">
        <f aca="false">-'Capital Expenditure'!K13</f>
        <v>-0</v>
      </c>
      <c r="L28" s="60" t="n">
        <f aca="false">-'Capital Expenditure'!L13</f>
        <v>-0</v>
      </c>
      <c r="M28" s="60" t="n">
        <f aca="false">-'Capital Expenditure'!M13</f>
        <v>-0</v>
      </c>
      <c r="N28" s="60" t="n">
        <f aca="false">-'Capital Expenditure'!N13</f>
        <v>-0</v>
      </c>
      <c r="O28" s="59" t="n">
        <f aca="false">SUM(P28:AA28)</f>
        <v>-18986.2153724843</v>
      </c>
      <c r="P28" s="60" t="n">
        <f aca="false">-'Capital Expenditure'!P13</f>
        <v>-13218.5381938084</v>
      </c>
      <c r="Q28" s="60" t="n">
        <f aca="false">-'Capital Expenditure'!Q13</f>
        <v>-0</v>
      </c>
      <c r="R28" s="60" t="n">
        <f aca="false">-'Capital Expenditure'!R13</f>
        <v>-0</v>
      </c>
      <c r="S28" s="60" t="n">
        <f aca="false">-'Capital Expenditure'!S13</f>
        <v>-2166.41515666742</v>
      </c>
      <c r="T28" s="60" t="n">
        <f aca="false">-'Capital Expenditure'!T13</f>
        <v>-909.080064545974</v>
      </c>
      <c r="U28" s="60" t="n">
        <f aca="false">-'Capital Expenditure'!U13</f>
        <v>-0</v>
      </c>
      <c r="V28" s="60" t="n">
        <f aca="false">-'Capital Expenditure'!V13</f>
        <v>-1800.5885559728</v>
      </c>
      <c r="W28" s="60" t="n">
        <f aca="false">-'Capital Expenditure'!W13</f>
        <v>-0</v>
      </c>
      <c r="X28" s="60" t="n">
        <f aca="false">-'Capital Expenditure'!X13</f>
        <v>-891.593401489736</v>
      </c>
      <c r="Y28" s="60" t="n">
        <f aca="false">-'Capital Expenditure'!Y13</f>
        <v>-0</v>
      </c>
      <c r="Z28" s="60" t="n">
        <f aca="false">-'Capital Expenditure'!Z13</f>
        <v>-0</v>
      </c>
      <c r="AA28" s="60" t="n">
        <f aca="false">-'Capital Expenditure'!AA13</f>
        <v>-0</v>
      </c>
      <c r="AB28" s="59" t="n">
        <f aca="false">SUM(AC28:AN28)</f>
        <v>-20303.9718457872</v>
      </c>
      <c r="AC28" s="60" t="n">
        <f aca="false">-'Capital Expenditure'!AC13</f>
        <v>-15207.7061594666</v>
      </c>
      <c r="AD28" s="60" t="n">
        <f aca="false">-'Capital Expenditure'!AD13</f>
        <v>-0</v>
      </c>
      <c r="AE28" s="60" t="n">
        <f aca="false">-'Capital Expenditure'!AE13</f>
        <v>-0</v>
      </c>
      <c r="AF28" s="60" t="n">
        <f aca="false">-'Capital Expenditure'!AF13</f>
        <v>-861.797224271789</v>
      </c>
      <c r="AG28" s="60" t="n">
        <f aca="false">-'Capital Expenditure'!AG13</f>
        <v>-857.622702401862</v>
      </c>
      <c r="AH28" s="60" t="n">
        <f aca="false">-'Capital Expenditure'!AH13</f>
        <v>-0</v>
      </c>
      <c r="AI28" s="60" t="n">
        <f aca="false">-'Capital Expenditure'!AI13</f>
        <v>-1698.66844903094</v>
      </c>
      <c r="AJ28" s="60" t="n">
        <f aca="false">-'Capital Expenditure'!AJ13</f>
        <v>-0</v>
      </c>
      <c r="AK28" s="60" t="n">
        <f aca="false">-'Capital Expenditure'!AK13</f>
        <v>-841.125850462015</v>
      </c>
      <c r="AL28" s="60" t="n">
        <f aca="false">-'Capital Expenditure'!AL13</f>
        <v>-837.051460153921</v>
      </c>
      <c r="AM28" s="60" t="n">
        <f aca="false">-'Capital Expenditure'!AM13</f>
        <v>-0</v>
      </c>
      <c r="AN28" s="60" t="n">
        <f aca="false">-'Capital Expenditure'!AN13</f>
        <v>-0</v>
      </c>
      <c r="AO28" s="59" t="n">
        <f aca="false">SUM(AP28:BA28)</f>
        <v>-21889.7763813505</v>
      </c>
      <c r="AP28" s="60" t="n">
        <f aca="false">-'Capital Expenditure'!AP13</f>
        <v>-13055.6722689761</v>
      </c>
      <c r="AQ28" s="60" t="n">
        <f aca="false">-'Capital Expenditure'!AQ13</f>
        <v>-820.950307554393</v>
      </c>
      <c r="AR28" s="60" t="n">
        <f aca="false">-'Capital Expenditure'!AR13</f>
        <v>-816.973647016985</v>
      </c>
      <c r="AS28" s="60" t="n">
        <f aca="false">-'Capital Expenditure'!AS13</f>
        <v>-813.016249313009</v>
      </c>
      <c r="AT28" s="60" t="n">
        <f aca="false">-'Capital Expenditure'!AT13</f>
        <v>-809.078021133832</v>
      </c>
      <c r="AU28" s="60" t="n">
        <f aca="false">-'Capital Expenditure'!AU13</f>
        <v>-805.158869622809</v>
      </c>
      <c r="AV28" s="60" t="n">
        <f aca="false">-'Capital Expenditure'!AV13</f>
        <v>-1602.51740474617</v>
      </c>
      <c r="AW28" s="60" t="n">
        <f aca="false">-'Capital Expenditure'!AW13</f>
        <v>-797.37742742543</v>
      </c>
      <c r="AX28" s="60" t="n">
        <f aca="false">-'Capital Expenditure'!AX13</f>
        <v>-793.514953266052</v>
      </c>
      <c r="AY28" s="60" t="n">
        <f aca="false">-'Capital Expenditure'!AY13</f>
        <v>-789.671188824454</v>
      </c>
      <c r="AZ28" s="60" t="n">
        <f aca="false">-'Capital Expenditure'!AZ13</f>
        <v>-785.846043471283</v>
      </c>
      <c r="BA28" s="60" t="n">
        <f aca="false">-'Capital Expenditure'!BA13</f>
        <v>-0</v>
      </c>
      <c r="BB28" s="59" t="n">
        <f aca="false">SUM(BC28:BN28)</f>
        <v>-26848.4233790335</v>
      </c>
      <c r="BC28" s="60" t="n">
        <f aca="false">-'Capital Expenditure'!BC13</f>
        <v>-13974.6854838459</v>
      </c>
      <c r="BD28" s="60" t="n">
        <f aca="false">-'Capital Expenditure'!BD13</f>
        <v>-1548.96284444225</v>
      </c>
      <c r="BE28" s="60" t="n">
        <f aca="false">-'Capital Expenditure'!BE13</f>
        <v>-1541.4597113528</v>
      </c>
      <c r="BF28" s="60" t="n">
        <f aca="false">-'Capital Expenditure'!BF13</f>
        <v>-0</v>
      </c>
      <c r="BG28" s="60" t="n">
        <f aca="false">-'Capital Expenditure'!BG13</f>
        <v>-1526.5623040261</v>
      </c>
      <c r="BH28" s="60" t="n">
        <f aca="false">-'Capital Expenditure'!BH13</f>
        <v>-1519.1676785336</v>
      </c>
      <c r="BI28" s="60" t="n">
        <f aca="false">-'Capital Expenditure'!BI13</f>
        <v>-2267.71330860307</v>
      </c>
      <c r="BJ28" s="60" t="n">
        <f aca="false">-'Capital Expenditure'!BJ13</f>
        <v>-0</v>
      </c>
      <c r="BK28" s="60" t="n">
        <f aca="false">-'Capital Expenditure'!BK13</f>
        <v>-1497.19802503029</v>
      </c>
      <c r="BL28" s="60" t="n">
        <f aca="false">-'Capital Expenditure'!BL13</f>
        <v>-1489.94563929142</v>
      </c>
      <c r="BM28" s="60" t="n">
        <f aca="false">-'Capital Expenditure'!BM13</f>
        <v>-1482.72838390808</v>
      </c>
      <c r="BN28" s="60" t="n">
        <f aca="false">-'Capital Expenditure'!BN13</f>
        <v>-0</v>
      </c>
    </row>
    <row r="29" customFormat="false" ht="15" hidden="false" customHeight="false" outlineLevel="0" collapsed="false">
      <c r="A29" s="13" t="s">
        <v>1042</v>
      </c>
      <c r="B29" s="59" t="n">
        <f aca="false">SUM(C29:N29)</f>
        <v>-46179.161972034</v>
      </c>
      <c r="C29" s="61" t="n">
        <f aca="false">C28</f>
        <v>-44640.7766990291</v>
      </c>
      <c r="D29" s="61" t="n">
        <f aca="false">D28</f>
        <v>-0</v>
      </c>
      <c r="E29" s="61" t="n">
        <f aca="false">E28</f>
        <v>-1538.38527300487</v>
      </c>
      <c r="F29" s="61" t="n">
        <f aca="false">F28</f>
        <v>-0</v>
      </c>
      <c r="G29" s="61" t="n">
        <f aca="false">G28</f>
        <v>-0</v>
      </c>
      <c r="H29" s="61" t="n">
        <f aca="false">H28</f>
        <v>-0</v>
      </c>
      <c r="I29" s="61" t="n">
        <f aca="false">I28</f>
        <v>-0</v>
      </c>
      <c r="J29" s="61" t="n">
        <f aca="false">J28</f>
        <v>-0</v>
      </c>
      <c r="K29" s="61" t="n">
        <f aca="false">K28</f>
        <v>-0</v>
      </c>
      <c r="L29" s="61" t="n">
        <f aca="false">L28</f>
        <v>-0</v>
      </c>
      <c r="M29" s="61" t="n">
        <f aca="false">M28</f>
        <v>-0</v>
      </c>
      <c r="N29" s="61" t="n">
        <f aca="false">N28</f>
        <v>-0</v>
      </c>
      <c r="O29" s="59" t="n">
        <f aca="false">SUM(P29:AA29)</f>
        <v>-18986.2153724843</v>
      </c>
      <c r="P29" s="61" t="n">
        <f aca="false">P28</f>
        <v>-13218.5381938084</v>
      </c>
      <c r="Q29" s="61" t="n">
        <f aca="false">Q28</f>
        <v>-0</v>
      </c>
      <c r="R29" s="61" t="n">
        <f aca="false">R28</f>
        <v>-0</v>
      </c>
      <c r="S29" s="61" t="n">
        <f aca="false">S28</f>
        <v>-2166.41515666742</v>
      </c>
      <c r="T29" s="61" t="n">
        <f aca="false">T28</f>
        <v>-909.080064545974</v>
      </c>
      <c r="U29" s="61" t="n">
        <f aca="false">U28</f>
        <v>-0</v>
      </c>
      <c r="V29" s="61" t="n">
        <f aca="false">V28</f>
        <v>-1800.5885559728</v>
      </c>
      <c r="W29" s="61" t="n">
        <f aca="false">W28</f>
        <v>-0</v>
      </c>
      <c r="X29" s="61" t="n">
        <f aca="false">X28</f>
        <v>-891.593401489736</v>
      </c>
      <c r="Y29" s="61" t="n">
        <f aca="false">Y28</f>
        <v>-0</v>
      </c>
      <c r="Z29" s="61" t="n">
        <f aca="false">Z28</f>
        <v>-0</v>
      </c>
      <c r="AA29" s="61" t="n">
        <f aca="false">AA28</f>
        <v>-0</v>
      </c>
      <c r="AB29" s="59" t="n">
        <f aca="false">SUM(AC29:AN29)</f>
        <v>-20303.9718457872</v>
      </c>
      <c r="AC29" s="61" t="n">
        <f aca="false">AC28</f>
        <v>-15207.7061594666</v>
      </c>
      <c r="AD29" s="61" t="n">
        <f aca="false">AD28</f>
        <v>-0</v>
      </c>
      <c r="AE29" s="61" t="n">
        <f aca="false">AE28</f>
        <v>-0</v>
      </c>
      <c r="AF29" s="61" t="n">
        <f aca="false">AF28</f>
        <v>-861.797224271789</v>
      </c>
      <c r="AG29" s="61" t="n">
        <f aca="false">AG28</f>
        <v>-857.622702401862</v>
      </c>
      <c r="AH29" s="61" t="n">
        <f aca="false">AH28</f>
        <v>-0</v>
      </c>
      <c r="AI29" s="61" t="n">
        <f aca="false">AI28</f>
        <v>-1698.66844903094</v>
      </c>
      <c r="AJ29" s="61" t="n">
        <f aca="false">AJ28</f>
        <v>-0</v>
      </c>
      <c r="AK29" s="61" t="n">
        <f aca="false">AK28</f>
        <v>-841.125850462015</v>
      </c>
      <c r="AL29" s="61" t="n">
        <f aca="false">AL28</f>
        <v>-837.051460153921</v>
      </c>
      <c r="AM29" s="61" t="n">
        <f aca="false">AM28</f>
        <v>-0</v>
      </c>
      <c r="AN29" s="61" t="n">
        <f aca="false">AN28</f>
        <v>-0</v>
      </c>
      <c r="AO29" s="59" t="n">
        <f aca="false">SUM(AP29:BA29)</f>
        <v>-21889.7763813505</v>
      </c>
      <c r="AP29" s="61" t="n">
        <f aca="false">AP28</f>
        <v>-13055.6722689761</v>
      </c>
      <c r="AQ29" s="61" t="n">
        <f aca="false">AQ28</f>
        <v>-820.950307554393</v>
      </c>
      <c r="AR29" s="61" t="n">
        <f aca="false">AR28</f>
        <v>-816.973647016985</v>
      </c>
      <c r="AS29" s="61" t="n">
        <f aca="false">AS28</f>
        <v>-813.016249313009</v>
      </c>
      <c r="AT29" s="61" t="n">
        <f aca="false">AT28</f>
        <v>-809.078021133832</v>
      </c>
      <c r="AU29" s="61" t="n">
        <f aca="false">AU28</f>
        <v>-805.158869622809</v>
      </c>
      <c r="AV29" s="61" t="n">
        <f aca="false">AV28</f>
        <v>-1602.51740474617</v>
      </c>
      <c r="AW29" s="61" t="n">
        <f aca="false">AW28</f>
        <v>-797.37742742543</v>
      </c>
      <c r="AX29" s="61" t="n">
        <f aca="false">AX28</f>
        <v>-793.514953266052</v>
      </c>
      <c r="AY29" s="61" t="n">
        <f aca="false">AY28</f>
        <v>-789.671188824454</v>
      </c>
      <c r="AZ29" s="61" t="n">
        <f aca="false">AZ28</f>
        <v>-785.846043471283</v>
      </c>
      <c r="BA29" s="61" t="n">
        <f aca="false">BA28</f>
        <v>-0</v>
      </c>
      <c r="BB29" s="59" t="n">
        <f aca="false">SUM(BC29:BN29)</f>
        <v>-26848.4233790335</v>
      </c>
      <c r="BC29" s="61" t="n">
        <f aca="false">BC28</f>
        <v>-13974.6854838459</v>
      </c>
      <c r="BD29" s="61" t="n">
        <f aca="false">BD28</f>
        <v>-1548.96284444225</v>
      </c>
      <c r="BE29" s="61" t="n">
        <f aca="false">BE28</f>
        <v>-1541.4597113528</v>
      </c>
      <c r="BF29" s="61" t="n">
        <f aca="false">BF28</f>
        <v>-0</v>
      </c>
      <c r="BG29" s="61" t="n">
        <f aca="false">BG28</f>
        <v>-1526.5623040261</v>
      </c>
      <c r="BH29" s="61" t="n">
        <f aca="false">BH28</f>
        <v>-1519.1676785336</v>
      </c>
      <c r="BI29" s="61" t="n">
        <f aca="false">BI28</f>
        <v>-2267.71330860307</v>
      </c>
      <c r="BJ29" s="61" t="n">
        <f aca="false">BJ28</f>
        <v>-0</v>
      </c>
      <c r="BK29" s="61" t="n">
        <f aca="false">BK28</f>
        <v>-1497.19802503029</v>
      </c>
      <c r="BL29" s="61" t="n">
        <f aca="false">BL28</f>
        <v>-1489.94563929142</v>
      </c>
      <c r="BM29" s="61" t="n">
        <f aca="false">BM28</f>
        <v>-1482.72838390808</v>
      </c>
      <c r="BN29" s="61" t="n">
        <f aca="false">BN28</f>
        <v>-0</v>
      </c>
    </row>
    <row r="30" customFormat="false" ht="15" hidden="false" customHeight="false" outlineLevel="0" collapsed="false">
      <c r="A30" s="4" t="s">
        <v>1043</v>
      </c>
      <c r="B30" s="59" t="n">
        <f aca="false">SUM(C30:N30)</f>
        <v>600000</v>
      </c>
      <c r="C30" s="60" t="n">
        <f aca="false">IF(1='Assumption Setting'!$C$190,'Funding and Use of Funds'!$C$9,0)+IF(1='Assumption Setting'!$C$193,'Funding and Use of Funds'!$C$49,0)</f>
        <v>600000</v>
      </c>
      <c r="D30" s="60" t="n">
        <f aca="false">IF(2='Assumption Setting'!$C$190,'Funding and Use of Funds'!$C$9,0)+IF(2='Assumption Setting'!$C$193,'Funding and Use of Funds'!$C$49,0)</f>
        <v>0</v>
      </c>
      <c r="E30" s="60" t="n">
        <f aca="false">IF(3='Assumption Setting'!$C$190,'Funding and Use of Funds'!$C$9,0)+IF(3='Assumption Setting'!$C$193,'Funding and Use of Funds'!$C$49,0)</f>
        <v>0</v>
      </c>
      <c r="F30" s="60" t="n">
        <f aca="false">IF(4='Assumption Setting'!$C$190,'Funding and Use of Funds'!$C$9,0)+IF(4='Assumption Setting'!$C$193,'Funding and Use of Funds'!$C$49,0)</f>
        <v>0</v>
      </c>
      <c r="G30" s="60" t="n">
        <f aca="false">IF(5='Assumption Setting'!$C$190,'Funding and Use of Funds'!$C$9,0)+IF(5='Assumption Setting'!$C$193,'Funding and Use of Funds'!$C$49,0)</f>
        <v>0</v>
      </c>
      <c r="H30" s="60" t="n">
        <f aca="false">IF(6='Assumption Setting'!$C$190,'Funding and Use of Funds'!$C$9,0)+IF(6='Assumption Setting'!$C$193,'Funding and Use of Funds'!$C$49,0)</f>
        <v>0</v>
      </c>
      <c r="I30" s="60" t="n">
        <f aca="false">IF(7='Assumption Setting'!$C$190,'Funding and Use of Funds'!$C$9,0)+IF(7='Assumption Setting'!$C$193,'Funding and Use of Funds'!$C$49,0)</f>
        <v>0</v>
      </c>
      <c r="J30" s="60" t="n">
        <f aca="false">IF(8='Assumption Setting'!$C$190,'Funding and Use of Funds'!$C$9,0)+IF(8='Assumption Setting'!$C$193,'Funding and Use of Funds'!$C$49,0)</f>
        <v>0</v>
      </c>
      <c r="K30" s="60" t="n">
        <f aca="false">IF(9='Assumption Setting'!$C$190,'Funding and Use of Funds'!$C$9,0)+IF(9='Assumption Setting'!$C$193,'Funding and Use of Funds'!$C$49,0)</f>
        <v>0</v>
      </c>
      <c r="L30" s="60" t="n">
        <f aca="false">IF(10='Assumption Setting'!$C$190,'Funding and Use of Funds'!$C$9,0)+IF(10='Assumption Setting'!$C$193,'Funding and Use of Funds'!$C$49,0)</f>
        <v>0</v>
      </c>
      <c r="M30" s="60" t="n">
        <f aca="false">IF(11='Assumption Setting'!$C$190,'Funding and Use of Funds'!$C$9,0)+IF(11='Assumption Setting'!$C$193,'Funding and Use of Funds'!$C$49,0)</f>
        <v>0</v>
      </c>
      <c r="N30" s="60" t="n">
        <f aca="false">IF(12='Assumption Setting'!$C$190,'Funding and Use of Funds'!$C$9,0)+IF(12='Assumption Setting'!$C$193,'Funding and Use of Funds'!$C$49,0)</f>
        <v>0</v>
      </c>
      <c r="O30" s="59" t="n">
        <f aca="false">SUM(P30:AA30)</f>
        <v>450000</v>
      </c>
      <c r="P30" s="60" t="n">
        <f aca="false">IF(13='Assumption Setting'!$C$190,'Funding and Use of Funds'!$C$9,0)+IF(13='Assumption Setting'!$C$193,'Funding and Use of Funds'!$C$49,0)</f>
        <v>450000</v>
      </c>
      <c r="Q30" s="60" t="n">
        <f aca="false">IF(14='Assumption Setting'!$C$190,'Funding and Use of Funds'!$C$9,0)+IF(14='Assumption Setting'!$C$193,'Funding and Use of Funds'!$C$49,0)</f>
        <v>0</v>
      </c>
      <c r="R30" s="60" t="n">
        <f aca="false">IF(15='Assumption Setting'!$C$190,'Funding and Use of Funds'!$C$9,0)+IF(15='Assumption Setting'!$C$193,'Funding and Use of Funds'!$C$49,0)</f>
        <v>0</v>
      </c>
      <c r="S30" s="60" t="n">
        <f aca="false">IF(16='Assumption Setting'!$C$190,'Funding and Use of Funds'!$C$9,0)+IF(16='Assumption Setting'!$C$193,'Funding and Use of Funds'!$C$49,0)</f>
        <v>0</v>
      </c>
      <c r="T30" s="60" t="n">
        <f aca="false">IF(17='Assumption Setting'!$C$190,'Funding and Use of Funds'!$C$9,0)+IF(17='Assumption Setting'!$C$193,'Funding and Use of Funds'!$C$49,0)</f>
        <v>0</v>
      </c>
      <c r="U30" s="60" t="n">
        <f aca="false">IF(18='Assumption Setting'!$C$190,'Funding and Use of Funds'!$C$9,0)+IF(18='Assumption Setting'!$C$193,'Funding and Use of Funds'!$C$49,0)</f>
        <v>0</v>
      </c>
      <c r="V30" s="60" t="n">
        <f aca="false">IF(19='Assumption Setting'!$C$190,'Funding and Use of Funds'!$C$9,0)+IF(19='Assumption Setting'!$C$193,'Funding and Use of Funds'!$C$49,0)</f>
        <v>0</v>
      </c>
      <c r="W30" s="60" t="n">
        <f aca="false">IF(20='Assumption Setting'!$C$190,'Funding and Use of Funds'!$C$9,0)+IF(20='Assumption Setting'!$C$193,'Funding and Use of Funds'!$C$49,0)</f>
        <v>0</v>
      </c>
      <c r="X30" s="60" t="n">
        <f aca="false">IF(21='Assumption Setting'!$C$190,'Funding and Use of Funds'!$C$9,0)+IF(21='Assumption Setting'!$C$193,'Funding and Use of Funds'!$C$49,0)</f>
        <v>0</v>
      </c>
      <c r="Y30" s="60" t="n">
        <f aca="false">IF(22='Assumption Setting'!$C$190,'Funding and Use of Funds'!$C$9,0)+IF(22='Assumption Setting'!$C$193,'Funding and Use of Funds'!$C$49,0)</f>
        <v>0</v>
      </c>
      <c r="Z30" s="60" t="n">
        <f aca="false">IF(23='Assumption Setting'!$C$190,'Funding and Use of Funds'!$C$9,0)+IF(23='Assumption Setting'!$C$193,'Funding and Use of Funds'!$C$49,0)</f>
        <v>0</v>
      </c>
      <c r="AA30" s="60" t="n">
        <f aca="false">IF(24='Assumption Setting'!$C$190,'Funding and Use of Funds'!$C$9,0)+IF(24='Assumption Setting'!$C$193,'Funding and Use of Funds'!$C$49,0)</f>
        <v>0</v>
      </c>
      <c r="AB30" s="59" t="n">
        <f aca="false">SUM(AC30:AN30)</f>
        <v>0</v>
      </c>
      <c r="AC30" s="60" t="n">
        <f aca="false">IF(25='Assumption Setting'!$C$190,'Funding and Use of Funds'!$C$9,0)+IF(25='Assumption Setting'!$C$193,'Funding and Use of Funds'!$C$49,0)</f>
        <v>0</v>
      </c>
      <c r="AD30" s="60" t="n">
        <f aca="false">IF(26='Assumption Setting'!$C$190,'Funding and Use of Funds'!$C$9,0)+IF(26='Assumption Setting'!$C$193,'Funding and Use of Funds'!$C$49,0)</f>
        <v>0</v>
      </c>
      <c r="AE30" s="60" t="n">
        <f aca="false">IF(27='Assumption Setting'!$C$190,'Funding and Use of Funds'!$C$9,0)+IF(27='Assumption Setting'!$C$193,'Funding and Use of Funds'!$C$49,0)</f>
        <v>0</v>
      </c>
      <c r="AF30" s="60" t="n">
        <f aca="false">IF(28='Assumption Setting'!$C$190,'Funding and Use of Funds'!$C$9,0)+IF(28='Assumption Setting'!$C$193,'Funding and Use of Funds'!$C$49,0)</f>
        <v>0</v>
      </c>
      <c r="AG30" s="60" t="n">
        <f aca="false">IF(29='Assumption Setting'!$C$190,'Funding and Use of Funds'!$C$9,0)+IF(29='Assumption Setting'!$C$193,'Funding and Use of Funds'!$C$49,0)</f>
        <v>0</v>
      </c>
      <c r="AH30" s="60" t="n">
        <f aca="false">IF(30='Assumption Setting'!$C$190,'Funding and Use of Funds'!$C$9,0)+IF(30='Assumption Setting'!$C$193,'Funding and Use of Funds'!$C$49,0)</f>
        <v>0</v>
      </c>
      <c r="AI30" s="60" t="n">
        <f aca="false">IF(31='Assumption Setting'!$C$190,'Funding and Use of Funds'!$C$9,0)+IF(31='Assumption Setting'!$C$193,'Funding and Use of Funds'!$C$49,0)</f>
        <v>0</v>
      </c>
      <c r="AJ30" s="60" t="n">
        <f aca="false">IF(32='Assumption Setting'!$C$190,'Funding and Use of Funds'!$C$9,0)+IF(32='Assumption Setting'!$C$193,'Funding and Use of Funds'!$C$49,0)</f>
        <v>0</v>
      </c>
      <c r="AK30" s="60" t="n">
        <f aca="false">IF(33='Assumption Setting'!$C$190,'Funding and Use of Funds'!$C$9,0)+IF(33='Assumption Setting'!$C$193,'Funding and Use of Funds'!$C$49,0)</f>
        <v>0</v>
      </c>
      <c r="AL30" s="60" t="n">
        <f aca="false">IF(34='Assumption Setting'!$C$190,'Funding and Use of Funds'!$C$9,0)+IF(34='Assumption Setting'!$C$193,'Funding and Use of Funds'!$C$49,0)</f>
        <v>0</v>
      </c>
      <c r="AM30" s="60" t="n">
        <f aca="false">IF(35='Assumption Setting'!$C$190,'Funding and Use of Funds'!$C$9,0)+IF(35='Assumption Setting'!$C$193,'Funding and Use of Funds'!$C$49,0)</f>
        <v>0</v>
      </c>
      <c r="AN30" s="60" t="n">
        <f aca="false">IF(36='Assumption Setting'!$C$190,'Funding and Use of Funds'!$C$9,0)+IF(36='Assumption Setting'!$C$193,'Funding and Use of Funds'!$C$49,0)</f>
        <v>0</v>
      </c>
      <c r="AO30" s="59" t="n">
        <f aca="false">SUM(AP30:BA30)</f>
        <v>0</v>
      </c>
      <c r="AP30" s="60" t="n">
        <f aca="false">IF(37='Assumption Setting'!$C$190,'Funding and Use of Funds'!$C$9,0)+IF(37='Assumption Setting'!$C$193,'Funding and Use of Funds'!$C$49,0)</f>
        <v>0</v>
      </c>
      <c r="AQ30" s="60" t="n">
        <f aca="false">IF(38='Assumption Setting'!$C$190,'Funding and Use of Funds'!$C$9,0)+IF(38='Assumption Setting'!$C$193,'Funding and Use of Funds'!$C$49,0)</f>
        <v>0</v>
      </c>
      <c r="AR30" s="60" t="n">
        <f aca="false">IF(39='Assumption Setting'!$C$190,'Funding and Use of Funds'!$C$9,0)+IF(39='Assumption Setting'!$C$193,'Funding and Use of Funds'!$C$49,0)</f>
        <v>0</v>
      </c>
      <c r="AS30" s="60" t="n">
        <f aca="false">IF(40='Assumption Setting'!$C$190,'Funding and Use of Funds'!$C$9,0)+IF(40='Assumption Setting'!$C$193,'Funding and Use of Funds'!$C$49,0)</f>
        <v>0</v>
      </c>
      <c r="AT30" s="60" t="n">
        <f aca="false">IF(41='Assumption Setting'!$C$190,'Funding and Use of Funds'!$C$9,0)+IF(41='Assumption Setting'!$C$193,'Funding and Use of Funds'!$C$49,0)</f>
        <v>0</v>
      </c>
      <c r="AU30" s="60" t="n">
        <f aca="false">IF(42='Assumption Setting'!$C$190,'Funding and Use of Funds'!$C$9,0)+IF(42='Assumption Setting'!$C$193,'Funding and Use of Funds'!$C$49,0)</f>
        <v>0</v>
      </c>
      <c r="AV30" s="60" t="n">
        <f aca="false">IF(43='Assumption Setting'!$C$190,'Funding and Use of Funds'!$C$9,0)+IF(43='Assumption Setting'!$C$193,'Funding and Use of Funds'!$C$49,0)</f>
        <v>0</v>
      </c>
      <c r="AW30" s="60" t="n">
        <f aca="false">IF(44='Assumption Setting'!$C$190,'Funding and Use of Funds'!$C$9,0)+IF(44='Assumption Setting'!$C$193,'Funding and Use of Funds'!$C$49,0)</f>
        <v>0</v>
      </c>
      <c r="AX30" s="60" t="n">
        <f aca="false">IF(45='Assumption Setting'!$C$190,'Funding and Use of Funds'!$C$9,0)+IF(45='Assumption Setting'!$C$193,'Funding and Use of Funds'!$C$49,0)</f>
        <v>0</v>
      </c>
      <c r="AY30" s="60" t="n">
        <f aca="false">IF(46='Assumption Setting'!$C$190,'Funding and Use of Funds'!$C$9,0)+IF(46='Assumption Setting'!$C$193,'Funding and Use of Funds'!$C$49,0)</f>
        <v>0</v>
      </c>
      <c r="AZ30" s="60" t="n">
        <f aca="false">IF(47='Assumption Setting'!$C$190,'Funding and Use of Funds'!$C$9,0)+IF(47='Assumption Setting'!$C$193,'Funding and Use of Funds'!$C$49,0)</f>
        <v>0</v>
      </c>
      <c r="BA30" s="60" t="n">
        <f aca="false">IF(48='Assumption Setting'!$C$190,'Funding and Use of Funds'!$C$9,0)+IF(48='Assumption Setting'!$C$193,'Funding and Use of Funds'!$C$49,0)</f>
        <v>0</v>
      </c>
      <c r="BB30" s="59" t="n">
        <f aca="false">SUM(BC30:BN30)</f>
        <v>0</v>
      </c>
      <c r="BC30" s="60" t="n">
        <f aca="false">IF(49='Assumption Setting'!$C$190,'Funding and Use of Funds'!$C$9,0)+IF(49='Assumption Setting'!$C$193,'Funding and Use of Funds'!$C$49,0)</f>
        <v>0</v>
      </c>
      <c r="BD30" s="60" t="n">
        <f aca="false">IF(50='Assumption Setting'!$C$190,'Funding and Use of Funds'!$C$9,0)+IF(50='Assumption Setting'!$C$193,'Funding and Use of Funds'!$C$49,0)</f>
        <v>0</v>
      </c>
      <c r="BE30" s="60" t="n">
        <f aca="false">IF(51='Assumption Setting'!$C$190,'Funding and Use of Funds'!$C$9,0)+IF(51='Assumption Setting'!$C$193,'Funding and Use of Funds'!$C$49,0)</f>
        <v>0</v>
      </c>
      <c r="BF30" s="60" t="n">
        <f aca="false">IF(52='Assumption Setting'!$C$190,'Funding and Use of Funds'!$C$9,0)+IF(52='Assumption Setting'!$C$193,'Funding and Use of Funds'!$C$49,0)</f>
        <v>0</v>
      </c>
      <c r="BG30" s="60" t="n">
        <f aca="false">IF(53='Assumption Setting'!$C$190,'Funding and Use of Funds'!$C$9,0)+IF(53='Assumption Setting'!$C$193,'Funding and Use of Funds'!$C$49,0)</f>
        <v>0</v>
      </c>
      <c r="BH30" s="60" t="n">
        <f aca="false">IF(54='Assumption Setting'!$C$190,'Funding and Use of Funds'!$C$9,0)+IF(54='Assumption Setting'!$C$193,'Funding and Use of Funds'!$C$49,0)</f>
        <v>0</v>
      </c>
      <c r="BI30" s="60" t="n">
        <f aca="false">IF(55='Assumption Setting'!$C$190,'Funding and Use of Funds'!$C$9,0)+IF(55='Assumption Setting'!$C$193,'Funding and Use of Funds'!$C$49,0)</f>
        <v>0</v>
      </c>
      <c r="BJ30" s="60" t="n">
        <f aca="false">IF(56='Assumption Setting'!$C$190,'Funding and Use of Funds'!$C$9,0)+IF(56='Assumption Setting'!$C$193,'Funding and Use of Funds'!$C$49,0)</f>
        <v>0</v>
      </c>
      <c r="BK30" s="60" t="n">
        <f aca="false">IF(57='Assumption Setting'!$C$190,'Funding and Use of Funds'!$C$9,0)+IF(57='Assumption Setting'!$C$193,'Funding and Use of Funds'!$C$49,0)</f>
        <v>0</v>
      </c>
      <c r="BL30" s="60" t="n">
        <f aca="false">IF(58='Assumption Setting'!$C$190,'Funding and Use of Funds'!$C$9,0)+IF(58='Assumption Setting'!$C$193,'Funding and Use of Funds'!$C$49,0)</f>
        <v>0</v>
      </c>
      <c r="BM30" s="60" t="n">
        <f aca="false">IF(59='Assumption Setting'!$C$190,'Funding and Use of Funds'!$C$9,0)+IF(59='Assumption Setting'!$C$193,'Funding and Use of Funds'!$C$49,0)</f>
        <v>0</v>
      </c>
      <c r="BN30" s="60" t="n">
        <f aca="false">IF(60='Assumption Setting'!$C$190,'Funding and Use of Funds'!$C$9,0)+IF(60='Assumption Setting'!$C$193,'Funding and Use of Funds'!$C$49,0)</f>
        <v>0</v>
      </c>
    </row>
    <row r="31" customFormat="false" ht="15" hidden="false" customHeight="false" outlineLevel="0" collapsed="false">
      <c r="A31" s="13" t="s">
        <v>1044</v>
      </c>
      <c r="B31" s="59" t="n">
        <f aca="false">SUM(C31:N31)</f>
        <v>600000</v>
      </c>
      <c r="C31" s="61" t="n">
        <f aca="false">C30</f>
        <v>600000</v>
      </c>
      <c r="D31" s="61" t="n">
        <f aca="false">D30</f>
        <v>0</v>
      </c>
      <c r="E31" s="61" t="n">
        <f aca="false">E30</f>
        <v>0</v>
      </c>
      <c r="F31" s="61" t="n">
        <f aca="false">F30</f>
        <v>0</v>
      </c>
      <c r="G31" s="61" t="n">
        <f aca="false">G30</f>
        <v>0</v>
      </c>
      <c r="H31" s="61" t="n">
        <f aca="false">H30</f>
        <v>0</v>
      </c>
      <c r="I31" s="61" t="n">
        <f aca="false">I30</f>
        <v>0</v>
      </c>
      <c r="J31" s="61" t="n">
        <f aca="false">J30</f>
        <v>0</v>
      </c>
      <c r="K31" s="61" t="n">
        <f aca="false">K30</f>
        <v>0</v>
      </c>
      <c r="L31" s="61" t="n">
        <f aca="false">L30</f>
        <v>0</v>
      </c>
      <c r="M31" s="61" t="n">
        <f aca="false">M30</f>
        <v>0</v>
      </c>
      <c r="N31" s="61" t="n">
        <f aca="false">N30</f>
        <v>0</v>
      </c>
      <c r="O31" s="59" t="n">
        <f aca="false">SUM(P31:AA31)</f>
        <v>450000</v>
      </c>
      <c r="P31" s="61" t="n">
        <f aca="false">P30</f>
        <v>450000</v>
      </c>
      <c r="Q31" s="61" t="n">
        <f aca="false">Q30</f>
        <v>0</v>
      </c>
      <c r="R31" s="61" t="n">
        <f aca="false">R30</f>
        <v>0</v>
      </c>
      <c r="S31" s="61" t="n">
        <f aca="false">S30</f>
        <v>0</v>
      </c>
      <c r="T31" s="61" t="n">
        <f aca="false">T30</f>
        <v>0</v>
      </c>
      <c r="U31" s="61" t="n">
        <f aca="false">U30</f>
        <v>0</v>
      </c>
      <c r="V31" s="61" t="n">
        <f aca="false">V30</f>
        <v>0</v>
      </c>
      <c r="W31" s="61" t="n">
        <f aca="false">W30</f>
        <v>0</v>
      </c>
      <c r="X31" s="61" t="n">
        <f aca="false">X30</f>
        <v>0</v>
      </c>
      <c r="Y31" s="61" t="n">
        <f aca="false">Y30</f>
        <v>0</v>
      </c>
      <c r="Z31" s="61" t="n">
        <f aca="false">Z30</f>
        <v>0</v>
      </c>
      <c r="AA31" s="61" t="n">
        <f aca="false">AA30</f>
        <v>0</v>
      </c>
      <c r="AB31" s="59" t="n">
        <f aca="false">SUM(AC31:AN31)</f>
        <v>0</v>
      </c>
      <c r="AC31" s="61" t="n">
        <f aca="false">AC30</f>
        <v>0</v>
      </c>
      <c r="AD31" s="61" t="n">
        <f aca="false">AD30</f>
        <v>0</v>
      </c>
      <c r="AE31" s="61" t="n">
        <f aca="false">AE30</f>
        <v>0</v>
      </c>
      <c r="AF31" s="61" t="n">
        <f aca="false">AF30</f>
        <v>0</v>
      </c>
      <c r="AG31" s="61" t="n">
        <f aca="false">AG30</f>
        <v>0</v>
      </c>
      <c r="AH31" s="61" t="n">
        <f aca="false">AH30</f>
        <v>0</v>
      </c>
      <c r="AI31" s="61" t="n">
        <f aca="false">AI30</f>
        <v>0</v>
      </c>
      <c r="AJ31" s="61" t="n">
        <f aca="false">AJ30</f>
        <v>0</v>
      </c>
      <c r="AK31" s="61" t="n">
        <f aca="false">AK30</f>
        <v>0</v>
      </c>
      <c r="AL31" s="61" t="n">
        <f aca="false">AL30</f>
        <v>0</v>
      </c>
      <c r="AM31" s="61" t="n">
        <f aca="false">AM30</f>
        <v>0</v>
      </c>
      <c r="AN31" s="61" t="n">
        <f aca="false">AN30</f>
        <v>0</v>
      </c>
      <c r="AO31" s="59" t="n">
        <f aca="false">SUM(AP31:BA31)</f>
        <v>0</v>
      </c>
      <c r="AP31" s="61" t="n">
        <f aca="false">AP30</f>
        <v>0</v>
      </c>
      <c r="AQ31" s="61" t="n">
        <f aca="false">AQ30</f>
        <v>0</v>
      </c>
      <c r="AR31" s="61" t="n">
        <f aca="false">AR30</f>
        <v>0</v>
      </c>
      <c r="AS31" s="61" t="n">
        <f aca="false">AS30</f>
        <v>0</v>
      </c>
      <c r="AT31" s="61" t="n">
        <f aca="false">AT30</f>
        <v>0</v>
      </c>
      <c r="AU31" s="61" t="n">
        <f aca="false">AU30</f>
        <v>0</v>
      </c>
      <c r="AV31" s="61" t="n">
        <f aca="false">AV30</f>
        <v>0</v>
      </c>
      <c r="AW31" s="61" t="n">
        <f aca="false">AW30</f>
        <v>0</v>
      </c>
      <c r="AX31" s="61" t="n">
        <f aca="false">AX30</f>
        <v>0</v>
      </c>
      <c r="AY31" s="61" t="n">
        <f aca="false">AY30</f>
        <v>0</v>
      </c>
      <c r="AZ31" s="61" t="n">
        <f aca="false">AZ30</f>
        <v>0</v>
      </c>
      <c r="BA31" s="61" t="n">
        <f aca="false">BA30</f>
        <v>0</v>
      </c>
      <c r="BB31" s="59" t="n">
        <f aca="false">SUM(BC31:BN31)</f>
        <v>0</v>
      </c>
      <c r="BC31" s="61" t="n">
        <f aca="false">BC30</f>
        <v>0</v>
      </c>
      <c r="BD31" s="61" t="n">
        <f aca="false">BD30</f>
        <v>0</v>
      </c>
      <c r="BE31" s="61" t="n">
        <f aca="false">BE30</f>
        <v>0</v>
      </c>
      <c r="BF31" s="61" t="n">
        <f aca="false">BF30</f>
        <v>0</v>
      </c>
      <c r="BG31" s="61" t="n">
        <f aca="false">BG30</f>
        <v>0</v>
      </c>
      <c r="BH31" s="61" t="n">
        <f aca="false">BH30</f>
        <v>0</v>
      </c>
      <c r="BI31" s="61" t="n">
        <f aca="false">BI30</f>
        <v>0</v>
      </c>
      <c r="BJ31" s="61" t="n">
        <f aca="false">BJ30</f>
        <v>0</v>
      </c>
      <c r="BK31" s="61" t="n">
        <f aca="false">BK30</f>
        <v>0</v>
      </c>
      <c r="BL31" s="61" t="n">
        <f aca="false">BL30</f>
        <v>0</v>
      </c>
      <c r="BM31" s="61" t="n">
        <f aca="false">BM30</f>
        <v>0</v>
      </c>
      <c r="BN31" s="61" t="n">
        <f aca="false">BN30</f>
        <v>0</v>
      </c>
    </row>
    <row r="32" customFormat="false" ht="15" hidden="false" customHeight="false" outlineLevel="0" collapsed="false">
      <c r="A32" s="13" t="s">
        <v>1045</v>
      </c>
      <c r="B32" s="59" t="n">
        <f aca="false">SUM(C32:N32)</f>
        <v>185235.302287375</v>
      </c>
      <c r="C32" s="61" t="n">
        <f aca="false">C27+C29+C31</f>
        <v>542291.82038835</v>
      </c>
      <c r="D32" s="61" t="n">
        <f aca="false">D27+D29+D31</f>
        <v>-43974.1402090802</v>
      </c>
      <c r="E32" s="61" t="n">
        <f aca="false">E27+E29+E31</f>
        <v>-36922.8121204345</v>
      </c>
      <c r="F32" s="61" t="n">
        <f aca="false">F27+F29+F31</f>
        <v>-34302.9697235992</v>
      </c>
      <c r="G32" s="61" t="n">
        <f aca="false">G27+G29+G31</f>
        <v>-33385.252676438</v>
      </c>
      <c r="H32" s="61" t="n">
        <f aca="false">H27+H29+H31</f>
        <v>-32471.5487452919</v>
      </c>
      <c r="I32" s="61" t="n">
        <f aca="false">I27+I29+I31</f>
        <v>-31563.0020766695</v>
      </c>
      <c r="J32" s="61" t="n">
        <f aca="false">J27+J29+J31</f>
        <v>-30660.6764154014</v>
      </c>
      <c r="K32" s="61" t="n">
        <f aca="false">K27+K29+K31</f>
        <v>-29765.5436736404</v>
      </c>
      <c r="L32" s="61" t="n">
        <f aca="false">L27+L29+L31</f>
        <v>-28878.4896840899</v>
      </c>
      <c r="M32" s="61" t="n">
        <f aca="false">M27+M29+M31</f>
        <v>-28000.319627061</v>
      </c>
      <c r="N32" s="61" t="n">
        <f aca="false">N27+N29+N31</f>
        <v>-27131.7631492683</v>
      </c>
      <c r="O32" s="59" t="n">
        <f aca="false">SUM(P32:AA32)</f>
        <v>52038.2624777642</v>
      </c>
      <c r="P32" s="61" t="n">
        <f aca="false">P27+P29+P31</f>
        <v>408320.982797713</v>
      </c>
      <c r="Q32" s="61" t="n">
        <f aca="false">Q27+Q29+Q31</f>
        <v>-48437.9006116805</v>
      </c>
      <c r="R32" s="61" t="n">
        <f aca="false">R27+R29+R31</f>
        <v>-41302.4292921455</v>
      </c>
      <c r="S32" s="61" t="n">
        <f aca="false">S27+S29+S31</f>
        <v>-40831.8405038435</v>
      </c>
      <c r="T32" s="61" t="n">
        <f aca="false">T27+T29+T31</f>
        <v>-37124.9092240426</v>
      </c>
      <c r="U32" s="61" t="n">
        <f aca="false">U27+U29+U31</f>
        <v>-34355.1267382636</v>
      </c>
      <c r="V32" s="61" t="n">
        <f aca="false">V27+V29+V31</f>
        <v>-32628.0877636658</v>
      </c>
      <c r="W32" s="61" t="n">
        <f aca="false">W27+W29+W31</f>
        <v>-29527.4583463903</v>
      </c>
      <c r="X32" s="61" t="n">
        <f aca="false">X27+X29+X31</f>
        <v>-27296.3005759317</v>
      </c>
      <c r="Y32" s="61" t="n">
        <f aca="false">Y27+Y29+Y31</f>
        <v>-24454.3308141491</v>
      </c>
      <c r="Z32" s="61" t="n">
        <f aca="false">Z27+Z29+Z31</f>
        <v>-21480.4193080781</v>
      </c>
      <c r="AA32" s="61" t="n">
        <f aca="false">AA27+AA29+AA31</f>
        <v>-18843.9171417583</v>
      </c>
      <c r="AB32" s="59" t="n">
        <f aca="false">SUM(AC32:AN32)</f>
        <v>-48955.6193570004</v>
      </c>
      <c r="AC32" s="61" t="n">
        <f aca="false">AC27+AC29+AC31</f>
        <v>-19310.6399351809</v>
      </c>
      <c r="AD32" s="61" t="n">
        <f aca="false">AD27+AD29+AD31</f>
        <v>-35040.4331244062</v>
      </c>
      <c r="AE32" s="61" t="n">
        <f aca="false">AE27+AE29+AE31</f>
        <v>-23068.8740343728</v>
      </c>
      <c r="AF32" s="61" t="n">
        <f aca="false">AF27+AF29+AF31</f>
        <v>-18137.875282258</v>
      </c>
      <c r="AG32" s="61" t="n">
        <f aca="false">AG27+AG29+AG31</f>
        <v>-13238.8450205923</v>
      </c>
      <c r="AH32" s="61" t="n">
        <f aca="false">AH27+AH29+AH31</f>
        <v>-6992.78360293878</v>
      </c>
      <c r="AI32" s="61" t="n">
        <f aca="false">AI27+AI29+AI31</f>
        <v>-2881.63957612342</v>
      </c>
      <c r="AJ32" s="61" t="n">
        <f aca="false">AJ27+AJ29+AJ31</f>
        <v>3146.88263352998</v>
      </c>
      <c r="AK32" s="61" t="n">
        <f aca="false">AK27+AK29+AK31</f>
        <v>8480.26696297583</v>
      </c>
      <c r="AL32" s="61" t="n">
        <f aca="false">AL27+AL29+AL31</f>
        <v>13210.2895248568</v>
      </c>
      <c r="AM32" s="61" t="n">
        <f aca="false">AM27+AM29+AM31</f>
        <v>19397.6805325672</v>
      </c>
      <c r="AN32" s="61" t="n">
        <f aca="false">AN27+AN29+AN31</f>
        <v>25480.3515649422</v>
      </c>
      <c r="AO32" s="59" t="n">
        <f aca="false">SUM(AP32:BA32)</f>
        <v>843549.614415305</v>
      </c>
      <c r="AP32" s="61" t="n">
        <f aca="false">AP27+AP29+AP31</f>
        <v>55894.7211412444</v>
      </c>
      <c r="AQ32" s="61" t="n">
        <f aca="false">AQ27+AQ29+AQ31</f>
        <v>22254.9761780741</v>
      </c>
      <c r="AR32" s="61" t="n">
        <f aca="false">AR27+AR29+AR31</f>
        <v>37049.6462721523</v>
      </c>
      <c r="AS32" s="61" t="n">
        <f aca="false">AS27+AS29+AS31</f>
        <v>46060.1741032103</v>
      </c>
      <c r="AT32" s="61" t="n">
        <f aca="false">AT27+AT29+AT31</f>
        <v>55035.9594764323</v>
      </c>
      <c r="AU32" s="61" t="n">
        <f aca="false">AU27+AU29+AU31</f>
        <v>63913.0474812079</v>
      </c>
      <c r="AV32" s="61" t="n">
        <f aca="false">AV27+AV29+AV31</f>
        <v>71815.2819163288</v>
      </c>
      <c r="AW32" s="61" t="n">
        <f aca="false">AW27+AW29+AW31</f>
        <v>80524.0622106192</v>
      </c>
      <c r="AX32" s="61" t="n">
        <f aca="false">AX27+AX29+AX31</f>
        <v>89591.1361064647</v>
      </c>
      <c r="AY32" s="61" t="n">
        <f aca="false">AY27+AY29+AY31</f>
        <v>98206.2230467782</v>
      </c>
      <c r="AZ32" s="61" t="n">
        <f aca="false">AZ27+AZ29+AZ31</f>
        <v>106786.016347297</v>
      </c>
      <c r="BA32" s="61" t="n">
        <f aca="false">BA27+BA29+BA31</f>
        <v>116418.370135496</v>
      </c>
      <c r="BB32" s="59" t="n">
        <f aca="false">SUM(BC32:BN32)</f>
        <v>2163986.12102442</v>
      </c>
      <c r="BC32" s="61" t="n">
        <f aca="false">BC27+BC29+BC31</f>
        <v>177639.405069025</v>
      </c>
      <c r="BD32" s="61" t="n">
        <f aca="false">BD27+BD29+BD31</f>
        <v>120582.921355104</v>
      </c>
      <c r="BE32" s="61" t="n">
        <f aca="false">BE27+BE29+BE31</f>
        <v>136890.883204455</v>
      </c>
      <c r="BF32" s="61" t="n">
        <f aca="false">BF27+BF29+BF31</f>
        <v>149806.287249606</v>
      </c>
      <c r="BG32" s="61" t="n">
        <f aca="false">BG27+BG29+BG31</f>
        <v>160855.498579543</v>
      </c>
      <c r="BH32" s="61" t="n">
        <f aca="false">BH27+BH29+BH31</f>
        <v>170625.174866829</v>
      </c>
      <c r="BI32" s="61" t="n">
        <f aca="false">BI27+BI29+BI31</f>
        <v>180076.598541038</v>
      </c>
      <c r="BJ32" s="61" t="n">
        <f aca="false">BJ27+BJ29+BJ31</f>
        <v>192500.202905063</v>
      </c>
      <c r="BK32" s="61" t="n">
        <f aca="false">BK27+BK29+BK31</f>
        <v>203545.677250073</v>
      </c>
      <c r="BL32" s="61" t="n">
        <f aca="false">BL27+BL29+BL31</f>
        <v>213017.897087195</v>
      </c>
      <c r="BM32" s="61" t="n">
        <f aca="false">BM27+BM29+BM31</f>
        <v>223145.317083792</v>
      </c>
      <c r="BN32" s="61" t="n">
        <f aca="false">BN27+BN29+BN31</f>
        <v>235300.257832701</v>
      </c>
    </row>
    <row r="33" customFormat="false" ht="15" hidden="false" customHeight="false" outlineLevel="0" collapsed="false">
      <c r="A33" s="4" t="s">
        <v>1046</v>
      </c>
      <c r="B33" s="59" t="n">
        <f aca="false">C33</f>
        <v>0</v>
      </c>
      <c r="C33" s="63" t="n">
        <f aca="false">'Assumption Setting'!$C$17</f>
        <v>0</v>
      </c>
      <c r="D33" s="60" t="n">
        <f aca="false">C34</f>
        <v>542291.82038835</v>
      </c>
      <c r="E33" s="60" t="n">
        <f aca="false">D34</f>
        <v>498317.680179269</v>
      </c>
      <c r="F33" s="60" t="n">
        <f aca="false">E34</f>
        <v>461394.868058835</v>
      </c>
      <c r="G33" s="60" t="n">
        <f aca="false">F34</f>
        <v>427091.898335236</v>
      </c>
      <c r="H33" s="60" t="n">
        <f aca="false">G34</f>
        <v>393706.645658798</v>
      </c>
      <c r="I33" s="60" t="n">
        <f aca="false">H34</f>
        <v>361235.096913506</v>
      </c>
      <c r="J33" s="60" t="n">
        <f aca="false">I34</f>
        <v>329672.094836836</v>
      </c>
      <c r="K33" s="60" t="n">
        <f aca="false">J34</f>
        <v>299011.418421435</v>
      </c>
      <c r="L33" s="60" t="n">
        <f aca="false">K34</f>
        <v>269245.874747794</v>
      </c>
      <c r="M33" s="60" t="n">
        <f aca="false">L34</f>
        <v>240367.385063705</v>
      </c>
      <c r="N33" s="60" t="n">
        <f aca="false">M34</f>
        <v>212367.065436644</v>
      </c>
      <c r="O33" s="59" t="n">
        <f aca="false">P33</f>
        <v>185235.302287375</v>
      </c>
      <c r="P33" s="60" t="n">
        <f aca="false">N34</f>
        <v>185235.302287375</v>
      </c>
      <c r="Q33" s="60" t="n">
        <f aca="false">P34</f>
        <v>593556.285085088</v>
      </c>
      <c r="R33" s="60" t="n">
        <f aca="false">Q34</f>
        <v>545118.384473408</v>
      </c>
      <c r="S33" s="60" t="n">
        <f aca="false">R34</f>
        <v>503815.955181262</v>
      </c>
      <c r="T33" s="60" t="n">
        <f aca="false">S34</f>
        <v>462984.114677419</v>
      </c>
      <c r="U33" s="60" t="n">
        <f aca="false">T34</f>
        <v>425859.205453376</v>
      </c>
      <c r="V33" s="60" t="n">
        <f aca="false">U34</f>
        <v>391504.078715113</v>
      </c>
      <c r="W33" s="60" t="n">
        <f aca="false">V34</f>
        <v>358875.990951447</v>
      </c>
      <c r="X33" s="60" t="n">
        <f aca="false">W34</f>
        <v>329348.532605057</v>
      </c>
      <c r="Y33" s="60" t="n">
        <f aca="false">X34</f>
        <v>302052.232029125</v>
      </c>
      <c r="Z33" s="60" t="n">
        <f aca="false">Y34</f>
        <v>277597.901214976</v>
      </c>
      <c r="AA33" s="60" t="n">
        <f aca="false">Z34</f>
        <v>256117.481906898</v>
      </c>
      <c r="AB33" s="59" t="n">
        <f aca="false">AC33</f>
        <v>237273.564765139</v>
      </c>
      <c r="AC33" s="60" t="n">
        <f aca="false">AA34</f>
        <v>237273.564765139</v>
      </c>
      <c r="AD33" s="60" t="n">
        <f aca="false">AC34</f>
        <v>217962.924829958</v>
      </c>
      <c r="AE33" s="60" t="n">
        <f aca="false">AD34</f>
        <v>182922.491705552</v>
      </c>
      <c r="AF33" s="60" t="n">
        <f aca="false">AE34</f>
        <v>159853.617671179</v>
      </c>
      <c r="AG33" s="60" t="n">
        <f aca="false">AF34</f>
        <v>141715.742388922</v>
      </c>
      <c r="AH33" s="60" t="n">
        <f aca="false">AG34</f>
        <v>128476.897368329</v>
      </c>
      <c r="AI33" s="60" t="n">
        <f aca="false">AH34</f>
        <v>121484.11376539</v>
      </c>
      <c r="AJ33" s="60" t="n">
        <f aca="false">AI34</f>
        <v>118602.474189267</v>
      </c>
      <c r="AK33" s="60" t="n">
        <f aca="false">AJ34</f>
        <v>121749.356822797</v>
      </c>
      <c r="AL33" s="60" t="n">
        <f aca="false">AK34</f>
        <v>130229.623785773</v>
      </c>
      <c r="AM33" s="60" t="n">
        <f aca="false">AL34</f>
        <v>143439.91331063</v>
      </c>
      <c r="AN33" s="60" t="n">
        <f aca="false">AM34</f>
        <v>162837.593843197</v>
      </c>
      <c r="AO33" s="59" t="n">
        <f aca="false">AP33</f>
        <v>188317.945408139</v>
      </c>
      <c r="AP33" s="60" t="n">
        <f aca="false">AN34</f>
        <v>188317.945408139</v>
      </c>
      <c r="AQ33" s="60" t="n">
        <f aca="false">AP34</f>
        <v>244212.666549383</v>
      </c>
      <c r="AR33" s="60" t="n">
        <f aca="false">AQ34</f>
        <v>266467.642727458</v>
      </c>
      <c r="AS33" s="60" t="n">
        <f aca="false">AR34</f>
        <v>303517.28899961</v>
      </c>
      <c r="AT33" s="60" t="n">
        <f aca="false">AS34</f>
        <v>349577.46310282</v>
      </c>
      <c r="AU33" s="60" t="n">
        <f aca="false">AT34</f>
        <v>404613.422579252</v>
      </c>
      <c r="AV33" s="60" t="n">
        <f aca="false">AU34</f>
        <v>468526.47006046</v>
      </c>
      <c r="AW33" s="60" t="n">
        <f aca="false">AV34</f>
        <v>540341.751976789</v>
      </c>
      <c r="AX33" s="60" t="n">
        <f aca="false">AW34</f>
        <v>620865.814187408</v>
      </c>
      <c r="AY33" s="60" t="n">
        <f aca="false">AX34</f>
        <v>710456.950293873</v>
      </c>
      <c r="AZ33" s="60" t="n">
        <f aca="false">AY34</f>
        <v>808663.173340651</v>
      </c>
      <c r="BA33" s="60" t="n">
        <f aca="false">AZ34</f>
        <v>915449.189687948</v>
      </c>
      <c r="BB33" s="59" t="n">
        <f aca="false">BC33</f>
        <v>1031867.55982344</v>
      </c>
      <c r="BC33" s="60" t="n">
        <f aca="false">BA34</f>
        <v>1031867.55982344</v>
      </c>
      <c r="BD33" s="60" t="n">
        <f aca="false">BC34</f>
        <v>1209506.96489247</v>
      </c>
      <c r="BE33" s="60" t="n">
        <f aca="false">BD34</f>
        <v>1330089.88624757</v>
      </c>
      <c r="BF33" s="60" t="n">
        <f aca="false">BE34</f>
        <v>1466980.76945203</v>
      </c>
      <c r="BG33" s="60" t="n">
        <f aca="false">BF34</f>
        <v>1616787.05670163</v>
      </c>
      <c r="BH33" s="60" t="n">
        <f aca="false">BG34</f>
        <v>1777642.55528118</v>
      </c>
      <c r="BI33" s="60" t="n">
        <f aca="false">BH34</f>
        <v>1948267.73014801</v>
      </c>
      <c r="BJ33" s="60" t="n">
        <f aca="false">BI34</f>
        <v>2128344.32868904</v>
      </c>
      <c r="BK33" s="60" t="n">
        <f aca="false">BJ34</f>
        <v>2320844.53159411</v>
      </c>
      <c r="BL33" s="60" t="n">
        <f aca="false">BK34</f>
        <v>2524390.20884418</v>
      </c>
      <c r="BM33" s="60" t="n">
        <f aca="false">BL34</f>
        <v>2737408.10593138</v>
      </c>
      <c r="BN33" s="60" t="n">
        <f aca="false">BM34</f>
        <v>2960553.42301517</v>
      </c>
    </row>
    <row r="34" customFormat="false" ht="15" hidden="false" customHeight="false" outlineLevel="0" collapsed="false">
      <c r="A34" s="13" t="s">
        <v>1047</v>
      </c>
      <c r="B34" s="59" t="n">
        <f aca="false">N34</f>
        <v>185235.302287375</v>
      </c>
      <c r="C34" s="61" t="n">
        <f aca="false">C33+C32</f>
        <v>542291.82038835</v>
      </c>
      <c r="D34" s="61" t="n">
        <f aca="false">D33+D32</f>
        <v>498317.680179269</v>
      </c>
      <c r="E34" s="61" t="n">
        <f aca="false">E33+E32</f>
        <v>461394.868058835</v>
      </c>
      <c r="F34" s="61" t="n">
        <f aca="false">F33+F32</f>
        <v>427091.898335236</v>
      </c>
      <c r="G34" s="61" t="n">
        <f aca="false">G33+G32</f>
        <v>393706.645658798</v>
      </c>
      <c r="H34" s="61" t="n">
        <f aca="false">H33+H32</f>
        <v>361235.096913506</v>
      </c>
      <c r="I34" s="61" t="n">
        <f aca="false">I33+I32</f>
        <v>329672.094836836</v>
      </c>
      <c r="J34" s="61" t="n">
        <f aca="false">J33+J32</f>
        <v>299011.418421435</v>
      </c>
      <c r="K34" s="61" t="n">
        <f aca="false">K33+K32</f>
        <v>269245.874747794</v>
      </c>
      <c r="L34" s="61" t="n">
        <f aca="false">L33+L32</f>
        <v>240367.385063705</v>
      </c>
      <c r="M34" s="61" t="n">
        <f aca="false">M33+M32</f>
        <v>212367.065436644</v>
      </c>
      <c r="N34" s="61" t="n">
        <f aca="false">N33+N32</f>
        <v>185235.302287375</v>
      </c>
      <c r="O34" s="59" t="n">
        <f aca="false">AA34</f>
        <v>237273.564765139</v>
      </c>
      <c r="P34" s="61" t="n">
        <f aca="false">P33+P32</f>
        <v>593556.285085088</v>
      </c>
      <c r="Q34" s="61" t="n">
        <f aca="false">Q33+Q32</f>
        <v>545118.384473408</v>
      </c>
      <c r="R34" s="61" t="n">
        <f aca="false">R33+R32</f>
        <v>503815.955181262</v>
      </c>
      <c r="S34" s="61" t="n">
        <f aca="false">S33+S32</f>
        <v>462984.114677419</v>
      </c>
      <c r="T34" s="61" t="n">
        <f aca="false">T33+T32</f>
        <v>425859.205453376</v>
      </c>
      <c r="U34" s="61" t="n">
        <f aca="false">U33+U32</f>
        <v>391504.078715113</v>
      </c>
      <c r="V34" s="61" t="n">
        <f aca="false">V33+V32</f>
        <v>358875.990951447</v>
      </c>
      <c r="W34" s="61" t="n">
        <f aca="false">W33+W32</f>
        <v>329348.532605057</v>
      </c>
      <c r="X34" s="61" t="n">
        <f aca="false">X33+X32</f>
        <v>302052.232029125</v>
      </c>
      <c r="Y34" s="61" t="n">
        <f aca="false">Y33+Y32</f>
        <v>277597.901214976</v>
      </c>
      <c r="Z34" s="61" t="n">
        <f aca="false">Z33+Z32</f>
        <v>256117.481906898</v>
      </c>
      <c r="AA34" s="61" t="n">
        <f aca="false">AA33+AA32</f>
        <v>237273.564765139</v>
      </c>
      <c r="AB34" s="59" t="n">
        <f aca="false">AN34</f>
        <v>188317.945408139</v>
      </c>
      <c r="AC34" s="61" t="n">
        <f aca="false">AC33+AC32</f>
        <v>217962.924829958</v>
      </c>
      <c r="AD34" s="61" t="n">
        <f aca="false">AD33+AD32</f>
        <v>182922.491705552</v>
      </c>
      <c r="AE34" s="61" t="n">
        <f aca="false">AE33+AE32</f>
        <v>159853.617671179</v>
      </c>
      <c r="AF34" s="61" t="n">
        <f aca="false">AF33+AF32</f>
        <v>141715.742388922</v>
      </c>
      <c r="AG34" s="61" t="n">
        <f aca="false">AG33+AG32</f>
        <v>128476.897368329</v>
      </c>
      <c r="AH34" s="61" t="n">
        <f aca="false">AH33+AH32</f>
        <v>121484.11376539</v>
      </c>
      <c r="AI34" s="61" t="n">
        <f aca="false">AI33+AI32</f>
        <v>118602.474189267</v>
      </c>
      <c r="AJ34" s="61" t="n">
        <f aca="false">AJ33+AJ32</f>
        <v>121749.356822797</v>
      </c>
      <c r="AK34" s="61" t="n">
        <f aca="false">AK33+AK32</f>
        <v>130229.623785773</v>
      </c>
      <c r="AL34" s="61" t="n">
        <f aca="false">AL33+AL32</f>
        <v>143439.91331063</v>
      </c>
      <c r="AM34" s="61" t="n">
        <f aca="false">AM33+AM32</f>
        <v>162837.593843197</v>
      </c>
      <c r="AN34" s="61" t="n">
        <f aca="false">AN33+AN32</f>
        <v>188317.945408139</v>
      </c>
      <c r="AO34" s="59" t="n">
        <f aca="false">BA34</f>
        <v>1031867.55982344</v>
      </c>
      <c r="AP34" s="61" t="n">
        <f aca="false">AP33+AP32</f>
        <v>244212.666549383</v>
      </c>
      <c r="AQ34" s="61" t="n">
        <f aca="false">AQ33+AQ32</f>
        <v>266467.642727458</v>
      </c>
      <c r="AR34" s="61" t="n">
        <f aca="false">AR33+AR32</f>
        <v>303517.28899961</v>
      </c>
      <c r="AS34" s="61" t="n">
        <f aca="false">AS33+AS32</f>
        <v>349577.46310282</v>
      </c>
      <c r="AT34" s="61" t="n">
        <f aca="false">AT33+AT32</f>
        <v>404613.422579252</v>
      </c>
      <c r="AU34" s="61" t="n">
        <f aca="false">AU33+AU32</f>
        <v>468526.47006046</v>
      </c>
      <c r="AV34" s="61" t="n">
        <f aca="false">AV33+AV32</f>
        <v>540341.751976789</v>
      </c>
      <c r="AW34" s="61" t="n">
        <f aca="false">AW33+AW32</f>
        <v>620865.814187408</v>
      </c>
      <c r="AX34" s="61" t="n">
        <f aca="false">AX33+AX32</f>
        <v>710456.950293873</v>
      </c>
      <c r="AY34" s="61" t="n">
        <f aca="false">AY33+AY32</f>
        <v>808663.173340651</v>
      </c>
      <c r="AZ34" s="61" t="n">
        <f aca="false">AZ33+AZ32</f>
        <v>915449.189687948</v>
      </c>
      <c r="BA34" s="61" t="n">
        <f aca="false">BA33+BA32</f>
        <v>1031867.55982344</v>
      </c>
      <c r="BB34" s="59" t="n">
        <f aca="false">BN34</f>
        <v>3195853.68084787</v>
      </c>
      <c r="BC34" s="61" t="n">
        <f aca="false">BC33+BC32</f>
        <v>1209506.96489247</v>
      </c>
      <c r="BD34" s="61" t="n">
        <f aca="false">BD33+BD32</f>
        <v>1330089.88624757</v>
      </c>
      <c r="BE34" s="61" t="n">
        <f aca="false">BE33+BE32</f>
        <v>1466980.76945203</v>
      </c>
      <c r="BF34" s="61" t="n">
        <f aca="false">BF33+BF32</f>
        <v>1616787.05670163</v>
      </c>
      <c r="BG34" s="61" t="n">
        <f aca="false">BG33+BG32</f>
        <v>1777642.55528118</v>
      </c>
      <c r="BH34" s="61" t="n">
        <f aca="false">BH33+BH32</f>
        <v>1948267.73014801</v>
      </c>
      <c r="BI34" s="61" t="n">
        <f aca="false">BI33+BI32</f>
        <v>2128344.32868904</v>
      </c>
      <c r="BJ34" s="61" t="n">
        <f aca="false">BJ33+BJ32</f>
        <v>2320844.53159411</v>
      </c>
      <c r="BK34" s="61" t="n">
        <f aca="false">BK33+BK32</f>
        <v>2524390.20884418</v>
      </c>
      <c r="BL34" s="61" t="n">
        <f aca="false">BL33+BL32</f>
        <v>2737408.10593138</v>
      </c>
      <c r="BM34" s="61" t="n">
        <f aca="false">BM33+BM32</f>
        <v>2960553.42301517</v>
      </c>
      <c r="BN34" s="61" t="n">
        <f aca="false">BN33+BN32</f>
        <v>3195853.68084787</v>
      </c>
    </row>
    <row r="35" customFormat="false" ht="15" hidden="false" customHeight="false" outlineLevel="0" collapsed="false">
      <c r="A35" s="4" t="s">
        <v>1048</v>
      </c>
      <c r="B35" s="59" t="n">
        <f aca="false">N35</f>
        <v>110235.302287375</v>
      </c>
      <c r="C35" s="60" t="n">
        <f aca="false">C34-'Assumption Setting'!$C$191</f>
        <v>467291.82038835</v>
      </c>
      <c r="D35" s="60" t="n">
        <f aca="false">D34-'Assumption Setting'!$C$191</f>
        <v>423317.680179269</v>
      </c>
      <c r="E35" s="60" t="n">
        <f aca="false">E34-'Assumption Setting'!$C$191</f>
        <v>386394.868058835</v>
      </c>
      <c r="F35" s="60" t="n">
        <f aca="false">F34-'Assumption Setting'!$C$191</f>
        <v>352091.898335236</v>
      </c>
      <c r="G35" s="60" t="n">
        <f aca="false">G34-'Assumption Setting'!$C$191</f>
        <v>318706.645658798</v>
      </c>
      <c r="H35" s="60" t="n">
        <f aca="false">H34-'Assumption Setting'!$C$191</f>
        <v>286235.096913506</v>
      </c>
      <c r="I35" s="60" t="n">
        <f aca="false">I34-'Assumption Setting'!$C$191</f>
        <v>254672.094836836</v>
      </c>
      <c r="J35" s="60" t="n">
        <f aca="false">J34-'Assumption Setting'!$C$191</f>
        <v>224011.418421435</v>
      </c>
      <c r="K35" s="60" t="n">
        <f aca="false">K34-'Assumption Setting'!$C$191</f>
        <v>194245.874747794</v>
      </c>
      <c r="L35" s="60" t="n">
        <f aca="false">L34-'Assumption Setting'!$C$191</f>
        <v>165367.385063705</v>
      </c>
      <c r="M35" s="60" t="n">
        <f aca="false">M34-'Assumption Setting'!$C$191</f>
        <v>137367.065436644</v>
      </c>
      <c r="N35" s="60" t="n">
        <f aca="false">N34-'Assumption Setting'!$C$191</f>
        <v>110235.302287375</v>
      </c>
      <c r="O35" s="59" t="n">
        <f aca="false">AA35</f>
        <v>162273.564765139</v>
      </c>
      <c r="P35" s="60" t="n">
        <f aca="false">P34-'Assumption Setting'!$C$191</f>
        <v>518556.285085088</v>
      </c>
      <c r="Q35" s="60" t="n">
        <f aca="false">Q34-'Assumption Setting'!$C$191</f>
        <v>470118.384473408</v>
      </c>
      <c r="R35" s="60" t="n">
        <f aca="false">R34-'Assumption Setting'!$C$191</f>
        <v>428815.955181262</v>
      </c>
      <c r="S35" s="60" t="n">
        <f aca="false">S34-'Assumption Setting'!$C$191</f>
        <v>387984.114677419</v>
      </c>
      <c r="T35" s="60" t="n">
        <f aca="false">T34-'Assumption Setting'!$C$191</f>
        <v>350859.205453376</v>
      </c>
      <c r="U35" s="60" t="n">
        <f aca="false">U34-'Assumption Setting'!$C$191</f>
        <v>316504.078715113</v>
      </c>
      <c r="V35" s="60" t="n">
        <f aca="false">V34-'Assumption Setting'!$C$191</f>
        <v>283875.990951447</v>
      </c>
      <c r="W35" s="60" t="n">
        <f aca="false">W34-'Assumption Setting'!$C$191</f>
        <v>254348.532605057</v>
      </c>
      <c r="X35" s="60" t="n">
        <f aca="false">X34-'Assumption Setting'!$C$191</f>
        <v>227052.232029125</v>
      </c>
      <c r="Y35" s="60" t="n">
        <f aca="false">Y34-'Assumption Setting'!$C$191</f>
        <v>202597.901214976</v>
      </c>
      <c r="Z35" s="60" t="n">
        <f aca="false">Z34-'Assumption Setting'!$C$191</f>
        <v>181117.481906898</v>
      </c>
      <c r="AA35" s="60" t="n">
        <f aca="false">AA34-'Assumption Setting'!$C$191</f>
        <v>162273.564765139</v>
      </c>
      <c r="AB35" s="59" t="n">
        <f aca="false">AN35</f>
        <v>113317.945408139</v>
      </c>
      <c r="AC35" s="60" t="n">
        <f aca="false">AC34-'Assumption Setting'!$C$191</f>
        <v>142962.924829958</v>
      </c>
      <c r="AD35" s="60" t="n">
        <f aca="false">AD34-'Assumption Setting'!$C$191</f>
        <v>107922.491705552</v>
      </c>
      <c r="AE35" s="60" t="n">
        <f aca="false">AE34-'Assumption Setting'!$C$191</f>
        <v>84853.6176711795</v>
      </c>
      <c r="AF35" s="60" t="n">
        <f aca="false">AF34-'Assumption Setting'!$C$191</f>
        <v>66715.7423889215</v>
      </c>
      <c r="AG35" s="60" t="n">
        <f aca="false">AG34-'Assumption Setting'!$C$191</f>
        <v>53476.8973683292</v>
      </c>
      <c r="AH35" s="60" t="n">
        <f aca="false">AH34-'Assumption Setting'!$C$191</f>
        <v>46484.1137653905</v>
      </c>
      <c r="AI35" s="60" t="n">
        <f aca="false">AI34-'Assumption Setting'!$C$191</f>
        <v>43602.474189267</v>
      </c>
      <c r="AJ35" s="60" t="n">
        <f aca="false">AJ34-'Assumption Setting'!$C$191</f>
        <v>46749.356822797</v>
      </c>
      <c r="AK35" s="60" t="n">
        <f aca="false">AK34-'Assumption Setting'!$C$191</f>
        <v>55229.6237857729</v>
      </c>
      <c r="AL35" s="60" t="n">
        <f aca="false">AL34-'Assumption Setting'!$C$191</f>
        <v>68439.9133106296</v>
      </c>
      <c r="AM35" s="60" t="n">
        <f aca="false">AM34-'Assumption Setting'!$C$191</f>
        <v>87837.5938431968</v>
      </c>
      <c r="AN35" s="60" t="n">
        <f aca="false">AN34-'Assumption Setting'!$C$191</f>
        <v>113317.945408139</v>
      </c>
      <c r="AO35" s="59" t="n">
        <f aca="false">BA35</f>
        <v>956867.559823444</v>
      </c>
      <c r="AP35" s="60" t="n">
        <f aca="false">AP34-'Assumption Setting'!$C$191</f>
        <v>169212.666549383</v>
      </c>
      <c r="AQ35" s="60" t="n">
        <f aca="false">AQ34-'Assumption Setting'!$C$191</f>
        <v>191467.642727458</v>
      </c>
      <c r="AR35" s="60" t="n">
        <f aca="false">AR34-'Assumption Setting'!$C$191</f>
        <v>228517.28899961</v>
      </c>
      <c r="AS35" s="60" t="n">
        <f aca="false">AS34-'Assumption Setting'!$C$191</f>
        <v>274577.46310282</v>
      </c>
      <c r="AT35" s="60" t="n">
        <f aca="false">AT34-'Assumption Setting'!$C$191</f>
        <v>329613.422579252</v>
      </c>
      <c r="AU35" s="60" t="n">
        <f aca="false">AU34-'Assumption Setting'!$C$191</f>
        <v>393526.47006046</v>
      </c>
      <c r="AV35" s="60" t="n">
        <f aca="false">AV34-'Assumption Setting'!$C$191</f>
        <v>465341.751976789</v>
      </c>
      <c r="AW35" s="60" t="n">
        <f aca="false">AW34-'Assumption Setting'!$C$191</f>
        <v>545865.814187408</v>
      </c>
      <c r="AX35" s="60" t="n">
        <f aca="false">AX34-'Assumption Setting'!$C$191</f>
        <v>635456.950293873</v>
      </c>
      <c r="AY35" s="60" t="n">
        <f aca="false">AY34-'Assumption Setting'!$C$191</f>
        <v>733663.173340651</v>
      </c>
      <c r="AZ35" s="60" t="n">
        <f aca="false">AZ34-'Assumption Setting'!$C$191</f>
        <v>840449.189687948</v>
      </c>
      <c r="BA35" s="60" t="n">
        <f aca="false">BA34-'Assumption Setting'!$C$191</f>
        <v>956867.559823444</v>
      </c>
      <c r="BB35" s="59" t="n">
        <f aca="false">BN35</f>
        <v>3120853.68084787</v>
      </c>
      <c r="BC35" s="60" t="n">
        <f aca="false">BC34-'Assumption Setting'!$C$191</f>
        <v>1134506.96489247</v>
      </c>
      <c r="BD35" s="60" t="n">
        <f aca="false">BD34-'Assumption Setting'!$C$191</f>
        <v>1255089.88624757</v>
      </c>
      <c r="BE35" s="60" t="n">
        <f aca="false">BE34-'Assumption Setting'!$C$191</f>
        <v>1391980.76945203</v>
      </c>
      <c r="BF35" s="60" t="n">
        <f aca="false">BF34-'Assumption Setting'!$C$191</f>
        <v>1541787.05670163</v>
      </c>
      <c r="BG35" s="60" t="n">
        <f aca="false">BG34-'Assumption Setting'!$C$191</f>
        <v>1702642.55528118</v>
      </c>
      <c r="BH35" s="60" t="n">
        <f aca="false">BH34-'Assumption Setting'!$C$191</f>
        <v>1873267.73014801</v>
      </c>
      <c r="BI35" s="60" t="n">
        <f aca="false">BI34-'Assumption Setting'!$C$191</f>
        <v>2053344.32868904</v>
      </c>
      <c r="BJ35" s="60" t="n">
        <f aca="false">BJ34-'Assumption Setting'!$C$191</f>
        <v>2245844.53159411</v>
      </c>
      <c r="BK35" s="60" t="n">
        <f aca="false">BK34-'Assumption Setting'!$C$191</f>
        <v>2449390.20884418</v>
      </c>
      <c r="BL35" s="60" t="n">
        <f aca="false">BL34-'Assumption Setting'!$C$191</f>
        <v>2662408.10593138</v>
      </c>
      <c r="BM35" s="60" t="n">
        <f aca="false">BM34-'Assumption Setting'!$C$191</f>
        <v>2885553.42301517</v>
      </c>
      <c r="BN35" s="60" t="n">
        <f aca="false">BN34-'Assumption Setting'!$C$191</f>
        <v>3120853.68084787</v>
      </c>
    </row>
    <row r="36" customFormat="false" ht="15" hidden="false" customHeight="false" outlineLevel="0" collapsed="false">
      <c r="A36" s="4" t="s">
        <v>1049</v>
      </c>
      <c r="B36" s="59" t="n">
        <f aca="false">N36</f>
        <v>-414764.697712625</v>
      </c>
      <c r="C36" s="60" t="n">
        <f aca="false">C27+C29</f>
        <v>-57708.1796116505</v>
      </c>
      <c r="D36" s="60" t="n">
        <f aca="false">C36+D27+D29</f>
        <v>-101682.319820731</v>
      </c>
      <c r="E36" s="60" t="n">
        <f aca="false">D36+E27+E29</f>
        <v>-138605.131941165</v>
      </c>
      <c r="F36" s="60" t="n">
        <f aca="false">E36+F27+F29</f>
        <v>-172908.101664764</v>
      </c>
      <c r="G36" s="60" t="n">
        <f aca="false">F36+G27+G29</f>
        <v>-206293.354341202</v>
      </c>
      <c r="H36" s="60" t="n">
        <f aca="false">G36+H27+H29</f>
        <v>-238764.903086494</v>
      </c>
      <c r="I36" s="60" t="n">
        <f aca="false">H36+I27+I29</f>
        <v>-270327.905163164</v>
      </c>
      <c r="J36" s="60" t="n">
        <f aca="false">I36+J27+J29</f>
        <v>-300988.581578565</v>
      </c>
      <c r="K36" s="60" t="n">
        <f aca="false">J36+K27+K29</f>
        <v>-330754.125252206</v>
      </c>
      <c r="L36" s="60" t="n">
        <f aca="false">K36+L27+L29</f>
        <v>-359632.614936295</v>
      </c>
      <c r="M36" s="60" t="n">
        <f aca="false">L36+M27+M29</f>
        <v>-387632.934563356</v>
      </c>
      <c r="N36" s="60" t="n">
        <f aca="false">M36+N27+N29</f>
        <v>-414764.697712625</v>
      </c>
      <c r="O36" s="59" t="n">
        <f aca="false">AA36</f>
        <v>-812726.435234861</v>
      </c>
      <c r="P36" s="60" t="n">
        <f aca="false">N36+P27+P29</f>
        <v>-456443.714914912</v>
      </c>
      <c r="Q36" s="60" t="n">
        <f aca="false">P36+Q27+Q29</f>
        <v>-504881.615526592</v>
      </c>
      <c r="R36" s="60" t="n">
        <f aca="false">Q36+R27+R29</f>
        <v>-546184.044818738</v>
      </c>
      <c r="S36" s="60" t="n">
        <f aca="false">R36+S27+S29</f>
        <v>-587015.885322581</v>
      </c>
      <c r="T36" s="60" t="n">
        <f aca="false">S36+T27+T29</f>
        <v>-624140.794546624</v>
      </c>
      <c r="U36" s="60" t="n">
        <f aca="false">T36+U27+U29</f>
        <v>-658495.921284887</v>
      </c>
      <c r="V36" s="60" t="n">
        <f aca="false">U36+V27+V29</f>
        <v>-691124.009048553</v>
      </c>
      <c r="W36" s="60" t="n">
        <f aca="false">V36+W27+W29</f>
        <v>-720651.467394944</v>
      </c>
      <c r="X36" s="60" t="n">
        <f aca="false">W36+X27+X29</f>
        <v>-747947.767970875</v>
      </c>
      <c r="Y36" s="60" t="n">
        <f aca="false">X36+Y27+Y29</f>
        <v>-772402.098785024</v>
      </c>
      <c r="Z36" s="60" t="n">
        <f aca="false">Y36+Z27+Z29</f>
        <v>-793882.518093102</v>
      </c>
      <c r="AA36" s="60" t="n">
        <f aca="false">Z36+AA27+AA29</f>
        <v>-812726.435234861</v>
      </c>
      <c r="AB36" s="59" t="n">
        <f aca="false">AN36</f>
        <v>-861682.054591861</v>
      </c>
      <c r="AC36" s="60" t="n">
        <f aca="false">AA36+AC27+AC29</f>
        <v>-832037.075170042</v>
      </c>
      <c r="AD36" s="60" t="n">
        <f aca="false">AC36+AD27+AD29</f>
        <v>-867077.508294448</v>
      </c>
      <c r="AE36" s="60" t="n">
        <f aca="false">AD36+AE27+AE29</f>
        <v>-890146.382328821</v>
      </c>
      <c r="AF36" s="60" t="n">
        <f aca="false">AE36+AF27+AF29</f>
        <v>-908284.257611079</v>
      </c>
      <c r="AG36" s="60" t="n">
        <f aca="false">AF36+AG27+AG29</f>
        <v>-921523.102631671</v>
      </c>
      <c r="AH36" s="60" t="n">
        <f aca="false">AG36+AH27+AH29</f>
        <v>-928515.88623461</v>
      </c>
      <c r="AI36" s="60" t="n">
        <f aca="false">AH36+AI27+AI29</f>
        <v>-931397.525810733</v>
      </c>
      <c r="AJ36" s="60" t="n">
        <f aca="false">AI36+AJ27+AJ29</f>
        <v>-928250.643177203</v>
      </c>
      <c r="AK36" s="60" t="n">
        <f aca="false">AJ36+AK27+AK29</f>
        <v>-919770.376214227</v>
      </c>
      <c r="AL36" s="60" t="n">
        <f aca="false">AK36+AL27+AL29</f>
        <v>-906560.086689371</v>
      </c>
      <c r="AM36" s="60" t="n">
        <f aca="false">AL36+AM27+AM29</f>
        <v>-887162.406156803</v>
      </c>
      <c r="AN36" s="60" t="n">
        <f aca="false">AM36+AN27+AN29</f>
        <v>-861682.054591861</v>
      </c>
      <c r="AO36" s="59" t="n">
        <f aca="false">BA36</f>
        <v>-18132.4401765559</v>
      </c>
      <c r="AP36" s="60" t="n">
        <f aca="false">AN36+AP27+AP29</f>
        <v>-805787.333450617</v>
      </c>
      <c r="AQ36" s="60" t="n">
        <f aca="false">AP36+AQ27+AQ29</f>
        <v>-783532.357272543</v>
      </c>
      <c r="AR36" s="60" t="n">
        <f aca="false">AQ36+AR27+AR29</f>
        <v>-746482.711000391</v>
      </c>
      <c r="AS36" s="60" t="n">
        <f aca="false">AR36+AS27+AS29</f>
        <v>-700422.53689718</v>
      </c>
      <c r="AT36" s="60" t="n">
        <f aca="false">AS36+AT27+AT29</f>
        <v>-645386.577420748</v>
      </c>
      <c r="AU36" s="60" t="n">
        <f aca="false">AT36+AU27+AU29</f>
        <v>-581473.52993954</v>
      </c>
      <c r="AV36" s="60" t="n">
        <f aca="false">AU36+AV27+AV29</f>
        <v>-509658.248023211</v>
      </c>
      <c r="AW36" s="60" t="n">
        <f aca="false">AV36+AW27+AW29</f>
        <v>-429134.185812592</v>
      </c>
      <c r="AX36" s="60" t="n">
        <f aca="false">AW36+AX27+AX29</f>
        <v>-339543.049706127</v>
      </c>
      <c r="AY36" s="60" t="n">
        <f aca="false">AX36+AY27+AY29</f>
        <v>-241336.826659349</v>
      </c>
      <c r="AZ36" s="60" t="n">
        <f aca="false">AY36+AZ27+AZ29</f>
        <v>-134550.810312052</v>
      </c>
      <c r="BA36" s="60" t="n">
        <f aca="false">AZ36+BA27+BA29</f>
        <v>-18132.4401765559</v>
      </c>
      <c r="BB36" s="59" t="n">
        <f aca="false">BN36</f>
        <v>2145853.68084787</v>
      </c>
      <c r="BC36" s="60" t="n">
        <f aca="false">BA36+BC27+BC29</f>
        <v>159506.964892469</v>
      </c>
      <c r="BD36" s="60" t="n">
        <f aca="false">BC36+BD27+BD29</f>
        <v>280089.886247573</v>
      </c>
      <c r="BE36" s="60" t="n">
        <f aca="false">BD36+BE27+BE29</f>
        <v>416980.769452028</v>
      </c>
      <c r="BF36" s="60" t="n">
        <f aca="false">BE36+BF27+BF29</f>
        <v>566787.056701634</v>
      </c>
      <c r="BG36" s="60" t="n">
        <f aca="false">BF36+BG27+BG29</f>
        <v>727642.555281177</v>
      </c>
      <c r="BH36" s="60" t="n">
        <f aca="false">BG36+BH27+BH29</f>
        <v>898267.730148007</v>
      </c>
      <c r="BI36" s="60" t="n">
        <f aca="false">BH36+BI27+BI29</f>
        <v>1078344.32868904</v>
      </c>
      <c r="BJ36" s="60" t="n">
        <f aca="false">BI36+BJ27+BJ29</f>
        <v>1270844.53159411</v>
      </c>
      <c r="BK36" s="60" t="n">
        <f aca="false">BJ36+BK27+BK29</f>
        <v>1474390.20884418</v>
      </c>
      <c r="BL36" s="60" t="n">
        <f aca="false">BK36+BL27+BL29</f>
        <v>1687408.10593138</v>
      </c>
      <c r="BM36" s="60" t="n">
        <f aca="false">BL36+BM27+BM29</f>
        <v>1910553.42301517</v>
      </c>
      <c r="BN36" s="60" t="n">
        <f aca="false">BM36+BN27+BN29</f>
        <v>2145853.68084787</v>
      </c>
    </row>
    <row r="38" customFormat="false" ht="15" hidden="false" customHeight="false" outlineLevel="0" collapsed="false">
      <c r="A38" s="9" t="s">
        <v>1050</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row>
    <row r="39" customFormat="false" ht="15" hidden="false" customHeight="false" outlineLevel="0" collapsed="false">
      <c r="A39" s="11" t="s">
        <v>632</v>
      </c>
      <c r="B39" s="12"/>
      <c r="C39" s="12" t="s">
        <v>87</v>
      </c>
      <c r="D39" s="12" t="s">
        <v>88</v>
      </c>
      <c r="E39" s="12" t="s">
        <v>89</v>
      </c>
      <c r="F39" s="12" t="s">
        <v>90</v>
      </c>
      <c r="G39" s="12" t="s">
        <v>91</v>
      </c>
    </row>
    <row r="40" customFormat="false" ht="15" hidden="false" customHeight="false" outlineLevel="0" collapsed="false">
      <c r="A40" s="4" t="s">
        <v>1011</v>
      </c>
      <c r="C40" s="101" t="n">
        <f aca="false">B8</f>
        <v>-429039.208528148</v>
      </c>
      <c r="D40" s="101" t="n">
        <f aca="false">O8</f>
        <v>-471650.564982522</v>
      </c>
      <c r="E40" s="101" t="n">
        <f aca="false">AB8</f>
        <v>-205902.530447472</v>
      </c>
      <c r="F40" s="101" t="n">
        <f aca="false">AO8</f>
        <v>586091.550467075</v>
      </c>
      <c r="G40" s="101" t="n">
        <f aca="false">BB8</f>
        <v>1518916.52261919</v>
      </c>
    </row>
    <row r="41" customFormat="false" ht="15" hidden="false" customHeight="false" outlineLevel="0" collapsed="false">
      <c r="A41" s="4" t="s">
        <v>946</v>
      </c>
      <c r="C41" s="101" t="n">
        <f aca="false">B9</f>
        <v>25401.4392748638</v>
      </c>
      <c r="D41" s="101" t="n">
        <f aca="false">O9</f>
        <v>30819.2286130826</v>
      </c>
      <c r="E41" s="101" t="n">
        <f aca="false">AB9</f>
        <v>37448.3798662964</v>
      </c>
      <c r="F41" s="101" t="n">
        <f aca="false">AO9</f>
        <v>32750.708054406</v>
      </c>
      <c r="G41" s="101" t="n">
        <f aca="false">BB9</f>
        <v>35226.7498718484</v>
      </c>
    </row>
    <row r="42" customFormat="false" ht="15" hidden="false" customHeight="false" outlineLevel="0" collapsed="false">
      <c r="A42" s="4" t="s">
        <v>1035</v>
      </c>
      <c r="C42" s="101" t="n">
        <f aca="false">B22</f>
        <v>-2236.58311352374</v>
      </c>
      <c r="D42" s="101" t="n">
        <f aca="false">O22</f>
        <v>-7878.34113328631</v>
      </c>
      <c r="E42" s="101" t="n">
        <f aca="false">AB22</f>
        <v>-17961.0881689699</v>
      </c>
      <c r="F42" s="101" t="n">
        <f aca="false">AO22</f>
        <v>-30778.8538420469</v>
      </c>
      <c r="G42" s="101" t="n">
        <f aca="false">BB22</f>
        <v>-40824.880474534</v>
      </c>
    </row>
    <row r="43" customFormat="false" ht="15" hidden="false" customHeight="false" outlineLevel="0" collapsed="false">
      <c r="A43" s="4" t="s">
        <v>1036</v>
      </c>
      <c r="C43" s="101" t="n">
        <f aca="false">B23</f>
        <v>19180.9089591992</v>
      </c>
      <c r="D43" s="101" t="n">
        <f aca="false">O23</f>
        <v>21733.8880552084</v>
      </c>
      <c r="E43" s="101" t="n">
        <f aca="false">AB23</f>
        <v>36366.4175795507</v>
      </c>
      <c r="F43" s="101" t="n">
        <f aca="false">AO23</f>
        <v>51412.3259262808</v>
      </c>
      <c r="G43" s="101" t="n">
        <f aca="false">BB23</f>
        <v>64335.5628495773</v>
      </c>
    </row>
    <row r="44" customFormat="false" ht="15" hidden="false" customHeight="false" outlineLevel="0" collapsed="false">
      <c r="A44" s="4" t="s">
        <v>1037</v>
      </c>
      <c r="C44" s="101" t="n">
        <f aca="false">B24</f>
        <v>8258.49632519262</v>
      </c>
      <c r="D44" s="101" t="n">
        <f aca="false">O24</f>
        <v>5043.47508122005</v>
      </c>
      <c r="E44" s="101" t="n">
        <f aca="false">AB24</f>
        <v>6072.35104042553</v>
      </c>
      <c r="F44" s="101" t="n">
        <f aca="false">AO24</f>
        <v>7227.93779057949</v>
      </c>
      <c r="G44" s="101" t="n">
        <f aca="false">BB24</f>
        <v>10138.6227952056</v>
      </c>
    </row>
    <row r="45" customFormat="false" ht="15" hidden="false" customHeight="false" outlineLevel="0" collapsed="false">
      <c r="A45" s="4" t="s">
        <v>1038</v>
      </c>
      <c r="C45" s="101" t="n">
        <f aca="false">B25</f>
        <v>9849.41134182491</v>
      </c>
      <c r="D45" s="101" t="n">
        <f aca="false">O25</f>
        <v>42956.7922165457</v>
      </c>
      <c r="E45" s="101" t="n">
        <f aca="false">AB25</f>
        <v>115324.822618956</v>
      </c>
      <c r="F45" s="101" t="n">
        <f aca="false">AO25</f>
        <v>218735.722400362</v>
      </c>
      <c r="G45" s="101" t="n">
        <f aca="false">BB25</f>
        <v>313179.32409207</v>
      </c>
    </row>
    <row r="46" customFormat="false" ht="15" hidden="false" customHeight="false" outlineLevel="0" collapsed="false">
      <c r="A46" s="4" t="s">
        <v>1039</v>
      </c>
      <c r="C46" s="101" t="n">
        <f aca="false">B26</f>
        <v>0</v>
      </c>
      <c r="D46" s="101" t="n">
        <f aca="false">O26</f>
        <v>0</v>
      </c>
      <c r="E46" s="101" t="n">
        <f aca="false">AB26</f>
        <v>0</v>
      </c>
      <c r="F46" s="101" t="n">
        <f aca="false">AO26</f>
        <v>0</v>
      </c>
      <c r="G46" s="101" t="n">
        <f aca="false">BB26</f>
        <v>289862.6426501</v>
      </c>
    </row>
    <row r="47" customFormat="false" ht="15" hidden="false" customHeight="false" outlineLevel="0" collapsed="false">
      <c r="A47" s="13" t="s">
        <v>1040</v>
      </c>
      <c r="C47" s="100" t="n">
        <f aca="false">B27</f>
        <v>-368585.535740591</v>
      </c>
      <c r="D47" s="100" t="n">
        <f aca="false">O27</f>
        <v>-378975.522149752</v>
      </c>
      <c r="E47" s="100" t="n">
        <f aca="false">AB27</f>
        <v>-28651.6475112132</v>
      </c>
      <c r="F47" s="100" t="n">
        <f aca="false">AO27</f>
        <v>865439.390796656</v>
      </c>
      <c r="G47" s="100" t="n">
        <f aca="false">BB27</f>
        <v>2190834.54440346</v>
      </c>
    </row>
    <row r="48" customFormat="false" ht="15" hidden="false" customHeight="false" outlineLevel="0" collapsed="false">
      <c r="A48" s="13" t="s">
        <v>1042</v>
      </c>
      <c r="C48" s="100" t="n">
        <f aca="false">B29</f>
        <v>-46179.161972034</v>
      </c>
      <c r="D48" s="100" t="n">
        <f aca="false">O29</f>
        <v>-18986.2153724843</v>
      </c>
      <c r="E48" s="100" t="n">
        <f aca="false">AB29</f>
        <v>-20303.9718457872</v>
      </c>
      <c r="F48" s="100" t="n">
        <f aca="false">AO29</f>
        <v>-21889.7763813505</v>
      </c>
      <c r="G48" s="100" t="n">
        <f aca="false">BB29</f>
        <v>-26848.4233790335</v>
      </c>
    </row>
    <row r="49" customFormat="false" ht="15" hidden="false" customHeight="false" outlineLevel="0" collapsed="false">
      <c r="A49" s="13" t="s">
        <v>1044</v>
      </c>
      <c r="C49" s="100" t="n">
        <f aca="false">B31</f>
        <v>600000</v>
      </c>
      <c r="D49" s="100" t="n">
        <f aca="false">O31</f>
        <v>450000</v>
      </c>
      <c r="E49" s="100" t="n">
        <f aca="false">AB31</f>
        <v>0</v>
      </c>
      <c r="F49" s="100" t="n">
        <f aca="false">AO31</f>
        <v>0</v>
      </c>
      <c r="G49" s="100" t="n">
        <f aca="false">BB31</f>
        <v>0</v>
      </c>
    </row>
    <row r="50" customFormat="false" ht="15" hidden="false" customHeight="false" outlineLevel="0" collapsed="false">
      <c r="A50" s="13" t="s">
        <v>1045</v>
      </c>
      <c r="C50" s="100" t="n">
        <f aca="false">B32</f>
        <v>185235.302287375</v>
      </c>
      <c r="D50" s="100" t="n">
        <f aca="false">O32</f>
        <v>52038.2624777642</v>
      </c>
      <c r="E50" s="100" t="n">
        <f aca="false">AB32</f>
        <v>-48955.6193570004</v>
      </c>
      <c r="F50" s="100" t="n">
        <f aca="false">AO32</f>
        <v>843549.614415305</v>
      </c>
      <c r="G50" s="100" t="n">
        <f aca="false">BB32</f>
        <v>2163986.12102442</v>
      </c>
    </row>
    <row r="51" customFormat="false" ht="15" hidden="false" customHeight="false" outlineLevel="0" collapsed="false">
      <c r="A51" s="13" t="s">
        <v>1051</v>
      </c>
      <c r="C51" s="100" t="n">
        <f aca="false">B34</f>
        <v>185235.302287375</v>
      </c>
      <c r="D51" s="100" t="n">
        <f aca="false">O34</f>
        <v>237273.564765139</v>
      </c>
      <c r="E51" s="100" t="n">
        <f aca="false">AB34</f>
        <v>188317.945408139</v>
      </c>
      <c r="F51" s="100" t="n">
        <f aca="false">AO34</f>
        <v>1031867.55982344</v>
      </c>
      <c r="G51" s="100" t="n">
        <f aca="false">BB34</f>
        <v>3195853.68084787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4"/>
    <col collapsed="false" customWidth="true" hidden="false" outlineLevel="0" max="8" min="3" style="0" width="17"/>
  </cols>
  <sheetData>
    <row r="1" customFormat="false" ht="18.55" hidden="false" customHeight="false" outlineLevel="0" collapsed="false">
      <c r="A1" s="7" t="s">
        <v>970</v>
      </c>
    </row>
    <row r="2" customFormat="false" ht="15" hidden="false" customHeight="false" outlineLevel="0" collapsed="false">
      <c r="A2" s="8" t="s">
        <v>1052</v>
      </c>
    </row>
    <row r="4" customFormat="false" ht="15" hidden="false" customHeight="false" outlineLevel="0" collapsed="false">
      <c r="A4" s="9" t="s">
        <v>1053</v>
      </c>
      <c r="B4" s="10"/>
      <c r="C4" s="10"/>
      <c r="D4" s="10"/>
      <c r="E4" s="10"/>
      <c r="F4" s="10"/>
      <c r="G4" s="10"/>
    </row>
    <row r="5" customFormat="false" ht="15" hidden="false" customHeight="false" outlineLevel="0" collapsed="false">
      <c r="A5" s="11" t="s">
        <v>632</v>
      </c>
      <c r="B5" s="12"/>
      <c r="C5" s="12" t="s">
        <v>87</v>
      </c>
      <c r="D5" s="12" t="s">
        <v>88</v>
      </c>
      <c r="E5" s="12" t="s">
        <v>89</v>
      </c>
      <c r="F5" s="12" t="s">
        <v>90</v>
      </c>
      <c r="G5" s="12" t="s">
        <v>91</v>
      </c>
    </row>
    <row r="6" customFormat="false" ht="15" hidden="false" customHeight="false" outlineLevel="0" collapsed="false">
      <c r="A6" s="13" t="s">
        <v>92</v>
      </c>
      <c r="C6" s="14" t="n">
        <f aca="false">'Income Statement'!C6</f>
        <v>68602.0541359569</v>
      </c>
      <c r="D6" s="14" t="n">
        <f aca="false">'Income Statement'!D6</f>
        <v>391860.50917285</v>
      </c>
      <c r="E6" s="14" t="n">
        <f aca="false">'Income Statement'!E6</f>
        <v>1221612.70310048</v>
      </c>
      <c r="F6" s="14" t="n">
        <f aca="false">'Income Statement'!F6</f>
        <v>2763830.19278589</v>
      </c>
      <c r="G6" s="14" t="n">
        <f aca="false">'Income Statement'!G6</f>
        <v>4998712.11121331</v>
      </c>
    </row>
    <row r="7" customFormat="false" ht="15" hidden="false" customHeight="false" outlineLevel="0" collapsed="false">
      <c r="A7" s="4" t="s">
        <v>1054</v>
      </c>
      <c r="C7" s="97" t="n">
        <f aca="false">0</f>
        <v>0</v>
      </c>
      <c r="D7" s="97" t="n">
        <f aca="false">IFERROR(D6/C6-1,0)</f>
        <v>4.71208127961086</v>
      </c>
      <c r="E7" s="97" t="n">
        <f aca="false">IFERROR(E6/D6-1,0)</f>
        <v>2.11746826869362</v>
      </c>
      <c r="F7" s="97" t="n">
        <f aca="false">IFERROR(F6/E6-1,0)</f>
        <v>1.26244388730669</v>
      </c>
      <c r="G7" s="97" t="n">
        <f aca="false">IFERROR(G6/F6-1,0)</f>
        <v>0.808617665535629</v>
      </c>
    </row>
    <row r="8" customFormat="false" ht="15" hidden="false" customHeight="false" outlineLevel="0" collapsed="false">
      <c r="A8" s="4" t="s">
        <v>819</v>
      </c>
      <c r="C8" s="16" t="n">
        <f aca="false">'Total Revenue'!B24</f>
        <v>0.753027716234016</v>
      </c>
      <c r="D8" s="16" t="n">
        <f aca="false">'Total Revenue'!O24</f>
        <v>0.718935005646797</v>
      </c>
      <c r="E8" s="16" t="n">
        <f aca="false">'Total Revenue'!AB24</f>
        <v>0.688344292997599</v>
      </c>
      <c r="F8" s="16" t="n">
        <f aca="false">'Total Revenue'!AO24</f>
        <v>0.675117000585504</v>
      </c>
      <c r="G8" s="16" t="n">
        <f aca="false">'Total Revenue'!BB24</f>
        <v>0.66705509116086</v>
      </c>
    </row>
    <row r="9" customFormat="false" ht="15" hidden="false" customHeight="false" outlineLevel="0" collapsed="false">
      <c r="A9" s="4" t="s">
        <v>820</v>
      </c>
      <c r="C9" s="16" t="n">
        <f aca="false">'Total Revenue'!B25</f>
        <v>0.214880267051113</v>
      </c>
      <c r="D9" s="16" t="n">
        <f aca="false">'Total Revenue'!O25</f>
        <v>0.259690064139542</v>
      </c>
      <c r="E9" s="16" t="n">
        <f aca="false">'Total Revenue'!AB25</f>
        <v>0.295018246802812</v>
      </c>
      <c r="F9" s="16" t="n">
        <f aca="false">'Total Revenue'!AO25</f>
        <v>0.311969530191667</v>
      </c>
      <c r="G9" s="16" t="n">
        <f aca="false">'Total Revenue'!BB25</f>
        <v>0.32286210552074</v>
      </c>
    </row>
    <row r="10" customFormat="false" ht="15" hidden="false" customHeight="false" outlineLevel="0" collapsed="false">
      <c r="A10" s="4" t="s">
        <v>1055</v>
      </c>
      <c r="C10" s="17" t="n">
        <f aca="false">Acquisitions!B62</f>
        <v>13672.2890909091</v>
      </c>
      <c r="D10" s="17" t="n">
        <f aca="false">Acquisitions!O62</f>
        <v>28795.7851239669</v>
      </c>
      <c r="E10" s="17" t="n">
        <f aca="false">Acquisitions!AB62</f>
        <v>45597.2081141998</v>
      </c>
      <c r="F10" s="17" t="n">
        <f aca="false">Acquisitions!AO62</f>
        <v>59215.1104432757</v>
      </c>
      <c r="G10" s="17" t="n">
        <f aca="false">Acquisitions!BB62</f>
        <v>70362.8611309461</v>
      </c>
    </row>
    <row r="11" customFormat="false" ht="15" hidden="false" customHeight="false" outlineLevel="0" collapsed="false">
      <c r="A11" s="4" t="s">
        <v>102</v>
      </c>
      <c r="C11" s="17" t="n">
        <f aca="false">Acquisitions!B96</f>
        <v>4207.44828098026</v>
      </c>
      <c r="D11" s="17" t="n">
        <f aca="false">Acquisitions!O96</f>
        <v>12270.0003479118</v>
      </c>
      <c r="E11" s="17" t="n">
        <f aca="false">Acquisitions!AB96</f>
        <v>24195.605955022</v>
      </c>
      <c r="F11" s="17" t="n">
        <f aca="false">Acquisitions!AO96</f>
        <v>37855.2971356931</v>
      </c>
      <c r="G11" s="17" t="n">
        <f aca="false">Acquisitions!BB96</f>
        <v>52258.0359207724</v>
      </c>
    </row>
    <row r="12" customFormat="false" ht="15" hidden="false" customHeight="false" outlineLevel="0" collapsed="false">
      <c r="A12" s="4" t="s">
        <v>1056</v>
      </c>
      <c r="C12" s="17" t="n">
        <f aca="false">Acquisitions!B104</f>
        <v>232.376419447667</v>
      </c>
      <c r="D12" s="17" t="n">
        <f aca="false">Acquisitions!O104</f>
        <v>861.723888592968</v>
      </c>
      <c r="E12" s="17" t="n">
        <f aca="false">Acquisitions!AB104</f>
        <v>2070.15749875142</v>
      </c>
      <c r="F12" s="17" t="n">
        <f aca="false">Acquisitions!AO104</f>
        <v>3889.17687920293</v>
      </c>
      <c r="G12" s="17" t="n">
        <f aca="false">Acquisitions!BB104</f>
        <v>5975.45127761779</v>
      </c>
    </row>
    <row r="13" customFormat="false" ht="15" hidden="false" customHeight="false" outlineLevel="0" collapsed="false">
      <c r="A13" s="4" t="s">
        <v>1057</v>
      </c>
      <c r="C13" s="17" t="n">
        <f aca="false">Acquisitions!B113</f>
        <v>85.0172145134758</v>
      </c>
      <c r="D13" s="17" t="n">
        <f aca="false">Acquisitions!O113</f>
        <v>361.580850836312</v>
      </c>
      <c r="E13" s="17" t="n">
        <f aca="false">Acquisitions!AB113</f>
        <v>983.936774968212</v>
      </c>
      <c r="F13" s="17" t="n">
        <f aca="false">Acquisitions!AO113</f>
        <v>2032.83935826564</v>
      </c>
      <c r="G13" s="17" t="n">
        <f aca="false">Acquisitions!BB113</f>
        <v>3432.46844879554</v>
      </c>
    </row>
    <row r="14" customFormat="false" ht="15" hidden="false" customHeight="false" outlineLevel="0" collapsed="false">
      <c r="A14" s="4" t="s">
        <v>1058</v>
      </c>
      <c r="C14" s="25" t="n">
        <f aca="false">Acquisitions!B119</f>
        <v>2.50154276263451</v>
      </c>
      <c r="D14" s="25" t="n">
        <f aca="false">Acquisitions!O119</f>
        <v>11.4975148650156</v>
      </c>
      <c r="E14" s="25" t="n">
        <f aca="false">Acquisitions!AB119</f>
        <v>35.8348381156869</v>
      </c>
      <c r="F14" s="25" t="n">
        <f aca="false">Acquisitions!AO119</f>
        <v>82.4011806770743</v>
      </c>
      <c r="G14" s="25" t="n">
        <f aca="false">Acquisitions!BB119</f>
        <v>159.595624252692</v>
      </c>
    </row>
    <row r="15" customFormat="false" ht="15" hidden="false" customHeight="false" outlineLevel="0" collapsed="false">
      <c r="A15" s="13" t="s">
        <v>101</v>
      </c>
      <c r="C15" s="102" t="n">
        <f aca="false">Acquisitions!B124</f>
        <v>319.895176723777</v>
      </c>
      <c r="D15" s="102" t="n">
        <f aca="false">Acquisitions!O124</f>
        <v>1234.8022542943</v>
      </c>
      <c r="E15" s="102" t="n">
        <f aca="false">Acquisitions!AB124</f>
        <v>3089.92911183532</v>
      </c>
      <c r="F15" s="102" t="n">
        <f aca="false">Acquisitions!AO124</f>
        <v>6004.41741814565</v>
      </c>
      <c r="G15" s="102" t="n">
        <f aca="false">Acquisitions!BB124</f>
        <v>9567.51535066602</v>
      </c>
    </row>
    <row r="16" customFormat="false" ht="15" hidden="false" customHeight="false" outlineLevel="0" collapsed="false">
      <c r="A16" s="4" t="s">
        <v>1059</v>
      </c>
      <c r="C16" s="17" t="n">
        <f aca="false">Acquisitions!B127</f>
        <v>398.245534054187</v>
      </c>
      <c r="D16" s="17" t="n">
        <f aca="false">Acquisitions!O127</f>
        <v>1251.23005448979</v>
      </c>
      <c r="E16" s="17" t="n">
        <f aca="false">Acquisitions!AB127</f>
        <v>2685.2248335952</v>
      </c>
      <c r="F16" s="17" t="n">
        <f aca="false">Acquisitions!AO127</f>
        <v>4487.19801778642</v>
      </c>
      <c r="G16" s="17" t="n">
        <f aca="false">Acquisitions!BB127</f>
        <v>6005.14078415346</v>
      </c>
    </row>
    <row r="17" customFormat="false" ht="15" hidden="false" customHeight="false" outlineLevel="0" collapsed="false">
      <c r="A17" s="4" t="s">
        <v>100</v>
      </c>
      <c r="C17" s="17" t="n">
        <f aca="false">Payroll!B73</f>
        <v>24</v>
      </c>
      <c r="D17" s="17" t="n">
        <f aca="false">Payroll!O73</f>
        <v>40</v>
      </c>
      <c r="E17" s="17" t="n">
        <f aca="false">Payroll!AB73</f>
        <v>60</v>
      </c>
      <c r="F17" s="17" t="n">
        <f aca="false">Payroll!AO73</f>
        <v>84</v>
      </c>
      <c r="G17" s="17" t="n">
        <f aca="false">Payroll!BB73</f>
        <v>115</v>
      </c>
    </row>
    <row r="18" customFormat="false" ht="15" hidden="false" customHeight="false" outlineLevel="0" collapsed="false">
      <c r="A18" s="4" t="s">
        <v>1060</v>
      </c>
      <c r="C18" s="99" t="n">
        <f aca="false">IFERROR(C6/C17,0)</f>
        <v>2858.41892233154</v>
      </c>
      <c r="D18" s="99" t="n">
        <f aca="false">IFERROR(D6/D17,0)</f>
        <v>9796.51272932125</v>
      </c>
      <c r="E18" s="99" t="n">
        <f aca="false">IFERROR(E6/E17,0)</f>
        <v>20360.2117183414</v>
      </c>
      <c r="F18" s="99" t="n">
        <f aca="false">IFERROR(F6/F17,0)</f>
        <v>32902.7403903082</v>
      </c>
      <c r="G18" s="99" t="n">
        <f aca="false">IFERROR(G6/G17,0)</f>
        <v>43467.0618366375</v>
      </c>
    </row>
    <row r="19" customFormat="false" ht="15" hidden="false" customHeight="false" outlineLevel="0" collapsed="false">
      <c r="A19" s="4" t="s">
        <v>1061</v>
      </c>
      <c r="C19" s="15" t="n">
        <f aca="false">'Total Revenue'!B22</f>
        <v>8954.01031074991</v>
      </c>
      <c r="D19" s="15" t="n">
        <f aca="false">'Total Revenue'!O22</f>
        <v>36927.4150757836</v>
      </c>
      <c r="E19" s="15" t="n">
        <f aca="false">'Total Revenue'!AB22</f>
        <v>98610.5725380212</v>
      </c>
      <c r="F19" s="15" t="n">
        <f aca="false">'Total Revenue'!AO22</f>
        <v>200969.739520877</v>
      </c>
      <c r="G19" s="15" t="n">
        <f aca="false">'Total Revenue'!BB22</f>
        <v>334950.274004669</v>
      </c>
    </row>
    <row r="20" customFormat="false" ht="15" hidden="false" customHeight="false" outlineLevel="0" collapsed="false">
      <c r="A20" s="4" t="s">
        <v>1062</v>
      </c>
      <c r="C20" s="15" t="n">
        <f aca="false">'Total Revenue'!B23</f>
        <v>107448.123728999</v>
      </c>
      <c r="D20" s="15" t="n">
        <f aca="false">'Total Revenue'!O23</f>
        <v>443128.980909404</v>
      </c>
      <c r="E20" s="15" t="n">
        <f aca="false">'Total Revenue'!AB23</f>
        <v>1183326.87045625</v>
      </c>
      <c r="F20" s="15" t="n">
        <f aca="false">'Total Revenue'!AO23</f>
        <v>2411636.87425052</v>
      </c>
      <c r="G20" s="15" t="n">
        <f aca="false">'Total Revenue'!BB23</f>
        <v>4019403.28805602</v>
      </c>
    </row>
    <row r="21" customFormat="false" ht="15" hidden="false" customHeight="false" outlineLevel="0" collapsed="false">
      <c r="A21" s="4" t="s">
        <v>783</v>
      </c>
      <c r="C21" s="15" t="n">
        <f aca="false">'Revenue Streams'!B46</f>
        <v>1105450.24944591</v>
      </c>
      <c r="D21" s="15" t="n">
        <f aca="false">'Revenue Streams'!O46</f>
        <v>6826394.17333881</v>
      </c>
      <c r="E21" s="15" t="n">
        <f aca="false">'Revenue Streams'!AB46</f>
        <v>22838228.0202932</v>
      </c>
      <c r="F21" s="15" t="n">
        <f aca="false">'Revenue Streams'!AO46</f>
        <v>55358175.4523991</v>
      </c>
      <c r="G21" s="15" t="n">
        <f aca="false">'Revenue Streams'!BB46</f>
        <v>105639800.653294</v>
      </c>
    </row>
    <row r="23" customFormat="false" ht="15" hidden="false" customHeight="false" outlineLevel="0" collapsed="false">
      <c r="A23" s="9" t="s">
        <v>1063</v>
      </c>
      <c r="B23" s="10"/>
      <c r="C23" s="10"/>
      <c r="D23" s="10"/>
      <c r="E23" s="10"/>
      <c r="F23" s="10"/>
      <c r="G23" s="10"/>
    </row>
    <row r="24" customFormat="false" ht="15" hidden="false" customHeight="false" outlineLevel="0" collapsed="false">
      <c r="A24" s="11" t="s">
        <v>632</v>
      </c>
      <c r="B24" s="12"/>
      <c r="C24" s="12" t="s">
        <v>87</v>
      </c>
      <c r="D24" s="12" t="s">
        <v>88</v>
      </c>
      <c r="E24" s="12" t="s">
        <v>89</v>
      </c>
      <c r="F24" s="12" t="s">
        <v>90</v>
      </c>
      <c r="G24" s="12" t="s">
        <v>91</v>
      </c>
    </row>
    <row r="25" customFormat="false" ht="15" hidden="false" customHeight="false" outlineLevel="0" collapsed="false">
      <c r="A25" s="4" t="s">
        <v>93</v>
      </c>
      <c r="C25" s="15" t="n">
        <f aca="false">'Income Statement'!C14</f>
        <v>52349.6110245031</v>
      </c>
      <c r="D25" s="15" t="n">
        <f aca="false">'Income Statement'!D14</f>
        <v>311491.045936843</v>
      </c>
      <c r="E25" s="15" t="n">
        <f aca="false">'Income Statement'!E14</f>
        <v>993713.535906895</v>
      </c>
      <c r="F25" s="15" t="n">
        <f aca="false">'Income Statement'!F14</f>
        <v>2279092.20561036</v>
      </c>
      <c r="G25" s="15" t="n">
        <f aca="false">'Income Statement'!G14</f>
        <v>4154745.47011083</v>
      </c>
    </row>
    <row r="26" customFormat="false" ht="15" hidden="false" customHeight="false" outlineLevel="0" collapsed="false">
      <c r="A26" s="4" t="s">
        <v>94</v>
      </c>
      <c r="C26" s="97" t="n">
        <f aca="false">IFERROR(C25/C6,0)</f>
        <v>0.76309101358329</v>
      </c>
      <c r="D26" s="97" t="n">
        <f aca="false">IFERROR(D25/D6,0)</f>
        <v>0.794902876521921</v>
      </c>
      <c r="E26" s="97" t="n">
        <f aca="false">IFERROR(E25/E6,0)</f>
        <v>0.813444010024474</v>
      </c>
      <c r="F26" s="97" t="n">
        <f aca="false">IFERROR(F25/F6,0)</f>
        <v>0.824613687034468</v>
      </c>
      <c r="G26" s="97" t="n">
        <f aca="false">IFERROR(G25/G6,0)</f>
        <v>0.83116318317087</v>
      </c>
    </row>
    <row r="27" customFormat="false" ht="15" hidden="false" customHeight="false" outlineLevel="0" collapsed="false">
      <c r="A27" s="13" t="s">
        <v>95</v>
      </c>
      <c r="C27" s="14" t="n">
        <f aca="false">'Income Statement'!C43</f>
        <v>-403637.769253284</v>
      </c>
      <c r="D27" s="14" t="n">
        <f aca="false">'Income Statement'!D43</f>
        <v>-440831.336369439</v>
      </c>
      <c r="E27" s="14" t="n">
        <f aca="false">'Income Statement'!E43</f>
        <v>-168454.150581175</v>
      </c>
      <c r="F27" s="14" t="n">
        <f aca="false">'Income Statement'!F43</f>
        <v>618842.258521481</v>
      </c>
      <c r="G27" s="14" t="n">
        <f aca="false">'Income Statement'!G43</f>
        <v>1844005.91514114</v>
      </c>
    </row>
    <row r="28" customFormat="false" ht="15" hidden="false" customHeight="false" outlineLevel="0" collapsed="false">
      <c r="A28" s="4" t="s">
        <v>1005</v>
      </c>
      <c r="C28" s="97" t="n">
        <f aca="false">IFERROR(C27/C6,0)</f>
        <v>-5.88375631512938</v>
      </c>
      <c r="D28" s="97" t="n">
        <f aca="false">IFERROR(D27/D6,0)</f>
        <v>-1.12497004941875</v>
      </c>
      <c r="E28" s="97" t="n">
        <f aca="false">IFERROR(E27/E6,0)</f>
        <v>-0.137894891035133</v>
      </c>
      <c r="F28" s="97" t="n">
        <f aca="false">IFERROR(F27/F6,0)</f>
        <v>0.22390748177539</v>
      </c>
      <c r="G28" s="97" t="n">
        <f aca="false">IFERROR(G27/G6,0)</f>
        <v>0.368896202484755</v>
      </c>
    </row>
    <row r="29" customFormat="false" ht="15" hidden="false" customHeight="false" outlineLevel="0" collapsed="false">
      <c r="A29" s="4" t="s">
        <v>96</v>
      </c>
      <c r="C29" s="15" t="n">
        <f aca="false">'Income Statement'!C53</f>
        <v>-429039.208528148</v>
      </c>
      <c r="D29" s="15" t="n">
        <f aca="false">'Income Statement'!D53</f>
        <v>-471650.564982522</v>
      </c>
      <c r="E29" s="15" t="n">
        <f aca="false">'Income Statement'!E53</f>
        <v>-205902.530447471</v>
      </c>
      <c r="F29" s="15" t="n">
        <f aca="false">'Income Statement'!F53</f>
        <v>586091.550467075</v>
      </c>
      <c r="G29" s="15" t="n">
        <f aca="false">'Income Statement'!G53</f>
        <v>1518916.52261919</v>
      </c>
    </row>
    <row r="30" customFormat="false" ht="15" hidden="false" customHeight="false" outlineLevel="0" collapsed="false">
      <c r="A30" s="4" t="s">
        <v>1064</v>
      </c>
      <c r="C30" s="97" t="n">
        <f aca="false">IFERROR(C29/C6,0)</f>
        <v>-6.25402859917094</v>
      </c>
      <c r="D30" s="97" t="n">
        <f aca="false">IFERROR(D29/D6,0)</f>
        <v>-1.20361851715575</v>
      </c>
      <c r="E30" s="97" t="n">
        <f aca="false">IFERROR(E29/E6,0)</f>
        <v>-0.168549762068523</v>
      </c>
      <c r="F30" s="97" t="n">
        <f aca="false">IFERROR(F29/F6,0)</f>
        <v>0.212057727713114</v>
      </c>
      <c r="G30" s="97" t="n">
        <f aca="false">IFERROR(G29/G6,0)</f>
        <v>0.303861572506226</v>
      </c>
    </row>
    <row r="31" customFormat="false" ht="15" hidden="false" customHeight="false" outlineLevel="0" collapsed="false">
      <c r="A31" s="4" t="s">
        <v>97</v>
      </c>
      <c r="C31" s="15" t="n">
        <f aca="false">Expenses!B51</f>
        <v>497641.262664104</v>
      </c>
      <c r="D31" s="15" t="n">
        <f aca="false">Expenses!O51</f>
        <v>863511.074155372</v>
      </c>
      <c r="E31" s="15" t="n">
        <f aca="false">Expenses!AB51</f>
        <v>1427515.23354795</v>
      </c>
      <c r="F31" s="15" t="n">
        <f aca="false">Expenses!AO51</f>
        <v>2177738.64231882</v>
      </c>
      <c r="G31" s="15" t="n">
        <f aca="false">Expenses!BB51</f>
        <v>3189932.94594402</v>
      </c>
    </row>
    <row r="33" customFormat="false" ht="15" hidden="false" customHeight="false" outlineLevel="0" collapsed="false">
      <c r="A33" s="9" t="s">
        <v>1065</v>
      </c>
      <c r="B33" s="10"/>
      <c r="C33" s="10"/>
      <c r="D33" s="10"/>
      <c r="E33" s="10"/>
      <c r="F33" s="10"/>
      <c r="G33" s="10"/>
    </row>
    <row r="34" customFormat="false" ht="15" hidden="false" customHeight="false" outlineLevel="0" collapsed="false">
      <c r="A34" s="11" t="s">
        <v>632</v>
      </c>
      <c r="B34" s="12"/>
      <c r="C34" s="12" t="s">
        <v>87</v>
      </c>
      <c r="D34" s="12" t="s">
        <v>88</v>
      </c>
      <c r="E34" s="12" t="s">
        <v>89</v>
      </c>
      <c r="F34" s="12" t="s">
        <v>90</v>
      </c>
      <c r="G34" s="12" t="s">
        <v>91</v>
      </c>
    </row>
    <row r="35" customFormat="false" ht="15" hidden="false" customHeight="false" outlineLevel="0" collapsed="false">
      <c r="A35" s="4" t="s">
        <v>1066</v>
      </c>
      <c r="C35" s="18" t="n">
        <f aca="false">Acquisitions!B64</f>
        <v>4.0198096774112</v>
      </c>
      <c r="D35" s="18" t="n">
        <f aca="false">Acquisitions!O64</f>
        <v>4.33813488544295</v>
      </c>
      <c r="E35" s="18" t="n">
        <f aca="false">Acquisitions!AB64</f>
        <v>4.62923079569571</v>
      </c>
      <c r="F35" s="18" t="n">
        <f aca="false">Acquisitions!AO64</f>
        <v>4.9791345113244</v>
      </c>
      <c r="G35" s="18" t="n">
        <f aca="false">Acquisitions!BB64</f>
        <v>5.36362498531227</v>
      </c>
    </row>
    <row r="36" customFormat="false" ht="15" hidden="false" customHeight="false" outlineLevel="0" collapsed="false">
      <c r="A36" s="4" t="s">
        <v>1067</v>
      </c>
      <c r="C36" s="99" t="n">
        <f aca="false">Expenses!B23+Expenses!B24+Expenses!B25+Expenses!B26+Expenses!B27+Expenses!B28+Expenses!B29+Expenses!B30+Expenses!B37+Expenses!B14+Payroll!B123</f>
        <v>128807.052010554</v>
      </c>
      <c r="D36" s="99" t="n">
        <f aca="false">Expenses!O23+Expenses!O24+Expenses!O25+Expenses!O26+Expenses!O27+Expenses!O28+Expenses!O29+Expenses!O30+Expenses!O37+Expenses!O14+Payroll!O123</f>
        <v>277053.385813411</v>
      </c>
      <c r="E36" s="99" t="n">
        <f aca="false">Expenses!AB23+Expenses!AB24+Expenses!AB25+Expenses!AB26+Expenses!AB27+Expenses!AB28+Expenses!AB29+Expenses!AB30+Expenses!AB37+Expenses!AB14+Payroll!AB123</f>
        <v>471272.712263724</v>
      </c>
      <c r="F36" s="99" t="n">
        <f aca="false">Expenses!AO23+Expenses!AO24+Expenses!AO25+Expenses!AO26+Expenses!AO27+Expenses!AO28+Expenses!AO29+Expenses!AO30+Expenses!AO37+Expenses!AO14+Payroll!AO123</f>
        <v>724386.597791368</v>
      </c>
      <c r="G36" s="99" t="n">
        <f aca="false">Expenses!BB23+Expenses!BB24+Expenses!BB25+Expenses!BB26+Expenses!BB27+Expenses!BB28+Expenses!BB29+Expenses!BB30+Expenses!BB37+Expenses!BB14+Payroll!BB123</f>
        <v>1027249.65240055</v>
      </c>
    </row>
    <row r="37" customFormat="false" ht="15" hidden="false" customHeight="false" outlineLevel="0" collapsed="false">
      <c r="A37" s="13" t="s">
        <v>105</v>
      </c>
      <c r="C37" s="103" t="n">
        <f aca="false">IFERROR(C36/C16,0)</f>
        <v>323.436274851053</v>
      </c>
      <c r="D37" s="103" t="n">
        <f aca="false">IFERROR(D36/D16,0)</f>
        <v>221.424816978509</v>
      </c>
      <c r="E37" s="103" t="n">
        <f aca="false">IFERROR(E36/E16,0)</f>
        <v>175.505866908264</v>
      </c>
      <c r="F37" s="103" t="n">
        <f aca="false">IFERROR(F36/F16,0)</f>
        <v>161.434060837082</v>
      </c>
      <c r="G37" s="103" t="n">
        <f aca="false">IFERROR(G36/G16,0)</f>
        <v>171.0617101786</v>
      </c>
    </row>
    <row r="38" customFormat="false" ht="15" hidden="false" customHeight="false" outlineLevel="0" collapsed="false">
      <c r="A38" s="4" t="s">
        <v>1068</v>
      </c>
      <c r="C38" s="18" t="n">
        <f aca="false">'Total Revenue'!B26</f>
        <v>38.5412634358777</v>
      </c>
      <c r="D38" s="18" t="n">
        <f aca="false">'Total Revenue'!O26</f>
        <v>42.9573335611771</v>
      </c>
      <c r="E38" s="18" t="n">
        <f aca="false">'Total Revenue'!AB26</f>
        <v>47.5915281316786</v>
      </c>
      <c r="F38" s="18" t="n">
        <f aca="false">'Total Revenue'!AO26</f>
        <v>50.8433675966427</v>
      </c>
      <c r="G38" s="18" t="n">
        <f aca="false">'Total Revenue'!BB26</f>
        <v>53.5268216242552</v>
      </c>
    </row>
    <row r="39" customFormat="false" ht="15" hidden="false" customHeight="false" outlineLevel="0" collapsed="false">
      <c r="A39" s="4" t="s">
        <v>1069</v>
      </c>
      <c r="C39" s="104" t="n">
        <f aca="false">IFERROR(Acquisitions!B129/12/Acquisitions!B125,0)</f>
        <v>0.0440179496109828</v>
      </c>
      <c r="D39" s="104" t="n">
        <f aca="false">IFERROR(Acquisitions!O129/12/Acquisitions!O125,0)</f>
        <v>0.0368690847013529</v>
      </c>
      <c r="E39" s="104" t="n">
        <f aca="false">IFERROR(Acquisitions!AB129/12/Acquisitions!AB125,0)</f>
        <v>0.0323389164824216</v>
      </c>
      <c r="F39" s="104" t="n">
        <f aca="false">IFERROR(Acquisitions!AO129/12/Acquisitions!AO125,0)</f>
        <v>0.0289315379042112</v>
      </c>
      <c r="G39" s="104" t="n">
        <f aca="false">IFERROR(Acquisitions!BB129/12/Acquisitions!BB125,0)</f>
        <v>0.0261496940031668</v>
      </c>
    </row>
    <row r="40" customFormat="false" ht="15" hidden="false" customHeight="false" outlineLevel="0" collapsed="false">
      <c r="A40" s="4" t="s">
        <v>1070</v>
      </c>
      <c r="C40" s="105" t="n">
        <f aca="false">IFERROR(C38*C26*MIN(60,1/C39),0)</f>
        <v>668.147699744888</v>
      </c>
      <c r="D40" s="105" t="n">
        <f aca="false">IFERROR(D38*D26*MIN(60,1/D39),0)</f>
        <v>926.166415360953</v>
      </c>
      <c r="E40" s="105" t="n">
        <f aca="false">IFERROR(E38*E26*MIN(60,1/E39),0)</f>
        <v>1197.10391372168</v>
      </c>
      <c r="F40" s="105" t="n">
        <f aca="false">IFERROR(F38*F26*MIN(60,1/F39),0)</f>
        <v>1449.14995372623</v>
      </c>
      <c r="G40" s="105" t="n">
        <f aca="false">IFERROR(G38*G26*MIN(60,1/G39),0)</f>
        <v>1701.34011667011</v>
      </c>
    </row>
    <row r="41" customFormat="false" ht="15" hidden="false" customHeight="false" outlineLevel="0" collapsed="false">
      <c r="A41" s="13" t="s">
        <v>106</v>
      </c>
      <c r="C41" s="106" t="n">
        <f aca="false">IFERROR(C40/C37,0)</f>
        <v>2.06577849084052</v>
      </c>
      <c r="D41" s="106" t="n">
        <f aca="false">IFERROR(D40/D37,0)</f>
        <v>4.18275795820504</v>
      </c>
      <c r="E41" s="106" t="n">
        <f aca="false">IFERROR(E40/E37,0)</f>
        <v>6.82087690178128</v>
      </c>
      <c r="F41" s="106" t="n">
        <f aca="false">IFERROR(F40/F37,0)</f>
        <v>8.97672985621477</v>
      </c>
      <c r="G41" s="106" t="n">
        <f aca="false">IFERROR(G40/G37,0)</f>
        <v>9.94576819613105</v>
      </c>
    </row>
    <row r="42" customFormat="false" ht="15" hidden="false" customHeight="false" outlineLevel="0" collapsed="false">
      <c r="A42" s="4" t="s">
        <v>1071</v>
      </c>
      <c r="C42" s="107" t="n">
        <f aca="false">IFERROR(C37/(C38*C26),0)</f>
        <v>10.9973093027397</v>
      </c>
      <c r="D42" s="107" t="n">
        <f aca="false">IFERROR(D37/(D38*D26),0)</f>
        <v>6.48447633613138</v>
      </c>
      <c r="E42" s="107" t="n">
        <f aca="false">IFERROR(E37/(E38*E26),0)</f>
        <v>4.53350734278741</v>
      </c>
      <c r="F42" s="107" t="n">
        <f aca="false">IFERROR(F37/(F38*F26),0)</f>
        <v>3.85043968035896</v>
      </c>
      <c r="G42" s="107" t="n">
        <f aca="false">IFERROR(G37/(G38*G26),0)</f>
        <v>3.84498859344547</v>
      </c>
    </row>
    <row r="43" customFormat="false" ht="15" hidden="false" customHeight="false" outlineLevel="0" collapsed="false">
      <c r="A43" s="4" t="s">
        <v>1072</v>
      </c>
      <c r="C43" s="97" t="n">
        <f aca="false">IFERROR(C16/C10,0)</f>
        <v>0.0291279339842943</v>
      </c>
      <c r="D43" s="97" t="n">
        <f aca="false">IFERROR(D16/D10,0)</f>
        <v>0.0434518471749666</v>
      </c>
      <c r="E43" s="97" t="n">
        <f aca="false">IFERROR(E16/E10,0)</f>
        <v>0.0588901150892826</v>
      </c>
      <c r="F43" s="97" t="n">
        <f aca="false">IFERROR(F16/F10,0)</f>
        <v>0.0757779219559991</v>
      </c>
      <c r="G43" s="97" t="n">
        <f aca="false">IFERROR(G16/G10,0)</f>
        <v>0.0853453183630187</v>
      </c>
    </row>
    <row r="45" customFormat="false" ht="15" hidden="false" customHeight="false" outlineLevel="0" collapsed="false">
      <c r="A45" s="9" t="s">
        <v>1073</v>
      </c>
      <c r="B45" s="10"/>
      <c r="C45" s="10"/>
      <c r="D45" s="10"/>
      <c r="E45" s="10"/>
      <c r="F45" s="10"/>
      <c r="G45" s="10"/>
    </row>
    <row r="46" customFormat="false" ht="15" hidden="false" customHeight="false" outlineLevel="0" collapsed="false">
      <c r="A46" s="11" t="s">
        <v>632</v>
      </c>
      <c r="B46" s="12"/>
      <c r="C46" s="12" t="s">
        <v>87</v>
      </c>
      <c r="D46" s="12" t="s">
        <v>88</v>
      </c>
      <c r="E46" s="12" t="s">
        <v>89</v>
      </c>
      <c r="F46" s="12" t="s">
        <v>90</v>
      </c>
      <c r="G46" s="12" t="s">
        <v>91</v>
      </c>
    </row>
    <row r="47" customFormat="false" ht="15" hidden="false" customHeight="false" outlineLevel="0" collapsed="false">
      <c r="A47" s="13" t="s">
        <v>98</v>
      </c>
      <c r="C47" s="14" t="n">
        <f aca="false">'Cash Flow Statement'!N34</f>
        <v>185235.302287375</v>
      </c>
      <c r="D47" s="14" t="n">
        <f aca="false">'Cash Flow Statement'!AA34</f>
        <v>237273.564765139</v>
      </c>
      <c r="E47" s="14" t="n">
        <f aca="false">'Cash Flow Statement'!AN34</f>
        <v>188317.945408139</v>
      </c>
      <c r="F47" s="14" t="n">
        <f aca="false">'Cash Flow Statement'!BA34</f>
        <v>1031867.55982344</v>
      </c>
      <c r="G47" s="14" t="n">
        <f aca="false">'Cash Flow Statement'!BN34</f>
        <v>3195853.68084787</v>
      </c>
    </row>
    <row r="48" customFormat="false" ht="15" hidden="false" customHeight="false" outlineLevel="0" collapsed="false">
      <c r="A48" s="4" t="s">
        <v>99</v>
      </c>
      <c r="C48" s="99" t="n">
        <f aca="false">MIN('Cash Flow Statement'!C34:N34)</f>
        <v>185235.302287375</v>
      </c>
      <c r="D48" s="99" t="n">
        <f aca="false">MIN('Cash Flow Statement'!P34:AA34)</f>
        <v>237273.564765139</v>
      </c>
      <c r="E48" s="99" t="n">
        <f aca="false">MIN('Cash Flow Statement'!AC34:AN34)</f>
        <v>118602.474189267</v>
      </c>
      <c r="F48" s="99" t="n">
        <f aca="false">MIN('Cash Flow Statement'!AP34:BA34)</f>
        <v>244212.666549383</v>
      </c>
      <c r="G48" s="99" t="n">
        <f aca="false">MIN('Cash Flow Statement'!BC34:BN34)</f>
        <v>1209506.96489247</v>
      </c>
    </row>
    <row r="49" customFormat="false" ht="15" hidden="false" customHeight="false" outlineLevel="0" collapsed="false">
      <c r="A49" s="4" t="s">
        <v>1074</v>
      </c>
      <c r="C49" s="15" t="n">
        <f aca="false">'Cash Flow Statement'!B27</f>
        <v>-368585.535740591</v>
      </c>
      <c r="D49" s="15" t="n">
        <f aca="false">'Cash Flow Statement'!O27</f>
        <v>-378975.522149752</v>
      </c>
      <c r="E49" s="15" t="n">
        <f aca="false">'Cash Flow Statement'!AB27</f>
        <v>-28651.6475112132</v>
      </c>
      <c r="F49" s="15" t="n">
        <f aca="false">'Cash Flow Statement'!AO27</f>
        <v>865439.390796656</v>
      </c>
      <c r="G49" s="15" t="n">
        <f aca="false">'Cash Flow Statement'!BB27</f>
        <v>2190834.54440346</v>
      </c>
    </row>
    <row r="50" customFormat="false" ht="15" hidden="false" customHeight="false" outlineLevel="0" collapsed="false">
      <c r="A50" s="13" t="s">
        <v>1075</v>
      </c>
      <c r="C50" s="98" t="n">
        <f aca="false">'Cash Flow Statement'!B27+'Cash Flow Statement'!B29</f>
        <v>-414764.697712625</v>
      </c>
      <c r="D50" s="98" t="n">
        <f aca="false">'Cash Flow Statement'!O27+'Cash Flow Statement'!O29</f>
        <v>-397961.737522236</v>
      </c>
      <c r="E50" s="98" t="n">
        <f aca="false">'Cash Flow Statement'!AB27+'Cash Flow Statement'!AB29</f>
        <v>-48955.6193570004</v>
      </c>
      <c r="F50" s="98" t="n">
        <f aca="false">'Cash Flow Statement'!AO27+'Cash Flow Statement'!AO29</f>
        <v>843549.614415305</v>
      </c>
      <c r="G50" s="98" t="n">
        <f aca="false">'Cash Flow Statement'!BB27+'Cash Flow Statement'!BB29</f>
        <v>2163986.12102442</v>
      </c>
    </row>
    <row r="51" customFormat="false" ht="15" hidden="false" customHeight="false" outlineLevel="0" collapsed="false">
      <c r="A51" s="4" t="s">
        <v>1076</v>
      </c>
      <c r="C51" s="99" t="n">
        <f aca="false">C50/12</f>
        <v>-34563.7248093854</v>
      </c>
      <c r="D51" s="99" t="n">
        <f aca="false">D50/12</f>
        <v>-33163.478126853</v>
      </c>
      <c r="E51" s="99" t="n">
        <f aca="false">E50/12</f>
        <v>-4079.6349464167</v>
      </c>
      <c r="F51" s="99" t="n">
        <f aca="false">F50/12</f>
        <v>70295.8012012755</v>
      </c>
      <c r="G51" s="99" t="n">
        <f aca="false">G50/12</f>
        <v>180332.176752035</v>
      </c>
    </row>
    <row r="52" customFormat="false" ht="15" hidden="false" customHeight="false" outlineLevel="0" collapsed="false">
      <c r="A52" s="4" t="s">
        <v>1077</v>
      </c>
      <c r="C52" s="107" t="n">
        <f aca="false">IF(C50&gt;=0,99,IFERROR(C47/(-C50/12),0))</f>
        <v>5.35924016606789</v>
      </c>
      <c r="D52" s="107" t="n">
        <f aca="false">IF(D50&gt;=0,99,IFERROR(D47/(-D50/12),0))</f>
        <v>7.15466465421838</v>
      </c>
      <c r="E52" s="107" t="n">
        <f aca="false">IF(E50&gt;=0,99,IFERROR(E47/(-E50/12),0))</f>
        <v>46.1604893284743</v>
      </c>
      <c r="F52" s="107" t="n">
        <f aca="false">IF(F50&gt;=0,99,IFERROR(F47/(-F50/12),0))</f>
        <v>99</v>
      </c>
      <c r="G52" s="107" t="n">
        <f aca="false">IF(G50&gt;=0,99,IFERROR(G47/(-G50/12),0))</f>
        <v>99</v>
      </c>
    </row>
    <row r="53" customFormat="false" ht="15" hidden="false" customHeight="false" outlineLevel="0" collapsed="false">
      <c r="A53" s="4" t="s">
        <v>1078</v>
      </c>
      <c r="C53" s="107" t="n">
        <f aca="false">IFERROR('Cash Flow Statement'!N13/C6*365,0)</f>
        <v>11.8998307954205</v>
      </c>
      <c r="D53" s="107" t="n">
        <f aca="false">IFERROR('Cash Flow Statement'!AA13/D6*365,0)</f>
        <v>9.4215856501558</v>
      </c>
      <c r="E53" s="107" t="n">
        <f aca="false">IFERROR('Cash Flow Statement'!AN13/E6*365,0)</f>
        <v>8.38870167750437</v>
      </c>
      <c r="F53" s="107" t="n">
        <f aca="false">IFERROR('Cash Flow Statement'!BA13/F6*365,0)</f>
        <v>7.77255644727338</v>
      </c>
      <c r="G53" s="107" t="n">
        <f aca="false">IFERROR('Cash Flow Statement'!BN13/G6*365,0)</f>
        <v>7.27849629021357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6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6"/>
    <col collapsed="false" customWidth="true" hidden="false" outlineLevel="0" max="3" min="3" style="0" width="18"/>
    <col collapsed="false" customWidth="true" hidden="false" outlineLevel="0" max="5" min="4" style="0" width="16"/>
    <col collapsed="false" customWidth="true" hidden="false" outlineLevel="0" max="8" min="6" style="0" width="17"/>
    <col collapsed="false" customWidth="true" hidden="false" outlineLevel="0" max="62" min="9" style="0" width="13"/>
  </cols>
  <sheetData>
    <row r="1" customFormat="false" ht="18.55" hidden="false" customHeight="false" outlineLevel="0" collapsed="false">
      <c r="A1" s="7" t="s">
        <v>971</v>
      </c>
    </row>
    <row r="2" customFormat="false" ht="15" hidden="false" customHeight="false" outlineLevel="0" collapsed="false">
      <c r="A2" s="8" t="s">
        <v>1079</v>
      </c>
    </row>
    <row r="4" customFormat="false" ht="15" hidden="false" customHeight="false" outlineLevel="0" collapsed="false">
      <c r="A4" s="9" t="s">
        <v>1080</v>
      </c>
      <c r="B4" s="10"/>
      <c r="C4" s="10"/>
      <c r="D4" s="10"/>
      <c r="E4" s="10"/>
      <c r="F4" s="10"/>
      <c r="G4" s="10"/>
      <c r="H4" s="10"/>
    </row>
    <row r="5" customFormat="false" ht="15" hidden="false" customHeight="false" outlineLevel="0" collapsed="false">
      <c r="A5" s="4" t="s">
        <v>1081</v>
      </c>
      <c r="C5" s="15" t="n">
        <f aca="false">Expenses!$C$96</f>
        <v>518418.985361275</v>
      </c>
      <c r="D5" s="33" t="s">
        <v>1082</v>
      </c>
    </row>
    <row r="6" customFormat="false" ht="15" hidden="false" customHeight="false" outlineLevel="0" collapsed="false">
      <c r="A6" s="4" t="s">
        <v>1083</v>
      </c>
      <c r="C6" s="15" t="n">
        <f aca="false">'Assumption Setting'!$C$191</f>
        <v>75000</v>
      </c>
    </row>
    <row r="7" customFormat="false" ht="15" hidden="false" customHeight="false" outlineLevel="0" collapsed="false">
      <c r="A7" s="4" t="s">
        <v>1084</v>
      </c>
      <c r="C7" s="99" t="n">
        <f aca="false">-'Assumption Setting'!$C$17</f>
        <v>-0</v>
      </c>
    </row>
    <row r="8" customFormat="false" ht="15" hidden="false" customHeight="false" outlineLevel="0" collapsed="false">
      <c r="A8" s="4" t="s">
        <v>1085</v>
      </c>
      <c r="C8" s="99" t="n">
        <f aca="false">C5+C6+C7</f>
        <v>593418.985361275</v>
      </c>
    </row>
    <row r="9" customFormat="false" ht="15" hidden="false" customHeight="false" outlineLevel="0" collapsed="false">
      <c r="A9" s="13" t="s">
        <v>1086</v>
      </c>
      <c r="C9" s="100" t="n">
        <f aca="false">ROUNDUP(C8/'Assumption Setting'!$C$189,0)*'Assumption Setting'!$C$189</f>
        <v>600000</v>
      </c>
      <c r="D9" s="33" t="s">
        <v>1087</v>
      </c>
    </row>
    <row r="10" customFormat="false" ht="15" hidden="false" customHeight="false" outlineLevel="0" collapsed="false">
      <c r="A10" s="4" t="s">
        <v>531</v>
      </c>
      <c r="C10" s="108" t="n">
        <f aca="false">'Assumption Setting'!$C$190</f>
        <v>1</v>
      </c>
    </row>
    <row r="11" customFormat="false" ht="15" hidden="false" customHeight="false" outlineLevel="0" collapsed="false">
      <c r="A11" s="4" t="s">
        <v>1088</v>
      </c>
      <c r="C11" s="99" t="n">
        <f aca="false">C9+'Assumption Setting'!$C$17</f>
        <v>600000</v>
      </c>
    </row>
    <row r="12" customFormat="false" ht="15" hidden="false" customHeight="false" outlineLevel="0" collapsed="false">
      <c r="A12" s="4" t="s">
        <v>1089</v>
      </c>
      <c r="C12" s="107" t="n">
        <f aca="false">IFERROR(C11/(C5/12),0)</f>
        <v>13.8883802547904</v>
      </c>
      <c r="D12" s="33" t="s">
        <v>1090</v>
      </c>
    </row>
    <row r="13" customFormat="false" ht="15" hidden="false" customHeight="false" outlineLevel="0" collapsed="false">
      <c r="A13" s="4" t="s">
        <v>1091</v>
      </c>
      <c r="C13" s="109" t="str">
        <f aca="false">IF(C11-C5&gt;='Assumption Setting'!$C$191-0.5,"Covered","Short")</f>
        <v>Covered</v>
      </c>
    </row>
    <row r="15" customFormat="false" ht="15" hidden="false" customHeight="false" outlineLevel="0" collapsed="false">
      <c r="A15" s="9" t="s">
        <v>1092</v>
      </c>
      <c r="B15" s="10"/>
      <c r="C15" s="10"/>
      <c r="D15" s="10"/>
      <c r="E15" s="10"/>
      <c r="F15" s="10"/>
      <c r="G15" s="10"/>
      <c r="H15" s="10"/>
    </row>
    <row r="16" customFormat="false" ht="15" hidden="false" customHeight="false" outlineLevel="0" collapsed="false">
      <c r="A16" s="11" t="s">
        <v>954</v>
      </c>
      <c r="B16" s="12"/>
      <c r="C16" s="12" t="s">
        <v>1093</v>
      </c>
      <c r="D16" s="12" t="s">
        <v>492</v>
      </c>
      <c r="E16" s="12" t="s">
        <v>1094</v>
      </c>
    </row>
    <row r="17" customFormat="false" ht="15" hidden="false" customHeight="false" outlineLevel="0" collapsed="false">
      <c r="A17" s="4" t="s">
        <v>1095</v>
      </c>
      <c r="C17" s="99" t="n">
        <f aca="false">SUMIF(Expenses!$B$59:$B$92,"People",Expenses!$C$59:$C$92)</f>
        <v>265806.763799877</v>
      </c>
      <c r="D17" s="97" t="n">
        <f aca="false">IFERROR(C17/$C$24,0)</f>
        <v>0.51272575138166</v>
      </c>
      <c r="E17" s="99" t="n">
        <f aca="false">C17/12</f>
        <v>22150.5636499898</v>
      </c>
    </row>
    <row r="18" customFormat="false" ht="15" hidden="false" customHeight="false" outlineLevel="0" collapsed="false">
      <c r="A18" s="4" t="s">
        <v>959</v>
      </c>
      <c r="C18" s="99" t="n">
        <f aca="false">SUMIF(Expenses!$B$59:$B$92,"Sales and marketing",Expenses!$C$59:$C$92)</f>
        <v>83346.2311607382</v>
      </c>
      <c r="D18" s="97" t="n">
        <f aca="false">IFERROR(C18/$C$24,0)</f>
        <v>0.160770020994999</v>
      </c>
      <c r="E18" s="99" t="n">
        <f aca="false">C18/12</f>
        <v>6945.51926339485</v>
      </c>
    </row>
    <row r="19" customFormat="false" ht="15" hidden="false" customHeight="false" outlineLevel="0" collapsed="false">
      <c r="A19" s="4" t="s">
        <v>1096</v>
      </c>
      <c r="C19" s="99" t="n">
        <f aca="false">SUMIF(Expenses!$B$59:$B$92,"Technology",Expenses!$C$59:$C$92)</f>
        <v>30840</v>
      </c>
      <c r="D19" s="97" t="n">
        <f aca="false">IFERROR(C19/$C$24,0)</f>
        <v>0.0594885620913522</v>
      </c>
      <c r="E19" s="99" t="n">
        <f aca="false">C19/12</f>
        <v>2570</v>
      </c>
    </row>
    <row r="20" customFormat="false" ht="15" hidden="false" customHeight="false" outlineLevel="0" collapsed="false">
      <c r="A20" s="4" t="s">
        <v>1097</v>
      </c>
      <c r="C20" s="99" t="n">
        <f aca="false">SUMIF(Expenses!$B$59:$B$92,"General and administrative",Expenses!$C$59:$C$92)-Expenses!$B$44</f>
        <v>50183.7788863532</v>
      </c>
      <c r="D20" s="97" t="n">
        <f aca="false">IFERROR(C20/$C$24,0)</f>
        <v>0.0968015838605549</v>
      </c>
      <c r="E20" s="99" t="n">
        <f aca="false">C20/12</f>
        <v>4181.98157386277</v>
      </c>
    </row>
    <row r="21" customFormat="false" ht="15" hidden="false" customHeight="false" outlineLevel="0" collapsed="false">
      <c r="A21" s="4" t="s">
        <v>957</v>
      </c>
      <c r="C21" s="99" t="n">
        <f aca="false">SUMIF(Expenses!$B$59:$B$92,"Direct cost of delivery",Expenses!$C$59:$C$92)</f>
        <v>16252.4431114538</v>
      </c>
      <c r="D21" s="97" t="n">
        <f aca="false">IFERROR(C21/$C$24,0)</f>
        <v>0.0313500152779471</v>
      </c>
      <c r="E21" s="99" t="n">
        <f aca="false">C21/12</f>
        <v>1354.37025928782</v>
      </c>
    </row>
    <row r="22" customFormat="false" ht="15" hidden="false" customHeight="false" outlineLevel="0" collapsed="false">
      <c r="A22" s="4" t="s">
        <v>944</v>
      </c>
      <c r="C22" s="15" t="n">
        <f aca="false">Expenses!$B$44</f>
        <v>25810.6064308181</v>
      </c>
      <c r="D22" s="97" t="n">
        <f aca="false">IFERROR(C22/$C$24,0)</f>
        <v>0.049787155099714</v>
      </c>
      <c r="E22" s="99" t="n">
        <f aca="false">C22/12</f>
        <v>2150.88386923484</v>
      </c>
    </row>
    <row r="23" customFormat="false" ht="15" hidden="false" customHeight="false" outlineLevel="0" collapsed="false">
      <c r="A23" s="4" t="s">
        <v>1098</v>
      </c>
      <c r="C23" s="15" t="n">
        <f aca="false">'Capital Expenditure'!B13</f>
        <v>46179.161972034</v>
      </c>
      <c r="D23" s="97" t="n">
        <f aca="false">IFERROR(C23/$C$24,0)</f>
        <v>0.0890769112937729</v>
      </c>
      <c r="E23" s="99" t="n">
        <f aca="false">C23/12</f>
        <v>3848.2634976695</v>
      </c>
    </row>
    <row r="24" customFormat="false" ht="15" hidden="false" customHeight="false" outlineLevel="0" collapsed="false">
      <c r="A24" s="13" t="s">
        <v>1099</v>
      </c>
      <c r="C24" s="100" t="n">
        <f aca="false">SUM(C17:C23)</f>
        <v>518418.985361275</v>
      </c>
      <c r="D24" s="97" t="n">
        <f aca="false">IFERROR(C24/$C$24,0)</f>
        <v>1</v>
      </c>
      <c r="E24" s="99" t="n">
        <f aca="false">C24/12</f>
        <v>43201.5821134396</v>
      </c>
    </row>
    <row r="25" customFormat="false" ht="15" hidden="false" customHeight="false" outlineLevel="0" collapsed="false">
      <c r="A25" s="4" t="s">
        <v>1100</v>
      </c>
      <c r="C25" s="21" t="n">
        <f aca="false">ROUND(C24-C5,2)</f>
        <v>0</v>
      </c>
    </row>
    <row r="27" customFormat="false" ht="15" hidden="false" customHeight="false" outlineLevel="0" collapsed="false">
      <c r="A27" s="9" t="s">
        <v>1101</v>
      </c>
      <c r="B27" s="10"/>
      <c r="C27" s="10"/>
      <c r="D27" s="10"/>
      <c r="E27" s="10"/>
      <c r="F27" s="10"/>
      <c r="G27" s="10"/>
      <c r="H27" s="10"/>
    </row>
    <row r="28" customFormat="false" ht="15" hidden="false" customHeight="false" outlineLevel="0" collapsed="false">
      <c r="A28" s="4" t="s">
        <v>1102</v>
      </c>
      <c r="C28" s="15" t="n">
        <f aca="false">'Total Revenue'!B18</f>
        <v>68602.0541359569</v>
      </c>
    </row>
    <row r="29" customFormat="false" ht="15" hidden="false" customHeight="false" outlineLevel="0" collapsed="false">
      <c r="A29" s="4" t="s">
        <v>1103</v>
      </c>
      <c r="C29" s="99" t="n">
        <f aca="false">-('Cash Flow Statement'!B27+'Cash Flow Statement'!B29)</f>
        <v>414764.697712625</v>
      </c>
    </row>
    <row r="30" customFormat="false" ht="15" hidden="false" customHeight="false" outlineLevel="0" collapsed="false">
      <c r="A30" s="4" t="s">
        <v>1104</v>
      </c>
      <c r="C30" s="99" t="n">
        <f aca="false">-('Cash Flow Statement'!O27+'Cash Flow Statement'!O29)</f>
        <v>397961.737522236</v>
      </c>
    </row>
    <row r="31" customFormat="false" ht="15" hidden="false" customHeight="false" outlineLevel="0" collapsed="false">
      <c r="A31" s="4" t="s">
        <v>1105</v>
      </c>
      <c r="C31" s="99" t="n">
        <f aca="false">-('Cash Flow Statement'!AB27+'Cash Flow Statement'!AB29)</f>
        <v>48955.6193570004</v>
      </c>
    </row>
    <row r="32" customFormat="false" ht="15" hidden="false" customHeight="false" outlineLevel="0" collapsed="false">
      <c r="A32" s="4" t="s">
        <v>1106</v>
      </c>
      <c r="C32" s="99" t="n">
        <f aca="false">-('Cash Flow Statement'!AO27+'Cash Flow Statement'!AO29)</f>
        <v>-843549.614415305</v>
      </c>
    </row>
    <row r="33" customFormat="false" ht="15" hidden="false" customHeight="false" outlineLevel="0" collapsed="false">
      <c r="A33" s="4" t="s">
        <v>1107</v>
      </c>
      <c r="C33" s="99" t="n">
        <f aca="false">-('Cash Flow Statement'!BB27+'Cash Flow Statement'!BB29)</f>
        <v>-2163986.12102442</v>
      </c>
    </row>
    <row r="34" customFormat="false" ht="15" hidden="false" customHeight="false" outlineLevel="0" collapsed="false">
      <c r="A34" s="4" t="s">
        <v>1108</v>
      </c>
      <c r="C34" s="15" t="n">
        <f aca="false">'Cash Flow Statement'!N34</f>
        <v>185235.302287375</v>
      </c>
    </row>
    <row r="35" customFormat="false" ht="15" hidden="false" customHeight="false" outlineLevel="0" collapsed="false">
      <c r="A35" s="4" t="s">
        <v>1109</v>
      </c>
      <c r="C35" s="15" t="n">
        <f aca="false">'Cash Flow Statement'!AA34</f>
        <v>237273.564765139</v>
      </c>
    </row>
    <row r="36" customFormat="false" ht="15" hidden="false" customHeight="false" outlineLevel="0" collapsed="false">
      <c r="A36" s="4" t="s">
        <v>1110</v>
      </c>
      <c r="C36" s="15" t="n">
        <f aca="false">'Cash Flow Statement'!AN34</f>
        <v>188317.945408139</v>
      </c>
    </row>
    <row r="37" customFormat="false" ht="15" hidden="false" customHeight="false" outlineLevel="0" collapsed="false">
      <c r="A37" s="4" t="s">
        <v>1111</v>
      </c>
      <c r="C37" s="99" t="n">
        <f aca="false">MIN('Cash Flow Statement'!$C$34:$BN$34)</f>
        <v>118602.474189267</v>
      </c>
    </row>
    <row r="38" customFormat="false" ht="15" hidden="false" customHeight="false" outlineLevel="0" collapsed="false">
      <c r="A38" s="4" t="s">
        <v>1112</v>
      </c>
      <c r="C38" s="108" t="n">
        <f aca="false">'BEP Analysis'!$C$24</f>
        <v>34</v>
      </c>
    </row>
    <row r="40" customFormat="false" ht="15" hidden="false" customHeight="false" outlineLevel="0" collapsed="false">
      <c r="A40" s="9" t="s">
        <v>1113</v>
      </c>
      <c r="B40" s="10"/>
      <c r="C40" s="10"/>
      <c r="D40" s="10"/>
      <c r="E40" s="10"/>
      <c r="F40" s="10"/>
      <c r="G40" s="10"/>
      <c r="H40" s="10"/>
    </row>
    <row r="41" customFormat="false" ht="15" hidden="false" customHeight="false" outlineLevel="0" collapsed="false">
      <c r="A41" s="13" t="s">
        <v>1114</v>
      </c>
      <c r="C41" s="58" t="s">
        <v>562</v>
      </c>
      <c r="D41" s="58" t="s">
        <v>563</v>
      </c>
      <c r="E41" s="58" t="s">
        <v>564</v>
      </c>
      <c r="F41" s="58" t="s">
        <v>565</v>
      </c>
      <c r="G41" s="58" t="s">
        <v>566</v>
      </c>
      <c r="H41" s="58" t="s">
        <v>567</v>
      </c>
      <c r="I41" s="58" t="s">
        <v>568</v>
      </c>
      <c r="J41" s="58" t="s">
        <v>569</v>
      </c>
      <c r="K41" s="58" t="s">
        <v>570</v>
      </c>
      <c r="L41" s="58" t="s">
        <v>571</v>
      </c>
      <c r="M41" s="58" t="s">
        <v>572</v>
      </c>
      <c r="N41" s="58" t="s">
        <v>573</v>
      </c>
      <c r="O41" s="58" t="s">
        <v>574</v>
      </c>
      <c r="P41" s="58" t="s">
        <v>575</v>
      </c>
      <c r="Q41" s="58" t="s">
        <v>576</v>
      </c>
      <c r="R41" s="58" t="s">
        <v>577</v>
      </c>
      <c r="S41" s="58" t="s">
        <v>578</v>
      </c>
      <c r="T41" s="58" t="s">
        <v>579</v>
      </c>
      <c r="U41" s="58" t="s">
        <v>580</v>
      </c>
      <c r="V41" s="58" t="s">
        <v>581</v>
      </c>
      <c r="W41" s="58" t="s">
        <v>582</v>
      </c>
      <c r="X41" s="58" t="s">
        <v>583</v>
      </c>
      <c r="Y41" s="58" t="s">
        <v>584</v>
      </c>
      <c r="Z41" s="58" t="s">
        <v>585</v>
      </c>
      <c r="AA41" s="58" t="s">
        <v>586</v>
      </c>
      <c r="AB41" s="58" t="s">
        <v>587</v>
      </c>
      <c r="AC41" s="58" t="s">
        <v>588</v>
      </c>
      <c r="AD41" s="58" t="s">
        <v>589</v>
      </c>
      <c r="AE41" s="58" t="s">
        <v>590</v>
      </c>
      <c r="AF41" s="58" t="s">
        <v>591</v>
      </c>
      <c r="AG41" s="58" t="s">
        <v>592</v>
      </c>
      <c r="AH41" s="58" t="s">
        <v>593</v>
      </c>
      <c r="AI41" s="58" t="s">
        <v>594</v>
      </c>
      <c r="AJ41" s="58" t="s">
        <v>595</v>
      </c>
      <c r="AK41" s="58" t="s">
        <v>596</v>
      </c>
      <c r="AL41" s="58" t="s">
        <v>597</v>
      </c>
      <c r="AM41" s="58" t="s">
        <v>598</v>
      </c>
      <c r="AN41" s="58" t="s">
        <v>599</v>
      </c>
      <c r="AO41" s="58" t="s">
        <v>600</v>
      </c>
      <c r="AP41" s="58" t="s">
        <v>601</v>
      </c>
      <c r="AQ41" s="58" t="s">
        <v>602</v>
      </c>
      <c r="AR41" s="58" t="s">
        <v>603</v>
      </c>
      <c r="AS41" s="58" t="s">
        <v>604</v>
      </c>
      <c r="AT41" s="58" t="s">
        <v>605</v>
      </c>
      <c r="AU41" s="58" t="s">
        <v>606</v>
      </c>
      <c r="AV41" s="58" t="s">
        <v>607</v>
      </c>
      <c r="AW41" s="58" t="s">
        <v>608</v>
      </c>
      <c r="AX41" s="58" t="s">
        <v>609</v>
      </c>
      <c r="AY41" s="58" t="s">
        <v>610</v>
      </c>
      <c r="AZ41" s="58" t="s">
        <v>611</v>
      </c>
      <c r="BA41" s="58" t="s">
        <v>612</v>
      </c>
      <c r="BB41" s="58" t="s">
        <v>613</v>
      </c>
      <c r="BC41" s="58" t="s">
        <v>614</v>
      </c>
      <c r="BD41" s="58" t="s">
        <v>615</v>
      </c>
      <c r="BE41" s="58" t="s">
        <v>616</v>
      </c>
      <c r="BF41" s="58" t="s">
        <v>617</v>
      </c>
      <c r="BG41" s="58" t="s">
        <v>618</v>
      </c>
      <c r="BH41" s="58" t="s">
        <v>619</v>
      </c>
      <c r="BI41" s="58" t="s">
        <v>620</v>
      </c>
      <c r="BJ41" s="58" t="s">
        <v>621</v>
      </c>
    </row>
    <row r="42" customFormat="false" ht="15" hidden="false" customHeight="false" outlineLevel="0" collapsed="false">
      <c r="A42" s="4" t="s">
        <v>1115</v>
      </c>
      <c r="C42" s="99" t="n">
        <f aca="false">'Assumption Setting'!$C$17+'Cash Flow Statement'!C27+'Cash Flow Statement'!C29+IF(1='Assumption Setting'!$C$190,$C$9,0)</f>
        <v>542291.82038835</v>
      </c>
      <c r="D42" s="99" t="n">
        <f aca="false">C42+'Cash Flow Statement'!D27+'Cash Flow Statement'!D29+IF(2='Assumption Setting'!$C$190,$C$9,0)</f>
        <v>498317.680179269</v>
      </c>
      <c r="E42" s="99" t="n">
        <f aca="false">D42+'Cash Flow Statement'!E27+'Cash Flow Statement'!E29+IF(3='Assumption Setting'!$C$190,$C$9,0)</f>
        <v>461394.868058835</v>
      </c>
      <c r="F42" s="99" t="n">
        <f aca="false">E42+'Cash Flow Statement'!F27+'Cash Flow Statement'!F29+IF(4='Assumption Setting'!$C$190,$C$9,0)</f>
        <v>427091.898335236</v>
      </c>
      <c r="G42" s="99" t="n">
        <f aca="false">F42+'Cash Flow Statement'!G27+'Cash Flow Statement'!G29+IF(5='Assumption Setting'!$C$190,$C$9,0)</f>
        <v>393706.645658798</v>
      </c>
      <c r="H42" s="99" t="n">
        <f aca="false">G42+'Cash Flow Statement'!H27+'Cash Flow Statement'!H29+IF(6='Assumption Setting'!$C$190,$C$9,0)</f>
        <v>361235.096913506</v>
      </c>
      <c r="I42" s="99" t="n">
        <f aca="false">H42+'Cash Flow Statement'!I27+'Cash Flow Statement'!I29+IF(7='Assumption Setting'!$C$190,$C$9,0)</f>
        <v>329672.094836836</v>
      </c>
      <c r="J42" s="99" t="n">
        <f aca="false">I42+'Cash Flow Statement'!J27+'Cash Flow Statement'!J29+IF(8='Assumption Setting'!$C$190,$C$9,0)</f>
        <v>299011.418421435</v>
      </c>
      <c r="K42" s="99" t="n">
        <f aca="false">J42+'Cash Flow Statement'!K27+'Cash Flow Statement'!K29+IF(9='Assumption Setting'!$C$190,$C$9,0)</f>
        <v>269245.874747794</v>
      </c>
      <c r="L42" s="99" t="n">
        <f aca="false">K42+'Cash Flow Statement'!L27+'Cash Flow Statement'!L29+IF(10='Assumption Setting'!$C$190,$C$9,0)</f>
        <v>240367.385063705</v>
      </c>
      <c r="M42" s="99" t="n">
        <f aca="false">L42+'Cash Flow Statement'!M27+'Cash Flow Statement'!M29+IF(11='Assumption Setting'!$C$190,$C$9,0)</f>
        <v>212367.065436644</v>
      </c>
      <c r="N42" s="99" t="n">
        <f aca="false">M42+'Cash Flow Statement'!N27+'Cash Flow Statement'!N29+IF(12='Assumption Setting'!$C$190,$C$9,0)</f>
        <v>185235.302287375</v>
      </c>
      <c r="O42" s="99" t="n">
        <f aca="false">N42+'Cash Flow Statement'!P27+'Cash Flow Statement'!P29+IF(13='Assumption Setting'!$C$190,$C$9,0)</f>
        <v>143556.285085088</v>
      </c>
      <c r="P42" s="99" t="n">
        <f aca="false">O42+'Cash Flow Statement'!Q27+'Cash Flow Statement'!Q29+IF(14='Assumption Setting'!$C$190,$C$9,0)</f>
        <v>95118.3844734079</v>
      </c>
      <c r="Q42" s="99" t="n">
        <f aca="false">P42+'Cash Flow Statement'!R27+'Cash Flow Statement'!R29+IF(15='Assumption Setting'!$C$190,$C$9,0)</f>
        <v>53815.9551812624</v>
      </c>
      <c r="R42" s="99" t="n">
        <f aca="false">Q42+'Cash Flow Statement'!S27+'Cash Flow Statement'!S29+IF(16='Assumption Setting'!$C$190,$C$9,0)</f>
        <v>12984.1146774189</v>
      </c>
      <c r="S42" s="99" t="n">
        <f aca="false">R42+'Cash Flow Statement'!T27+'Cash Flow Statement'!T29+IF(17='Assumption Setting'!$C$190,$C$9,0)</f>
        <v>-24140.7945466237</v>
      </c>
      <c r="T42" s="99" t="n">
        <f aca="false">S42+'Cash Flow Statement'!U27+'Cash Flow Statement'!U29+IF(18='Assumption Setting'!$C$190,$C$9,0)</f>
        <v>-58495.9212848873</v>
      </c>
      <c r="U42" s="99" t="n">
        <f aca="false">T42+'Cash Flow Statement'!V27+'Cash Flow Statement'!V29+IF(19='Assumption Setting'!$C$190,$C$9,0)</f>
        <v>-91124.0090485531</v>
      </c>
      <c r="V42" s="99" t="n">
        <f aca="false">U42+'Cash Flow Statement'!W27+'Cash Flow Statement'!W29+IF(20='Assumption Setting'!$C$190,$C$9,0)</f>
        <v>-120651.467394943</v>
      </c>
      <c r="W42" s="99" t="n">
        <f aca="false">V42+'Cash Flow Statement'!X27+'Cash Flow Statement'!X29+IF(21='Assumption Setting'!$C$190,$C$9,0)</f>
        <v>-147947.767970875</v>
      </c>
      <c r="X42" s="99" t="n">
        <f aca="false">W42+'Cash Flow Statement'!Y27+'Cash Flow Statement'!Y29+IF(22='Assumption Setting'!$C$190,$C$9,0)</f>
        <v>-172402.098785024</v>
      </c>
      <c r="Y42" s="99" t="n">
        <f aca="false">X42+'Cash Flow Statement'!Z27+'Cash Flow Statement'!Z29+IF(23='Assumption Setting'!$C$190,$C$9,0)</f>
        <v>-193882.518093102</v>
      </c>
      <c r="Z42" s="99" t="n">
        <f aca="false">Y42+'Cash Flow Statement'!AA27+'Cash Flow Statement'!AA29+IF(24='Assumption Setting'!$C$190,$C$9,0)</f>
        <v>-212726.435234861</v>
      </c>
      <c r="AA42" s="99" t="n">
        <f aca="false">Z42+'Cash Flow Statement'!AC27+'Cash Flow Statement'!AC29+IF(25='Assumption Setting'!$C$190,$C$9,0)</f>
        <v>-232037.075170042</v>
      </c>
      <c r="AB42" s="99" t="n">
        <f aca="false">AA42+'Cash Flow Statement'!AD27+'Cash Flow Statement'!AD29+IF(26='Assumption Setting'!$C$190,$C$9,0)</f>
        <v>-267077.508294448</v>
      </c>
      <c r="AC42" s="99" t="n">
        <f aca="false">AB42+'Cash Flow Statement'!AE27+'Cash Flow Statement'!AE29+IF(27='Assumption Setting'!$C$190,$C$9,0)</f>
        <v>-290146.382328821</v>
      </c>
      <c r="AD42" s="99" t="n">
        <f aca="false">AC42+'Cash Flow Statement'!AF27+'Cash Flow Statement'!AF29+IF(28='Assumption Setting'!$C$190,$C$9,0)</f>
        <v>-308284.257611079</v>
      </c>
      <c r="AE42" s="99" t="n">
        <f aca="false">AD42+'Cash Flow Statement'!AG27+'Cash Flow Statement'!AG29+IF(29='Assumption Setting'!$C$190,$C$9,0)</f>
        <v>-321523.102631671</v>
      </c>
      <c r="AF42" s="99" t="n">
        <f aca="false">AE42+'Cash Flow Statement'!AH27+'Cash Flow Statement'!AH29+IF(30='Assumption Setting'!$C$190,$C$9,0)</f>
        <v>-328515.88623461</v>
      </c>
      <c r="AG42" s="99" t="n">
        <f aca="false">AF42+'Cash Flow Statement'!AI27+'Cash Flow Statement'!AI29+IF(31='Assumption Setting'!$C$190,$C$9,0)</f>
        <v>-331397.525810733</v>
      </c>
      <c r="AH42" s="99" t="n">
        <f aca="false">AG42+'Cash Flow Statement'!AJ27+'Cash Flow Statement'!AJ29+IF(32='Assumption Setting'!$C$190,$C$9,0)</f>
        <v>-328250.643177203</v>
      </c>
      <c r="AI42" s="99" t="n">
        <f aca="false">AH42+'Cash Flow Statement'!AK27+'Cash Flow Statement'!AK29+IF(33='Assumption Setting'!$C$190,$C$9,0)</f>
        <v>-319770.376214227</v>
      </c>
      <c r="AJ42" s="99" t="n">
        <f aca="false">AI42+'Cash Flow Statement'!AL27+'Cash Flow Statement'!AL29+IF(34='Assumption Setting'!$C$190,$C$9,0)</f>
        <v>-306560.08668937</v>
      </c>
      <c r="AK42" s="99" t="n">
        <f aca="false">AJ42+'Cash Flow Statement'!AM27+'Cash Flow Statement'!AM29+IF(35='Assumption Setting'!$C$190,$C$9,0)</f>
        <v>-287162.406156803</v>
      </c>
      <c r="AL42" s="99" t="n">
        <f aca="false">AK42+'Cash Flow Statement'!AN27+'Cash Flow Statement'!AN29+IF(36='Assumption Setting'!$C$190,$C$9,0)</f>
        <v>-261682.054591861</v>
      </c>
      <c r="AM42" s="99" t="n">
        <f aca="false">AL42+'Cash Flow Statement'!AP27+'Cash Flow Statement'!AP29+IF(37='Assumption Setting'!$C$190,$C$9,0)</f>
        <v>-205787.333450617</v>
      </c>
      <c r="AN42" s="99" t="n">
        <f aca="false">AM42+'Cash Flow Statement'!AQ27+'Cash Flow Statement'!AQ29+IF(38='Assumption Setting'!$C$190,$C$9,0)</f>
        <v>-183532.357272543</v>
      </c>
      <c r="AO42" s="99" t="n">
        <f aca="false">AN42+'Cash Flow Statement'!AR27+'Cash Flow Statement'!AR29+IF(39='Assumption Setting'!$C$190,$C$9,0)</f>
        <v>-146482.71100039</v>
      </c>
      <c r="AP42" s="99" t="n">
        <f aca="false">AO42+'Cash Flow Statement'!AS27+'Cash Flow Statement'!AS29+IF(40='Assumption Setting'!$C$190,$C$9,0)</f>
        <v>-100422.53689718</v>
      </c>
      <c r="AQ42" s="99" t="n">
        <f aca="false">AP42+'Cash Flow Statement'!AT27+'Cash Flow Statement'!AT29+IF(41='Assumption Setting'!$C$190,$C$9,0)</f>
        <v>-45386.5774207477</v>
      </c>
      <c r="AR42" s="99" t="n">
        <f aca="false">AQ42+'Cash Flow Statement'!AU27+'Cash Flow Statement'!AU29+IF(42='Assumption Setting'!$C$190,$C$9,0)</f>
        <v>18526.4700604602</v>
      </c>
      <c r="AS42" s="99" t="n">
        <f aca="false">AR42+'Cash Flow Statement'!AV27+'Cash Flow Statement'!AV29+IF(43='Assumption Setting'!$C$190,$C$9,0)</f>
        <v>90341.7519767891</v>
      </c>
      <c r="AT42" s="99" t="n">
        <f aca="false">AS42+'Cash Flow Statement'!AW27+'Cash Flow Statement'!AW29+IF(44='Assumption Setting'!$C$190,$C$9,0)</f>
        <v>170865.814187408</v>
      </c>
      <c r="AU42" s="99" t="n">
        <f aca="false">AT42+'Cash Flow Statement'!AX27+'Cash Flow Statement'!AX29+IF(45='Assumption Setting'!$C$190,$C$9,0)</f>
        <v>260456.950293873</v>
      </c>
      <c r="AV42" s="99" t="n">
        <f aca="false">AU42+'Cash Flow Statement'!AY27+'Cash Flow Statement'!AY29+IF(46='Assumption Setting'!$C$190,$C$9,0)</f>
        <v>358663.173340651</v>
      </c>
      <c r="AW42" s="99" t="n">
        <f aca="false">AV42+'Cash Flow Statement'!AZ27+'Cash Flow Statement'!AZ29+IF(47='Assumption Setting'!$C$190,$C$9,0)</f>
        <v>465449.189687948</v>
      </c>
      <c r="AX42" s="99" t="n">
        <f aca="false">AW42+'Cash Flow Statement'!BA27+'Cash Flow Statement'!BA29+IF(48='Assumption Setting'!$C$190,$C$9,0)</f>
        <v>581867.559823444</v>
      </c>
      <c r="AY42" s="99" t="n">
        <f aca="false">AX42+'Cash Flow Statement'!BC27+'Cash Flow Statement'!BC29+IF(49='Assumption Setting'!$C$190,$C$9,0)</f>
        <v>759506.964892469</v>
      </c>
      <c r="AZ42" s="99" t="n">
        <f aca="false">AY42+'Cash Flow Statement'!BD27+'Cash Flow Statement'!BD29+IF(50='Assumption Setting'!$C$190,$C$9,0)</f>
        <v>880089.886247573</v>
      </c>
      <c r="BA42" s="99" t="n">
        <f aca="false">AZ42+'Cash Flow Statement'!BE27+'Cash Flow Statement'!BE29+IF(51='Assumption Setting'!$C$190,$C$9,0)</f>
        <v>1016980.76945203</v>
      </c>
      <c r="BB42" s="99" t="n">
        <f aca="false">BA42+'Cash Flow Statement'!BF27+'Cash Flow Statement'!BF29+IF(52='Assumption Setting'!$C$190,$C$9,0)</f>
        <v>1166787.05670163</v>
      </c>
      <c r="BC42" s="99" t="n">
        <f aca="false">BB42+'Cash Flow Statement'!BG27+'Cash Flow Statement'!BG29+IF(53='Assumption Setting'!$C$190,$C$9,0)</f>
        <v>1327642.55528118</v>
      </c>
      <c r="BD42" s="99" t="n">
        <f aca="false">BC42+'Cash Flow Statement'!BH27+'Cash Flow Statement'!BH29+IF(54='Assumption Setting'!$C$190,$C$9,0)</f>
        <v>1498267.73014801</v>
      </c>
      <c r="BE42" s="99" t="n">
        <f aca="false">BD42+'Cash Flow Statement'!BI27+'Cash Flow Statement'!BI29+IF(55='Assumption Setting'!$C$190,$C$9,0)</f>
        <v>1678344.32868904</v>
      </c>
      <c r="BF42" s="99" t="n">
        <f aca="false">BE42+'Cash Flow Statement'!BJ27+'Cash Flow Statement'!BJ29+IF(56='Assumption Setting'!$C$190,$C$9,0)</f>
        <v>1870844.53159411</v>
      </c>
      <c r="BG42" s="99" t="n">
        <f aca="false">BF42+'Cash Flow Statement'!BK27+'Cash Flow Statement'!BK29+IF(57='Assumption Setting'!$C$190,$C$9,0)</f>
        <v>2074390.20884418</v>
      </c>
      <c r="BH42" s="99" t="n">
        <f aca="false">BG42+'Cash Flow Statement'!BL27+'Cash Flow Statement'!BL29+IF(58='Assumption Setting'!$C$190,$C$9,0)</f>
        <v>2287408.10593138</v>
      </c>
      <c r="BI42" s="99" t="n">
        <f aca="false">BH42+'Cash Flow Statement'!BM27+'Cash Flow Statement'!BM29+IF(59='Assumption Setting'!$C$190,$C$9,0)</f>
        <v>2510553.42301517</v>
      </c>
      <c r="BJ42" s="99" t="n">
        <f aca="false">BI42+'Cash Flow Statement'!BN27+'Cash Flow Statement'!BN29+IF(60='Assumption Setting'!$C$190,$C$9,0)</f>
        <v>2745853.68084787</v>
      </c>
    </row>
    <row r="43" customFormat="false" ht="15" hidden="false" customHeight="false" outlineLevel="0" collapsed="false">
      <c r="A43" s="4" t="s">
        <v>1116</v>
      </c>
      <c r="C43" s="99" t="n">
        <f aca="false">C42</f>
        <v>542291.82038835</v>
      </c>
      <c r="D43" s="99" t="n">
        <f aca="false">MIN(C43,D42)</f>
        <v>498317.680179269</v>
      </c>
      <c r="E43" s="99" t="n">
        <f aca="false">MIN(D43,E42)</f>
        <v>461394.868058835</v>
      </c>
      <c r="F43" s="99" t="n">
        <f aca="false">MIN(E43,F42)</f>
        <v>427091.898335236</v>
      </c>
      <c r="G43" s="99" t="n">
        <f aca="false">MIN(F43,G42)</f>
        <v>393706.645658798</v>
      </c>
      <c r="H43" s="99" t="n">
        <f aca="false">MIN(G43,H42)</f>
        <v>361235.096913506</v>
      </c>
      <c r="I43" s="99" t="n">
        <f aca="false">MIN(H43,I42)</f>
        <v>329672.094836836</v>
      </c>
      <c r="J43" s="99" t="n">
        <f aca="false">MIN(I43,J42)</f>
        <v>299011.418421435</v>
      </c>
      <c r="K43" s="99" t="n">
        <f aca="false">MIN(J43,K42)</f>
        <v>269245.874747794</v>
      </c>
      <c r="L43" s="99" t="n">
        <f aca="false">MIN(K43,L42)</f>
        <v>240367.385063705</v>
      </c>
      <c r="M43" s="99" t="n">
        <f aca="false">MIN(L43,M42)</f>
        <v>212367.065436644</v>
      </c>
      <c r="N43" s="99" t="n">
        <f aca="false">MIN(M43,N42)</f>
        <v>185235.302287375</v>
      </c>
      <c r="O43" s="99" t="n">
        <f aca="false">MIN(N43,O42)</f>
        <v>143556.285085088</v>
      </c>
      <c r="P43" s="99" t="n">
        <f aca="false">MIN(O43,P42)</f>
        <v>95118.3844734079</v>
      </c>
      <c r="Q43" s="99" t="n">
        <f aca="false">MIN(P43,Q42)</f>
        <v>53815.9551812624</v>
      </c>
      <c r="R43" s="99" t="n">
        <f aca="false">MIN(Q43,R42)</f>
        <v>12984.1146774189</v>
      </c>
      <c r="S43" s="99" t="n">
        <f aca="false">MIN(R43,S42)</f>
        <v>-24140.7945466237</v>
      </c>
      <c r="T43" s="99" t="n">
        <f aca="false">MIN(S43,T42)</f>
        <v>-58495.9212848873</v>
      </c>
      <c r="U43" s="99" t="n">
        <f aca="false">MIN(T43,U42)</f>
        <v>-91124.0090485531</v>
      </c>
      <c r="V43" s="99" t="n">
        <f aca="false">MIN(U43,V42)</f>
        <v>-120651.467394943</v>
      </c>
      <c r="W43" s="99" t="n">
        <f aca="false">MIN(V43,W42)</f>
        <v>-147947.767970875</v>
      </c>
      <c r="X43" s="99" t="n">
        <f aca="false">MIN(W43,X42)</f>
        <v>-172402.098785024</v>
      </c>
      <c r="Y43" s="99" t="n">
        <f aca="false">MIN(X43,Y42)</f>
        <v>-193882.518093102</v>
      </c>
      <c r="Z43" s="99" t="n">
        <f aca="false">MIN(Y43,Z42)</f>
        <v>-212726.435234861</v>
      </c>
      <c r="AA43" s="99" t="n">
        <f aca="false">MIN(Z43,AA42)</f>
        <v>-232037.075170042</v>
      </c>
      <c r="AB43" s="99" t="n">
        <f aca="false">MIN(AA43,AB42)</f>
        <v>-267077.508294448</v>
      </c>
      <c r="AC43" s="99" t="n">
        <f aca="false">MIN(AB43,AC42)</f>
        <v>-290146.382328821</v>
      </c>
      <c r="AD43" s="99" t="n">
        <f aca="false">MIN(AC43,AD42)</f>
        <v>-308284.257611079</v>
      </c>
      <c r="AE43" s="99" t="n">
        <f aca="false">MIN(AD43,AE42)</f>
        <v>-321523.102631671</v>
      </c>
      <c r="AF43" s="99" t="n">
        <f aca="false">MIN(AE43,AF42)</f>
        <v>-328515.88623461</v>
      </c>
      <c r="AG43" s="99" t="n">
        <f aca="false">MIN(AF43,AG42)</f>
        <v>-331397.525810733</v>
      </c>
      <c r="AH43" s="99" t="n">
        <f aca="false">MIN(AG43,AH42)</f>
        <v>-331397.525810733</v>
      </c>
      <c r="AI43" s="99" t="n">
        <f aca="false">MIN(AH43,AI42)</f>
        <v>-331397.525810733</v>
      </c>
      <c r="AJ43" s="99" t="n">
        <f aca="false">MIN(AI43,AJ42)</f>
        <v>-331397.525810733</v>
      </c>
      <c r="AK43" s="99" t="n">
        <f aca="false">MIN(AJ43,AK42)</f>
        <v>-331397.525810733</v>
      </c>
      <c r="AL43" s="99" t="n">
        <f aca="false">MIN(AK43,AL42)</f>
        <v>-331397.525810733</v>
      </c>
      <c r="AM43" s="99" t="n">
        <f aca="false">MIN(AL43,AM42)</f>
        <v>-331397.525810733</v>
      </c>
      <c r="AN43" s="99" t="n">
        <f aca="false">MIN(AM43,AN42)</f>
        <v>-331397.525810733</v>
      </c>
      <c r="AO43" s="99" t="n">
        <f aca="false">MIN(AN43,AO42)</f>
        <v>-331397.525810733</v>
      </c>
      <c r="AP43" s="99" t="n">
        <f aca="false">MIN(AO43,AP42)</f>
        <v>-331397.525810733</v>
      </c>
      <c r="AQ43" s="99" t="n">
        <f aca="false">MIN(AP43,AQ42)</f>
        <v>-331397.525810733</v>
      </c>
      <c r="AR43" s="99" t="n">
        <f aca="false">MIN(AQ43,AR42)</f>
        <v>-331397.525810733</v>
      </c>
      <c r="AS43" s="99" t="n">
        <f aca="false">MIN(AR43,AS42)</f>
        <v>-331397.525810733</v>
      </c>
      <c r="AT43" s="99" t="n">
        <f aca="false">MIN(AS43,AT42)</f>
        <v>-331397.525810733</v>
      </c>
      <c r="AU43" s="99" t="n">
        <f aca="false">MIN(AT43,AU42)</f>
        <v>-331397.525810733</v>
      </c>
      <c r="AV43" s="99" t="n">
        <f aca="false">MIN(AU43,AV42)</f>
        <v>-331397.525810733</v>
      </c>
      <c r="AW43" s="99" t="n">
        <f aca="false">MIN(AV43,AW42)</f>
        <v>-331397.525810733</v>
      </c>
      <c r="AX43" s="99" t="n">
        <f aca="false">MIN(AW43,AX42)</f>
        <v>-331397.525810733</v>
      </c>
      <c r="AY43" s="99" t="n">
        <f aca="false">MIN(AX43,AY42)</f>
        <v>-331397.525810733</v>
      </c>
      <c r="AZ43" s="99" t="n">
        <f aca="false">MIN(AY43,AZ42)</f>
        <v>-331397.525810733</v>
      </c>
      <c r="BA43" s="99" t="n">
        <f aca="false">MIN(AZ43,BA42)</f>
        <v>-331397.525810733</v>
      </c>
      <c r="BB43" s="99" t="n">
        <f aca="false">MIN(BA43,BB42)</f>
        <v>-331397.525810733</v>
      </c>
      <c r="BC43" s="99" t="n">
        <f aca="false">MIN(BB43,BC42)</f>
        <v>-331397.525810733</v>
      </c>
      <c r="BD43" s="99" t="n">
        <f aca="false">MIN(BC43,BD42)</f>
        <v>-331397.525810733</v>
      </c>
      <c r="BE43" s="99" t="n">
        <f aca="false">MIN(BD43,BE42)</f>
        <v>-331397.525810733</v>
      </c>
      <c r="BF43" s="99" t="n">
        <f aca="false">MIN(BE43,BF42)</f>
        <v>-331397.525810733</v>
      </c>
      <c r="BG43" s="99" t="n">
        <f aca="false">MIN(BF43,BG42)</f>
        <v>-331397.525810733</v>
      </c>
      <c r="BH43" s="99" t="n">
        <f aca="false">MIN(BG43,BH42)</f>
        <v>-331397.525810733</v>
      </c>
      <c r="BI43" s="99" t="n">
        <f aca="false">MIN(BH43,BI42)</f>
        <v>-331397.525810733</v>
      </c>
      <c r="BJ43" s="99" t="n">
        <f aca="false">MIN(BI43,BJ42)</f>
        <v>-331397.525810733</v>
      </c>
    </row>
    <row r="45" customFormat="false" ht="15" hidden="false" customHeight="false" outlineLevel="0" collapsed="false">
      <c r="A45" s="4" t="s">
        <v>1117</v>
      </c>
      <c r="C45" s="99" t="n">
        <f aca="false">MIN(C42:BJ42)</f>
        <v>-331397.525810733</v>
      </c>
    </row>
    <row r="46" customFormat="false" ht="15" hidden="false" customHeight="false" outlineLevel="0" collapsed="false">
      <c r="A46" s="4" t="s">
        <v>1118</v>
      </c>
      <c r="C46" s="74" t="n">
        <f aca="false">COUNTIF(C43:BJ43,"&gt;=0")</f>
        <v>16</v>
      </c>
      <c r="D46" s="33" t="s">
        <v>1119</v>
      </c>
    </row>
    <row r="47" customFormat="false" ht="15" hidden="false" customHeight="false" outlineLevel="0" collapsed="false">
      <c r="A47" s="4" t="s">
        <v>1120</v>
      </c>
      <c r="C47" s="74" t="n">
        <f aca="false">COUNTIF(C43:BJ43,"&gt;="&amp;'Assumption Setting'!$C$191)</f>
        <v>14</v>
      </c>
    </row>
    <row r="48" customFormat="false" ht="15" hidden="false" customHeight="false" outlineLevel="0" collapsed="false">
      <c r="A48" s="4" t="s">
        <v>1121</v>
      </c>
      <c r="C48" s="99" t="n">
        <f aca="false">MAX(0,'Assumption Setting'!$C$191-C45)</f>
        <v>406397.525810733</v>
      </c>
    </row>
    <row r="49" customFormat="false" ht="15" hidden="false" customHeight="false" outlineLevel="0" collapsed="false">
      <c r="A49" s="13" t="s">
        <v>1122</v>
      </c>
      <c r="C49" s="100" t="n">
        <f aca="false">ROUNDUP(C48/'Assumption Setting'!$C$192,0)*'Assumption Setting'!$C$192</f>
        <v>450000</v>
      </c>
      <c r="D49" s="33" t="s">
        <v>1123</v>
      </c>
    </row>
    <row r="50" customFormat="false" ht="15" hidden="false" customHeight="false" outlineLevel="0" collapsed="false">
      <c r="A50" s="4" t="s">
        <v>1124</v>
      </c>
      <c r="C50" s="108" t="n">
        <f aca="false">'Assumption Setting'!$C$193</f>
        <v>13</v>
      </c>
    </row>
    <row r="51" customFormat="false" ht="15" hidden="false" customHeight="false" outlineLevel="0" collapsed="false">
      <c r="A51" s="4" t="s">
        <v>1125</v>
      </c>
      <c r="C51" s="99" t="n">
        <f aca="false">'Assumption Setting'!$C$17+C9+C49</f>
        <v>1050000</v>
      </c>
    </row>
    <row r="53" customFormat="false" ht="15" hidden="false" customHeight="false" outlineLevel="0" collapsed="false">
      <c r="A53" s="9" t="s">
        <v>1126</v>
      </c>
      <c r="B53" s="10"/>
      <c r="C53" s="10"/>
      <c r="D53" s="10"/>
      <c r="E53" s="10"/>
      <c r="F53" s="10"/>
      <c r="G53" s="10"/>
      <c r="H53" s="10"/>
    </row>
    <row r="54" customFormat="false" ht="15" hidden="false" customHeight="false" outlineLevel="0" collapsed="false">
      <c r="A54" s="4" t="s">
        <v>1127</v>
      </c>
      <c r="C54" s="17" t="n">
        <f aca="false">Acquisitions!B124</f>
        <v>319.895176723777</v>
      </c>
    </row>
    <row r="55" customFormat="false" ht="15" hidden="false" customHeight="false" outlineLevel="0" collapsed="false">
      <c r="A55" s="4" t="s">
        <v>1128</v>
      </c>
      <c r="C55" s="17" t="n">
        <f aca="false">Acquisitions!O124</f>
        <v>1234.8022542943</v>
      </c>
    </row>
    <row r="56" customFormat="false" ht="15" hidden="false" customHeight="false" outlineLevel="0" collapsed="false">
      <c r="A56" s="4" t="s">
        <v>1129</v>
      </c>
      <c r="C56" s="17" t="n">
        <f aca="false">Acquisitions!AB124</f>
        <v>3089.92911183532</v>
      </c>
    </row>
    <row r="57" customFormat="false" ht="15" hidden="false" customHeight="false" outlineLevel="0" collapsed="false">
      <c r="A57" s="4" t="s">
        <v>1130</v>
      </c>
      <c r="C57" s="15" t="n">
        <f aca="false">'Total Revenue'!O23</f>
        <v>443128.980909404</v>
      </c>
    </row>
    <row r="58" customFormat="false" ht="15" hidden="false" customHeight="false" outlineLevel="0" collapsed="false">
      <c r="A58" s="4" t="s">
        <v>1131</v>
      </c>
      <c r="C58" s="108" t="n">
        <f aca="false">'Assumption Setting'!$C$130</f>
        <v>1</v>
      </c>
    </row>
    <row r="59" customFormat="false" ht="15" hidden="false" customHeight="false" outlineLevel="0" collapsed="false">
      <c r="A59" s="4" t="s">
        <v>1132</v>
      </c>
      <c r="C59" s="108" t="n">
        <f aca="false">'Assumption Setting'!$C$132</f>
        <v>19</v>
      </c>
    </row>
    <row r="60" customFormat="false" ht="15" hidden="false" customHeight="false" outlineLevel="0" collapsed="false">
      <c r="A60" s="4" t="s">
        <v>1133</v>
      </c>
      <c r="C60" s="108" t="n">
        <f aca="false">'Assumption Setting'!$C$133</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4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92"/>
  </cols>
  <sheetData>
    <row r="2" customFormat="false" ht="24.45" hidden="false" customHeight="false" outlineLevel="0" collapsed="false">
      <c r="B2" s="34" t="s">
        <v>71</v>
      </c>
    </row>
    <row r="5" customFormat="false" ht="15" hidden="false" customHeight="false" outlineLevel="0" collapsed="false">
      <c r="B5" s="35" t="s">
        <v>1134</v>
      </c>
      <c r="C5" s="36" t="s">
        <v>73</v>
      </c>
    </row>
    <row r="6" customFormat="false" ht="15" hidden="false" customHeight="false" outlineLevel="0" collapsed="false">
      <c r="B6" s="35" t="s">
        <v>1135</v>
      </c>
      <c r="C6" s="36" t="s">
        <v>75</v>
      </c>
    </row>
    <row r="7" customFormat="false" ht="15" hidden="false" customHeight="false" outlineLevel="0" collapsed="false">
      <c r="B7" s="35" t="s">
        <v>1136</v>
      </c>
      <c r="C7" s="36" t="s">
        <v>77</v>
      </c>
    </row>
    <row r="8" customFormat="false" ht="15" hidden="false" customHeight="false" outlineLevel="0" collapsed="false">
      <c r="B8" s="35" t="s">
        <v>1137</v>
      </c>
      <c r="C8" s="36" t="s">
        <v>79</v>
      </c>
    </row>
    <row r="9" customFormat="false" ht="15" hidden="false" customHeight="false" outlineLevel="0" collapsed="false">
      <c r="B9" s="35" t="s">
        <v>1138</v>
      </c>
      <c r="C9" s="36" t="s">
        <v>81</v>
      </c>
    </row>
    <row r="10" customFormat="false" ht="15" hidden="false" customHeight="false" outlineLevel="0" collapsed="false">
      <c r="B10" s="35" t="s">
        <v>1139</v>
      </c>
      <c r="C10" s="36"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3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1134</v>
      </c>
    </row>
    <row r="2" customFormat="false" ht="15" hidden="false" customHeight="false" outlineLevel="0" collapsed="false">
      <c r="A2" s="8" t="s">
        <v>1140</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1141</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11"/>
      <c r="B5" s="12"/>
      <c r="C5" s="12" t="s">
        <v>87</v>
      </c>
      <c r="D5" s="12" t="s">
        <v>88</v>
      </c>
      <c r="E5" s="12" t="s">
        <v>89</v>
      </c>
      <c r="F5" s="12" t="s">
        <v>90</v>
      </c>
      <c r="G5" s="12" t="s">
        <v>91</v>
      </c>
    </row>
    <row r="6" customFormat="false" ht="15" hidden="false" customHeight="false" outlineLevel="0" collapsed="false">
      <c r="A6" s="4" t="s">
        <v>1142</v>
      </c>
      <c r="C6" s="15" t="n">
        <f aca="false">'Total Revenue'!B18</f>
        <v>68602.0541359569</v>
      </c>
      <c r="D6" s="15" t="n">
        <f aca="false">'Total Revenue'!O18</f>
        <v>391860.50917285</v>
      </c>
      <c r="E6" s="15" t="n">
        <f aca="false">'Total Revenue'!AB18</f>
        <v>1221612.70310048</v>
      </c>
      <c r="F6" s="15" t="n">
        <f aca="false">'Total Revenue'!AO18</f>
        <v>2763830.19278589</v>
      </c>
      <c r="G6" s="15" t="n">
        <f aca="false">'Total Revenue'!BB18</f>
        <v>4998712.11121331</v>
      </c>
    </row>
    <row r="7" customFormat="false" ht="15" hidden="false" customHeight="false" outlineLevel="0" collapsed="false">
      <c r="A7" s="4" t="s">
        <v>1143</v>
      </c>
      <c r="C7" s="15" t="n">
        <f aca="false">Expenses!B16</f>
        <v>16252.4431114538</v>
      </c>
      <c r="D7" s="15" t="n">
        <f aca="false">Expenses!O16</f>
        <v>80369.463236007</v>
      </c>
      <c r="E7" s="15" t="n">
        <f aca="false">Expenses!AB16</f>
        <v>227899.167193589</v>
      </c>
      <c r="F7" s="15" t="n">
        <f aca="false">Expenses!AO16</f>
        <v>484737.987175533</v>
      </c>
      <c r="G7" s="15" t="n">
        <f aca="false">Expenses!BB16</f>
        <v>843966.641102474</v>
      </c>
    </row>
    <row r="8" customFormat="false" ht="15" hidden="false" customHeight="false" outlineLevel="0" collapsed="false">
      <c r="A8" s="4" t="s">
        <v>1144</v>
      </c>
      <c r="C8" s="99" t="n">
        <f aca="false">C6-C7</f>
        <v>52349.6110245031</v>
      </c>
      <c r="D8" s="99" t="n">
        <f aca="false">D6-D7</f>
        <v>311491.045936843</v>
      </c>
      <c r="E8" s="99" t="n">
        <f aca="false">E6-E7</f>
        <v>993713.535906895</v>
      </c>
      <c r="F8" s="99" t="n">
        <f aca="false">F6-F7</f>
        <v>2279092.20561036</v>
      </c>
      <c r="G8" s="99" t="n">
        <f aca="false">G6-G7</f>
        <v>4154745.47011083</v>
      </c>
    </row>
    <row r="9" customFormat="false" ht="15" hidden="false" customHeight="false" outlineLevel="0" collapsed="false">
      <c r="A9" s="4" t="s">
        <v>1145</v>
      </c>
      <c r="C9" s="97" t="n">
        <f aca="false">IFERROR(C8/C6,0)</f>
        <v>0.76309101358329</v>
      </c>
      <c r="D9" s="97" t="n">
        <f aca="false">IFERROR(D8/D6,0)</f>
        <v>0.794902876521921</v>
      </c>
      <c r="E9" s="97" t="n">
        <f aca="false">IFERROR(E8/E6,0)</f>
        <v>0.813444010024474</v>
      </c>
      <c r="F9" s="97" t="n">
        <f aca="false">IFERROR(F8/F6,0)</f>
        <v>0.824613687034468</v>
      </c>
      <c r="G9" s="97" t="n">
        <f aca="false">IFERROR(G8/G6,0)</f>
        <v>0.83116318317087</v>
      </c>
    </row>
    <row r="10" customFormat="false" ht="15" hidden="false" customHeight="false" outlineLevel="0" collapsed="false">
      <c r="A10" s="4" t="s">
        <v>1146</v>
      </c>
      <c r="C10" s="15" t="n">
        <f aca="false">Expenses!B47</f>
        <v>481388.819552651</v>
      </c>
      <c r="D10" s="15" t="n">
        <f aca="false">Expenses!O47</f>
        <v>783141.610919365</v>
      </c>
      <c r="E10" s="15" t="n">
        <f aca="false">Expenses!AB47</f>
        <v>1199616.06635437</v>
      </c>
      <c r="F10" s="15" t="n">
        <f aca="false">Expenses!AO47</f>
        <v>1693000.65514328</v>
      </c>
      <c r="G10" s="15" t="n">
        <f aca="false">Expenses!BB47</f>
        <v>2345966.30484154</v>
      </c>
    </row>
    <row r="11" customFormat="false" ht="15" hidden="false" customHeight="false" outlineLevel="0" collapsed="false">
      <c r="A11" s="13" t="s">
        <v>1147</v>
      </c>
      <c r="C11" s="100" t="n">
        <f aca="false">IFERROR(C10/C9,0)</f>
        <v>630840.634975068</v>
      </c>
      <c r="D11" s="100" t="n">
        <f aca="false">IFERROR(D10/D9,0)</f>
        <v>985204.147638744</v>
      </c>
      <c r="E11" s="100" t="n">
        <f aca="false">IFERROR(E10/E9,0)</f>
        <v>1474737.1073742</v>
      </c>
      <c r="F11" s="100" t="n">
        <f aca="false">IFERROR(F10/F9,0)</f>
        <v>2053083.37923879</v>
      </c>
      <c r="G11" s="100" t="n">
        <f aca="false">IFERROR(G10/G9,0)</f>
        <v>2822509.89016589</v>
      </c>
    </row>
    <row r="12" customFormat="false" ht="15" hidden="false" customHeight="false" outlineLevel="0" collapsed="false">
      <c r="A12" s="4" t="s">
        <v>1148</v>
      </c>
      <c r="C12" s="99" t="n">
        <f aca="false">C11/12</f>
        <v>52570.052914589</v>
      </c>
      <c r="D12" s="99" t="n">
        <f aca="false">D11/12</f>
        <v>82100.345636562</v>
      </c>
      <c r="E12" s="99" t="n">
        <f aca="false">E11/12</f>
        <v>122894.75894785</v>
      </c>
      <c r="F12" s="99" t="n">
        <f aca="false">F11/12</f>
        <v>171090.281603233</v>
      </c>
      <c r="G12" s="99" t="n">
        <f aca="false">G11/12</f>
        <v>235209.157513824</v>
      </c>
    </row>
    <row r="13" customFormat="false" ht="15" hidden="false" customHeight="false" outlineLevel="0" collapsed="false">
      <c r="A13" s="4" t="s">
        <v>1149</v>
      </c>
      <c r="C13" s="97" t="n">
        <f aca="false">IFERROR((C6-C11)/C6,0)</f>
        <v>-8.19565227194007</v>
      </c>
      <c r="D13" s="97" t="n">
        <f aca="false">IFERROR((D6-D11)/D6,0)</f>
        <v>-1.51417053920116</v>
      </c>
      <c r="E13" s="97" t="n">
        <f aca="false">IFERROR((E6-E11)/E6,0)</f>
        <v>-0.207205117981571</v>
      </c>
      <c r="F13" s="97" t="n">
        <f aca="false">IFERROR((F6-F11)/F6,0)</f>
        <v>0.257160087259442</v>
      </c>
      <c r="G13" s="97" t="n">
        <f aca="false">IFERROR((G6-G11)/G6,0)</f>
        <v>0.43535258135104</v>
      </c>
    </row>
    <row r="14" customFormat="false" ht="15" hidden="false" customHeight="false" outlineLevel="0" collapsed="false">
      <c r="A14" s="4" t="s">
        <v>1150</v>
      </c>
      <c r="C14" s="110" t="n">
        <f aca="false">IFERROR(C11/(12*'Total Revenue'!B26),0)</f>
        <v>1363.9940216815</v>
      </c>
      <c r="D14" s="110" t="n">
        <f aca="false">IFERROR(D11/(12*'Total Revenue'!O26),0)</f>
        <v>1911.20674470262</v>
      </c>
      <c r="E14" s="110" t="n">
        <f aca="false">IFERROR(E11/(12*'Total Revenue'!AB26),0)</f>
        <v>2582.28226267118</v>
      </c>
      <c r="F14" s="110" t="n">
        <f aca="false">IFERROR(F11/(12*'Total Revenue'!AO26),0)</f>
        <v>3365.04621331436</v>
      </c>
      <c r="G14" s="110" t="n">
        <f aca="false">IFERROR(G11/(12*'Total Revenue'!BB26),0)</f>
        <v>4394.22985293117</v>
      </c>
    </row>
    <row r="15" customFormat="false" ht="15" hidden="false" customHeight="false" outlineLevel="0" collapsed="false">
      <c r="A15" s="4" t="s">
        <v>1151</v>
      </c>
      <c r="C15" s="17" t="n">
        <f aca="false">Acquisitions!B124</f>
        <v>319.895176723777</v>
      </c>
      <c r="D15" s="17" t="n">
        <f aca="false">Acquisitions!O124</f>
        <v>1234.8022542943</v>
      </c>
      <c r="E15" s="17" t="n">
        <f aca="false">Acquisitions!AB124</f>
        <v>3089.92911183532</v>
      </c>
      <c r="F15" s="17" t="n">
        <f aca="false">Acquisitions!AO124</f>
        <v>6004.41741814565</v>
      </c>
      <c r="G15" s="17" t="n">
        <f aca="false">Acquisitions!BB124</f>
        <v>9567.51535066602</v>
      </c>
    </row>
    <row r="17" customFormat="false" ht="15" hidden="false" customHeight="false" outlineLevel="0" collapsed="false">
      <c r="A17" s="9" t="s">
        <v>1152</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row>
    <row r="18" customFormat="false" ht="15" hidden="false" customHeight="false" outlineLevel="0" collapsed="false">
      <c r="A18" s="56" t="s">
        <v>632</v>
      </c>
      <c r="B18" s="57" t="s">
        <v>87</v>
      </c>
      <c r="C18" s="58" t="s">
        <v>562</v>
      </c>
      <c r="D18" s="58" t="s">
        <v>563</v>
      </c>
      <c r="E18" s="58" t="s">
        <v>564</v>
      </c>
      <c r="F18" s="58" t="s">
        <v>565</v>
      </c>
      <c r="G18" s="58" t="s">
        <v>566</v>
      </c>
      <c r="H18" s="58" t="s">
        <v>567</v>
      </c>
      <c r="I18" s="58" t="s">
        <v>568</v>
      </c>
      <c r="J18" s="58" t="s">
        <v>569</v>
      </c>
      <c r="K18" s="58" t="s">
        <v>570</v>
      </c>
      <c r="L18" s="58" t="s">
        <v>571</v>
      </c>
      <c r="M18" s="58" t="s">
        <v>572</v>
      </c>
      <c r="N18" s="58" t="s">
        <v>573</v>
      </c>
      <c r="O18" s="57" t="s">
        <v>88</v>
      </c>
      <c r="P18" s="58" t="s">
        <v>574</v>
      </c>
      <c r="Q18" s="58" t="s">
        <v>575</v>
      </c>
      <c r="R18" s="58" t="s">
        <v>576</v>
      </c>
      <c r="S18" s="58" t="s">
        <v>577</v>
      </c>
      <c r="T18" s="58" t="s">
        <v>578</v>
      </c>
      <c r="U18" s="58" t="s">
        <v>579</v>
      </c>
      <c r="V18" s="58" t="s">
        <v>580</v>
      </c>
      <c r="W18" s="58" t="s">
        <v>581</v>
      </c>
      <c r="X18" s="58" t="s">
        <v>582</v>
      </c>
      <c r="Y18" s="58" t="s">
        <v>583</v>
      </c>
      <c r="Z18" s="58" t="s">
        <v>584</v>
      </c>
      <c r="AA18" s="58" t="s">
        <v>585</v>
      </c>
      <c r="AB18" s="57" t="s">
        <v>89</v>
      </c>
      <c r="AC18" s="58" t="s">
        <v>586</v>
      </c>
      <c r="AD18" s="58" t="s">
        <v>587</v>
      </c>
      <c r="AE18" s="58" t="s">
        <v>588</v>
      </c>
      <c r="AF18" s="58" t="s">
        <v>589</v>
      </c>
      <c r="AG18" s="58" t="s">
        <v>590</v>
      </c>
      <c r="AH18" s="58" t="s">
        <v>591</v>
      </c>
      <c r="AI18" s="58" t="s">
        <v>592</v>
      </c>
      <c r="AJ18" s="58" t="s">
        <v>593</v>
      </c>
      <c r="AK18" s="58" t="s">
        <v>594</v>
      </c>
      <c r="AL18" s="58" t="s">
        <v>595</v>
      </c>
      <c r="AM18" s="58" t="s">
        <v>596</v>
      </c>
      <c r="AN18" s="58" t="s">
        <v>597</v>
      </c>
      <c r="AO18" s="57" t="s">
        <v>90</v>
      </c>
      <c r="AP18" s="58" t="s">
        <v>598</v>
      </c>
      <c r="AQ18" s="58" t="s">
        <v>599</v>
      </c>
      <c r="AR18" s="58" t="s">
        <v>600</v>
      </c>
      <c r="AS18" s="58" t="s">
        <v>601</v>
      </c>
      <c r="AT18" s="58" t="s">
        <v>602</v>
      </c>
      <c r="AU18" s="58" t="s">
        <v>603</v>
      </c>
      <c r="AV18" s="58" t="s">
        <v>604</v>
      </c>
      <c r="AW18" s="58" t="s">
        <v>605</v>
      </c>
      <c r="AX18" s="58" t="s">
        <v>606</v>
      </c>
      <c r="AY18" s="58" t="s">
        <v>607</v>
      </c>
      <c r="AZ18" s="58" t="s">
        <v>608</v>
      </c>
      <c r="BA18" s="58" t="s">
        <v>609</v>
      </c>
      <c r="BB18" s="57" t="s">
        <v>91</v>
      </c>
      <c r="BC18" s="58" t="s">
        <v>610</v>
      </c>
      <c r="BD18" s="58" t="s">
        <v>611</v>
      </c>
      <c r="BE18" s="58" t="s">
        <v>612</v>
      </c>
      <c r="BF18" s="58" t="s">
        <v>613</v>
      </c>
      <c r="BG18" s="58" t="s">
        <v>614</v>
      </c>
      <c r="BH18" s="58" t="s">
        <v>615</v>
      </c>
      <c r="BI18" s="58" t="s">
        <v>616</v>
      </c>
      <c r="BJ18" s="58" t="s">
        <v>617</v>
      </c>
      <c r="BK18" s="58" t="s">
        <v>618</v>
      </c>
      <c r="BL18" s="58" t="s">
        <v>619</v>
      </c>
      <c r="BM18" s="58" t="s">
        <v>620</v>
      </c>
      <c r="BN18" s="58" t="s">
        <v>621</v>
      </c>
    </row>
    <row r="19" customFormat="false" ht="15" hidden="false" customHeight="false" outlineLevel="0" collapsed="false">
      <c r="A19" s="4" t="s">
        <v>1153</v>
      </c>
      <c r="C19" s="74" t="n">
        <f aca="false">IF(Expenses!C52&gt;0,1,9999)</f>
        <v>9999</v>
      </c>
      <c r="D19" s="74" t="n">
        <f aca="false">IF(Expenses!D52&gt;0,2,9999)</f>
        <v>9999</v>
      </c>
      <c r="E19" s="74" t="n">
        <f aca="false">IF(Expenses!E52&gt;0,3,9999)</f>
        <v>9999</v>
      </c>
      <c r="F19" s="74" t="n">
        <f aca="false">IF(Expenses!F52&gt;0,4,9999)</f>
        <v>9999</v>
      </c>
      <c r="G19" s="74" t="n">
        <f aca="false">IF(Expenses!G52&gt;0,5,9999)</f>
        <v>9999</v>
      </c>
      <c r="H19" s="74" t="n">
        <f aca="false">IF(Expenses!H52&gt;0,6,9999)</f>
        <v>9999</v>
      </c>
      <c r="I19" s="74" t="n">
        <f aca="false">IF(Expenses!I52&gt;0,7,9999)</f>
        <v>9999</v>
      </c>
      <c r="J19" s="74" t="n">
        <f aca="false">IF(Expenses!J52&gt;0,8,9999)</f>
        <v>9999</v>
      </c>
      <c r="K19" s="74" t="n">
        <f aca="false">IF(Expenses!K52&gt;0,9,9999)</f>
        <v>9999</v>
      </c>
      <c r="L19" s="74" t="n">
        <f aca="false">IF(Expenses!L52&gt;0,10,9999)</f>
        <v>9999</v>
      </c>
      <c r="M19" s="74" t="n">
        <f aca="false">IF(Expenses!M52&gt;0,11,9999)</f>
        <v>9999</v>
      </c>
      <c r="N19" s="74" t="n">
        <f aca="false">IF(Expenses!N52&gt;0,12,9999)</f>
        <v>9999</v>
      </c>
      <c r="P19" s="74" t="n">
        <f aca="false">IF(Expenses!P52&gt;0,13,9999)</f>
        <v>9999</v>
      </c>
      <c r="Q19" s="74" t="n">
        <f aca="false">IF(Expenses!Q52&gt;0,14,9999)</f>
        <v>9999</v>
      </c>
      <c r="R19" s="74" t="n">
        <f aca="false">IF(Expenses!R52&gt;0,15,9999)</f>
        <v>9999</v>
      </c>
      <c r="S19" s="74" t="n">
        <f aca="false">IF(Expenses!S52&gt;0,16,9999)</f>
        <v>9999</v>
      </c>
      <c r="T19" s="74" t="n">
        <f aca="false">IF(Expenses!T52&gt;0,17,9999)</f>
        <v>9999</v>
      </c>
      <c r="U19" s="74" t="n">
        <f aca="false">IF(Expenses!U52&gt;0,18,9999)</f>
        <v>9999</v>
      </c>
      <c r="V19" s="74" t="n">
        <f aca="false">IF(Expenses!V52&gt;0,19,9999)</f>
        <v>9999</v>
      </c>
      <c r="W19" s="74" t="n">
        <f aca="false">IF(Expenses!W52&gt;0,20,9999)</f>
        <v>9999</v>
      </c>
      <c r="X19" s="74" t="n">
        <f aca="false">IF(Expenses!X52&gt;0,21,9999)</f>
        <v>9999</v>
      </c>
      <c r="Y19" s="74" t="n">
        <f aca="false">IF(Expenses!Y52&gt;0,22,9999)</f>
        <v>9999</v>
      </c>
      <c r="Z19" s="74" t="n">
        <f aca="false">IF(Expenses!Z52&gt;0,23,9999)</f>
        <v>9999</v>
      </c>
      <c r="AA19" s="74" t="n">
        <f aca="false">IF(Expenses!AA52&gt;0,24,9999)</f>
        <v>9999</v>
      </c>
      <c r="AC19" s="74" t="n">
        <f aca="false">IF(Expenses!AC52&gt;0,25,9999)</f>
        <v>9999</v>
      </c>
      <c r="AD19" s="74" t="n">
        <f aca="false">IF(Expenses!AD52&gt;0,26,9999)</f>
        <v>9999</v>
      </c>
      <c r="AE19" s="74" t="n">
        <f aca="false">IF(Expenses!AE52&gt;0,27,9999)</f>
        <v>9999</v>
      </c>
      <c r="AF19" s="74" t="n">
        <f aca="false">IF(Expenses!AF52&gt;0,28,9999)</f>
        <v>9999</v>
      </c>
      <c r="AG19" s="74" t="n">
        <f aca="false">IF(Expenses!AG52&gt;0,29,9999)</f>
        <v>9999</v>
      </c>
      <c r="AH19" s="74" t="n">
        <f aca="false">IF(Expenses!AH52&gt;0,30,9999)</f>
        <v>9999</v>
      </c>
      <c r="AI19" s="74" t="n">
        <f aca="false">IF(Expenses!AI52&gt;0,31,9999)</f>
        <v>9999</v>
      </c>
      <c r="AJ19" s="74" t="n">
        <f aca="false">IF(Expenses!AJ52&gt;0,32,9999)</f>
        <v>9999</v>
      </c>
      <c r="AK19" s="74" t="n">
        <f aca="false">IF(Expenses!AK52&gt;0,33,9999)</f>
        <v>9999</v>
      </c>
      <c r="AL19" s="74" t="n">
        <f aca="false">IF(Expenses!AL52&gt;0,34,9999)</f>
        <v>34</v>
      </c>
      <c r="AM19" s="74" t="n">
        <f aca="false">IF(Expenses!AM52&gt;0,35,9999)</f>
        <v>35</v>
      </c>
      <c r="AN19" s="74" t="n">
        <f aca="false">IF(Expenses!AN52&gt;0,36,9999)</f>
        <v>36</v>
      </c>
      <c r="AP19" s="74" t="n">
        <f aca="false">IF(Expenses!AP52&gt;0,37,9999)</f>
        <v>37</v>
      </c>
      <c r="AQ19" s="74" t="n">
        <f aca="false">IF(Expenses!AQ52&gt;0,38,9999)</f>
        <v>38</v>
      </c>
      <c r="AR19" s="74" t="n">
        <f aca="false">IF(Expenses!AR52&gt;0,39,9999)</f>
        <v>39</v>
      </c>
      <c r="AS19" s="74" t="n">
        <f aca="false">IF(Expenses!AS52&gt;0,40,9999)</f>
        <v>40</v>
      </c>
      <c r="AT19" s="74" t="n">
        <f aca="false">IF(Expenses!AT52&gt;0,41,9999)</f>
        <v>41</v>
      </c>
      <c r="AU19" s="74" t="n">
        <f aca="false">IF(Expenses!AU52&gt;0,42,9999)</f>
        <v>42</v>
      </c>
      <c r="AV19" s="74" t="n">
        <f aca="false">IF(Expenses!AV52&gt;0,43,9999)</f>
        <v>43</v>
      </c>
      <c r="AW19" s="74" t="n">
        <f aca="false">IF(Expenses!AW52&gt;0,44,9999)</f>
        <v>44</v>
      </c>
      <c r="AX19" s="74" t="n">
        <f aca="false">IF(Expenses!AX52&gt;0,45,9999)</f>
        <v>45</v>
      </c>
      <c r="AY19" s="74" t="n">
        <f aca="false">IF(Expenses!AY52&gt;0,46,9999)</f>
        <v>46</v>
      </c>
      <c r="AZ19" s="74" t="n">
        <f aca="false">IF(Expenses!AZ52&gt;0,47,9999)</f>
        <v>47</v>
      </c>
      <c r="BA19" s="74" t="n">
        <f aca="false">IF(Expenses!BA52&gt;0,48,9999)</f>
        <v>48</v>
      </c>
      <c r="BC19" s="74" t="n">
        <f aca="false">IF(Expenses!BC52&gt;0,49,9999)</f>
        <v>49</v>
      </c>
      <c r="BD19" s="74" t="n">
        <f aca="false">IF(Expenses!BD52&gt;0,50,9999)</f>
        <v>50</v>
      </c>
      <c r="BE19" s="74" t="n">
        <f aca="false">IF(Expenses!BE52&gt;0,51,9999)</f>
        <v>51</v>
      </c>
      <c r="BF19" s="74" t="n">
        <f aca="false">IF(Expenses!BF52&gt;0,52,9999)</f>
        <v>52</v>
      </c>
      <c r="BG19" s="74" t="n">
        <f aca="false">IF(Expenses!BG52&gt;0,53,9999)</f>
        <v>53</v>
      </c>
      <c r="BH19" s="74" t="n">
        <f aca="false">IF(Expenses!BH52&gt;0,54,9999)</f>
        <v>54</v>
      </c>
      <c r="BI19" s="74" t="n">
        <f aca="false">IF(Expenses!BI52&gt;0,55,9999)</f>
        <v>55</v>
      </c>
      <c r="BJ19" s="74" t="n">
        <f aca="false">IF(Expenses!BJ52&gt;0,56,9999)</f>
        <v>56</v>
      </c>
      <c r="BK19" s="74" t="n">
        <f aca="false">IF(Expenses!BK52&gt;0,57,9999)</f>
        <v>57</v>
      </c>
      <c r="BL19" s="74" t="n">
        <f aca="false">IF(Expenses!BL52&gt;0,58,9999)</f>
        <v>58</v>
      </c>
      <c r="BM19" s="74" t="n">
        <f aca="false">IF(Expenses!BM52&gt;0,59,9999)</f>
        <v>59</v>
      </c>
      <c r="BN19" s="74" t="n">
        <f aca="false">IF(Expenses!BN52&gt;0,60,9999)</f>
        <v>60</v>
      </c>
    </row>
    <row r="20" customFormat="false" ht="15" hidden="false" customHeight="false" outlineLevel="0" collapsed="false">
      <c r="A20" s="4" t="s">
        <v>1154</v>
      </c>
      <c r="C20" s="74" t="n">
        <f aca="false">IF(AND('Cash Flow Statement'!C27&gt;0,Expenses!C52&gt;0),1,9999)</f>
        <v>9999</v>
      </c>
      <c r="D20" s="74" t="n">
        <f aca="false">IF(AND('Cash Flow Statement'!D27&gt;0,Expenses!D52&gt;0),2,9999)</f>
        <v>9999</v>
      </c>
      <c r="E20" s="74" t="n">
        <f aca="false">IF(AND('Cash Flow Statement'!E27&gt;0,Expenses!E52&gt;0),3,9999)</f>
        <v>9999</v>
      </c>
      <c r="F20" s="74" t="n">
        <f aca="false">IF(AND('Cash Flow Statement'!F27&gt;0,Expenses!F52&gt;0),4,9999)</f>
        <v>9999</v>
      </c>
      <c r="G20" s="74" t="n">
        <f aca="false">IF(AND('Cash Flow Statement'!G27&gt;0,Expenses!G52&gt;0),5,9999)</f>
        <v>9999</v>
      </c>
      <c r="H20" s="74" t="n">
        <f aca="false">IF(AND('Cash Flow Statement'!H27&gt;0,Expenses!H52&gt;0),6,9999)</f>
        <v>9999</v>
      </c>
      <c r="I20" s="74" t="n">
        <f aca="false">IF(AND('Cash Flow Statement'!I27&gt;0,Expenses!I52&gt;0),7,9999)</f>
        <v>9999</v>
      </c>
      <c r="J20" s="74" t="n">
        <f aca="false">IF(AND('Cash Flow Statement'!J27&gt;0,Expenses!J52&gt;0),8,9999)</f>
        <v>9999</v>
      </c>
      <c r="K20" s="74" t="n">
        <f aca="false">IF(AND('Cash Flow Statement'!K27&gt;0,Expenses!K52&gt;0),9,9999)</f>
        <v>9999</v>
      </c>
      <c r="L20" s="74" t="n">
        <f aca="false">IF(AND('Cash Flow Statement'!L27&gt;0,Expenses!L52&gt;0),10,9999)</f>
        <v>9999</v>
      </c>
      <c r="M20" s="74" t="n">
        <f aca="false">IF(AND('Cash Flow Statement'!M27&gt;0,Expenses!M52&gt;0),11,9999)</f>
        <v>9999</v>
      </c>
      <c r="N20" s="74" t="n">
        <f aca="false">IF(AND('Cash Flow Statement'!N27&gt;0,Expenses!N52&gt;0),12,9999)</f>
        <v>9999</v>
      </c>
      <c r="P20" s="74" t="n">
        <f aca="false">IF(AND('Cash Flow Statement'!P27&gt;0,Expenses!P52&gt;0),13,9999)</f>
        <v>9999</v>
      </c>
      <c r="Q20" s="74" t="n">
        <f aca="false">IF(AND('Cash Flow Statement'!Q27&gt;0,Expenses!Q52&gt;0),14,9999)</f>
        <v>9999</v>
      </c>
      <c r="R20" s="74" t="n">
        <f aca="false">IF(AND('Cash Flow Statement'!R27&gt;0,Expenses!R52&gt;0),15,9999)</f>
        <v>9999</v>
      </c>
      <c r="S20" s="74" t="n">
        <f aca="false">IF(AND('Cash Flow Statement'!S27&gt;0,Expenses!S52&gt;0),16,9999)</f>
        <v>9999</v>
      </c>
      <c r="T20" s="74" t="n">
        <f aca="false">IF(AND('Cash Flow Statement'!T27&gt;0,Expenses!T52&gt;0),17,9999)</f>
        <v>9999</v>
      </c>
      <c r="U20" s="74" t="n">
        <f aca="false">IF(AND('Cash Flow Statement'!U27&gt;0,Expenses!U52&gt;0),18,9999)</f>
        <v>9999</v>
      </c>
      <c r="V20" s="74" t="n">
        <f aca="false">IF(AND('Cash Flow Statement'!V27&gt;0,Expenses!V52&gt;0),19,9999)</f>
        <v>9999</v>
      </c>
      <c r="W20" s="74" t="n">
        <f aca="false">IF(AND('Cash Flow Statement'!W27&gt;0,Expenses!W52&gt;0),20,9999)</f>
        <v>9999</v>
      </c>
      <c r="X20" s="74" t="n">
        <f aca="false">IF(AND('Cash Flow Statement'!X27&gt;0,Expenses!X52&gt;0),21,9999)</f>
        <v>9999</v>
      </c>
      <c r="Y20" s="74" t="n">
        <f aca="false">IF(AND('Cash Flow Statement'!Y27&gt;0,Expenses!Y52&gt;0),22,9999)</f>
        <v>9999</v>
      </c>
      <c r="Z20" s="74" t="n">
        <f aca="false">IF(AND('Cash Flow Statement'!Z27&gt;0,Expenses!Z52&gt;0),23,9999)</f>
        <v>9999</v>
      </c>
      <c r="AA20" s="74" t="n">
        <f aca="false">IF(AND('Cash Flow Statement'!AA27&gt;0,Expenses!AA52&gt;0),24,9999)</f>
        <v>9999</v>
      </c>
      <c r="AC20" s="74" t="n">
        <f aca="false">IF(AND('Cash Flow Statement'!AC27&gt;0,Expenses!AC52&gt;0),25,9999)</f>
        <v>9999</v>
      </c>
      <c r="AD20" s="74" t="n">
        <f aca="false">IF(AND('Cash Flow Statement'!AD27&gt;0,Expenses!AD52&gt;0),26,9999)</f>
        <v>9999</v>
      </c>
      <c r="AE20" s="74" t="n">
        <f aca="false">IF(AND('Cash Flow Statement'!AE27&gt;0,Expenses!AE52&gt;0),27,9999)</f>
        <v>9999</v>
      </c>
      <c r="AF20" s="74" t="n">
        <f aca="false">IF(AND('Cash Flow Statement'!AF27&gt;0,Expenses!AF52&gt;0),28,9999)</f>
        <v>9999</v>
      </c>
      <c r="AG20" s="74" t="n">
        <f aca="false">IF(AND('Cash Flow Statement'!AG27&gt;0,Expenses!AG52&gt;0),29,9999)</f>
        <v>9999</v>
      </c>
      <c r="AH20" s="74" t="n">
        <f aca="false">IF(AND('Cash Flow Statement'!AH27&gt;0,Expenses!AH52&gt;0),30,9999)</f>
        <v>9999</v>
      </c>
      <c r="AI20" s="74" t="n">
        <f aca="false">IF(AND('Cash Flow Statement'!AI27&gt;0,Expenses!AI52&gt;0),31,9999)</f>
        <v>9999</v>
      </c>
      <c r="AJ20" s="74" t="n">
        <f aca="false">IF(AND('Cash Flow Statement'!AJ27&gt;0,Expenses!AJ52&gt;0),32,9999)</f>
        <v>9999</v>
      </c>
      <c r="AK20" s="74" t="n">
        <f aca="false">IF(AND('Cash Flow Statement'!AK27&gt;0,Expenses!AK52&gt;0),33,9999)</f>
        <v>9999</v>
      </c>
      <c r="AL20" s="74" t="n">
        <f aca="false">IF(AND('Cash Flow Statement'!AL27&gt;0,Expenses!AL52&gt;0),34,9999)</f>
        <v>34</v>
      </c>
      <c r="AM20" s="74" t="n">
        <f aca="false">IF(AND('Cash Flow Statement'!AM27&gt;0,Expenses!AM52&gt;0),35,9999)</f>
        <v>35</v>
      </c>
      <c r="AN20" s="74" t="n">
        <f aca="false">IF(AND('Cash Flow Statement'!AN27&gt;0,Expenses!AN52&gt;0),36,9999)</f>
        <v>36</v>
      </c>
      <c r="AP20" s="74" t="n">
        <f aca="false">IF(AND('Cash Flow Statement'!AP27&gt;0,Expenses!AP52&gt;0),37,9999)</f>
        <v>37</v>
      </c>
      <c r="AQ20" s="74" t="n">
        <f aca="false">IF(AND('Cash Flow Statement'!AQ27&gt;0,Expenses!AQ52&gt;0),38,9999)</f>
        <v>38</v>
      </c>
      <c r="AR20" s="74" t="n">
        <f aca="false">IF(AND('Cash Flow Statement'!AR27&gt;0,Expenses!AR52&gt;0),39,9999)</f>
        <v>39</v>
      </c>
      <c r="AS20" s="74" t="n">
        <f aca="false">IF(AND('Cash Flow Statement'!AS27&gt;0,Expenses!AS52&gt;0),40,9999)</f>
        <v>40</v>
      </c>
      <c r="AT20" s="74" t="n">
        <f aca="false">IF(AND('Cash Flow Statement'!AT27&gt;0,Expenses!AT52&gt;0),41,9999)</f>
        <v>41</v>
      </c>
      <c r="AU20" s="74" t="n">
        <f aca="false">IF(AND('Cash Flow Statement'!AU27&gt;0,Expenses!AU52&gt;0),42,9999)</f>
        <v>42</v>
      </c>
      <c r="AV20" s="74" t="n">
        <f aca="false">IF(AND('Cash Flow Statement'!AV27&gt;0,Expenses!AV52&gt;0),43,9999)</f>
        <v>43</v>
      </c>
      <c r="AW20" s="74" t="n">
        <f aca="false">IF(AND('Cash Flow Statement'!AW27&gt;0,Expenses!AW52&gt;0),44,9999)</f>
        <v>44</v>
      </c>
      <c r="AX20" s="74" t="n">
        <f aca="false">IF(AND('Cash Flow Statement'!AX27&gt;0,Expenses!AX52&gt;0),45,9999)</f>
        <v>45</v>
      </c>
      <c r="AY20" s="74" t="n">
        <f aca="false">IF(AND('Cash Flow Statement'!AY27&gt;0,Expenses!AY52&gt;0),46,9999)</f>
        <v>46</v>
      </c>
      <c r="AZ20" s="74" t="n">
        <f aca="false">IF(AND('Cash Flow Statement'!AZ27&gt;0,Expenses!AZ52&gt;0),47,9999)</f>
        <v>47</v>
      </c>
      <c r="BA20" s="74" t="n">
        <f aca="false">IF(AND('Cash Flow Statement'!BA27&gt;0,Expenses!BA52&gt;0),48,9999)</f>
        <v>48</v>
      </c>
      <c r="BC20" s="74" t="n">
        <f aca="false">IF(AND('Cash Flow Statement'!BC27&gt;0,Expenses!BC52&gt;0),49,9999)</f>
        <v>49</v>
      </c>
      <c r="BD20" s="74" t="n">
        <f aca="false">IF(AND('Cash Flow Statement'!BD27&gt;0,Expenses!BD52&gt;0),50,9999)</f>
        <v>50</v>
      </c>
      <c r="BE20" s="74" t="n">
        <f aca="false">IF(AND('Cash Flow Statement'!BE27&gt;0,Expenses!BE52&gt;0),51,9999)</f>
        <v>51</v>
      </c>
      <c r="BF20" s="74" t="n">
        <f aca="false">IF(AND('Cash Flow Statement'!BF27&gt;0,Expenses!BF52&gt;0),52,9999)</f>
        <v>52</v>
      </c>
      <c r="BG20" s="74" t="n">
        <f aca="false">IF(AND('Cash Flow Statement'!BG27&gt;0,Expenses!BG52&gt;0),53,9999)</f>
        <v>53</v>
      </c>
      <c r="BH20" s="74" t="n">
        <f aca="false">IF(AND('Cash Flow Statement'!BH27&gt;0,Expenses!BH52&gt;0),54,9999)</f>
        <v>54</v>
      </c>
      <c r="BI20" s="74" t="n">
        <f aca="false">IF(AND('Cash Flow Statement'!BI27&gt;0,Expenses!BI52&gt;0),55,9999)</f>
        <v>55</v>
      </c>
      <c r="BJ20" s="74" t="n">
        <f aca="false">IF(AND('Cash Flow Statement'!BJ27&gt;0,Expenses!BJ52&gt;0),56,9999)</f>
        <v>56</v>
      </c>
      <c r="BK20" s="74" t="n">
        <f aca="false">IF(AND('Cash Flow Statement'!BK27&gt;0,Expenses!BK52&gt;0),57,9999)</f>
        <v>57</v>
      </c>
      <c r="BL20" s="74" t="n">
        <f aca="false">IF(AND('Cash Flow Statement'!BL27&gt;0,Expenses!BL52&gt;0),58,9999)</f>
        <v>58</v>
      </c>
      <c r="BM20" s="74" t="n">
        <f aca="false">IF(AND('Cash Flow Statement'!BM27&gt;0,Expenses!BM52&gt;0),59,9999)</f>
        <v>59</v>
      </c>
      <c r="BN20" s="74" t="n">
        <f aca="false">IF(AND('Cash Flow Statement'!BN27&gt;0,Expenses!BN52&gt;0),60,9999)</f>
        <v>60</v>
      </c>
    </row>
    <row r="21" customFormat="false" ht="15" hidden="false" customHeight="false" outlineLevel="0" collapsed="false">
      <c r="A21" s="4" t="s">
        <v>1155</v>
      </c>
      <c r="C21" s="74" t="n">
        <f aca="false">IF('Cash Flow Statement'!C34=MIN('Cash Flow Statement'!$C$34:$BN$34),1,9999)</f>
        <v>9999</v>
      </c>
      <c r="D21" s="74" t="n">
        <f aca="false">IF('Cash Flow Statement'!D34=MIN('Cash Flow Statement'!$C$34:$BN$34),2,9999)</f>
        <v>9999</v>
      </c>
      <c r="E21" s="74" t="n">
        <f aca="false">IF('Cash Flow Statement'!E34=MIN('Cash Flow Statement'!$C$34:$BN$34),3,9999)</f>
        <v>9999</v>
      </c>
      <c r="F21" s="74" t="n">
        <f aca="false">IF('Cash Flow Statement'!F34=MIN('Cash Flow Statement'!$C$34:$BN$34),4,9999)</f>
        <v>9999</v>
      </c>
      <c r="G21" s="74" t="n">
        <f aca="false">IF('Cash Flow Statement'!G34=MIN('Cash Flow Statement'!$C$34:$BN$34),5,9999)</f>
        <v>9999</v>
      </c>
      <c r="H21" s="74" t="n">
        <f aca="false">IF('Cash Flow Statement'!H34=MIN('Cash Flow Statement'!$C$34:$BN$34),6,9999)</f>
        <v>9999</v>
      </c>
      <c r="I21" s="74" t="n">
        <f aca="false">IF('Cash Flow Statement'!I34=MIN('Cash Flow Statement'!$C$34:$BN$34),7,9999)</f>
        <v>9999</v>
      </c>
      <c r="J21" s="74" t="n">
        <f aca="false">IF('Cash Flow Statement'!J34=MIN('Cash Flow Statement'!$C$34:$BN$34),8,9999)</f>
        <v>9999</v>
      </c>
      <c r="K21" s="74" t="n">
        <f aca="false">IF('Cash Flow Statement'!K34=MIN('Cash Flow Statement'!$C$34:$BN$34),9,9999)</f>
        <v>9999</v>
      </c>
      <c r="L21" s="74" t="n">
        <f aca="false">IF('Cash Flow Statement'!L34=MIN('Cash Flow Statement'!$C$34:$BN$34),10,9999)</f>
        <v>9999</v>
      </c>
      <c r="M21" s="74" t="n">
        <f aca="false">IF('Cash Flow Statement'!M34=MIN('Cash Flow Statement'!$C$34:$BN$34),11,9999)</f>
        <v>9999</v>
      </c>
      <c r="N21" s="74" t="n">
        <f aca="false">IF('Cash Flow Statement'!N34=MIN('Cash Flow Statement'!$C$34:$BN$34),12,9999)</f>
        <v>9999</v>
      </c>
      <c r="P21" s="74" t="n">
        <f aca="false">IF('Cash Flow Statement'!P34=MIN('Cash Flow Statement'!$C$34:$BN$34),13,9999)</f>
        <v>9999</v>
      </c>
      <c r="Q21" s="74" t="n">
        <f aca="false">IF('Cash Flow Statement'!Q34=MIN('Cash Flow Statement'!$C$34:$BN$34),14,9999)</f>
        <v>9999</v>
      </c>
      <c r="R21" s="74" t="n">
        <f aca="false">IF('Cash Flow Statement'!R34=MIN('Cash Flow Statement'!$C$34:$BN$34),15,9999)</f>
        <v>9999</v>
      </c>
      <c r="S21" s="74" t="n">
        <f aca="false">IF('Cash Flow Statement'!S34=MIN('Cash Flow Statement'!$C$34:$BN$34),16,9999)</f>
        <v>9999</v>
      </c>
      <c r="T21" s="74" t="n">
        <f aca="false">IF('Cash Flow Statement'!T34=MIN('Cash Flow Statement'!$C$34:$BN$34),17,9999)</f>
        <v>9999</v>
      </c>
      <c r="U21" s="74" t="n">
        <f aca="false">IF('Cash Flow Statement'!U34=MIN('Cash Flow Statement'!$C$34:$BN$34),18,9999)</f>
        <v>9999</v>
      </c>
      <c r="V21" s="74" t="n">
        <f aca="false">IF('Cash Flow Statement'!V34=MIN('Cash Flow Statement'!$C$34:$BN$34),19,9999)</f>
        <v>9999</v>
      </c>
      <c r="W21" s="74" t="n">
        <f aca="false">IF('Cash Flow Statement'!W34=MIN('Cash Flow Statement'!$C$34:$BN$34),20,9999)</f>
        <v>9999</v>
      </c>
      <c r="X21" s="74" t="n">
        <f aca="false">IF('Cash Flow Statement'!X34=MIN('Cash Flow Statement'!$C$34:$BN$34),21,9999)</f>
        <v>9999</v>
      </c>
      <c r="Y21" s="74" t="n">
        <f aca="false">IF('Cash Flow Statement'!Y34=MIN('Cash Flow Statement'!$C$34:$BN$34),22,9999)</f>
        <v>9999</v>
      </c>
      <c r="Z21" s="74" t="n">
        <f aca="false">IF('Cash Flow Statement'!Z34=MIN('Cash Flow Statement'!$C$34:$BN$34),23,9999)</f>
        <v>9999</v>
      </c>
      <c r="AA21" s="74" t="n">
        <f aca="false">IF('Cash Flow Statement'!AA34=MIN('Cash Flow Statement'!$C$34:$BN$34),24,9999)</f>
        <v>9999</v>
      </c>
      <c r="AC21" s="74" t="n">
        <f aca="false">IF('Cash Flow Statement'!AC34=MIN('Cash Flow Statement'!$C$34:$BN$34),25,9999)</f>
        <v>9999</v>
      </c>
      <c r="AD21" s="74" t="n">
        <f aca="false">IF('Cash Flow Statement'!AD34=MIN('Cash Flow Statement'!$C$34:$BN$34),26,9999)</f>
        <v>9999</v>
      </c>
      <c r="AE21" s="74" t="n">
        <f aca="false">IF('Cash Flow Statement'!AE34=MIN('Cash Flow Statement'!$C$34:$BN$34),27,9999)</f>
        <v>9999</v>
      </c>
      <c r="AF21" s="74" t="n">
        <f aca="false">IF('Cash Flow Statement'!AF34=MIN('Cash Flow Statement'!$C$34:$BN$34),28,9999)</f>
        <v>9999</v>
      </c>
      <c r="AG21" s="74" t="n">
        <f aca="false">IF('Cash Flow Statement'!AG34=MIN('Cash Flow Statement'!$C$34:$BN$34),29,9999)</f>
        <v>9999</v>
      </c>
      <c r="AH21" s="74" t="n">
        <f aca="false">IF('Cash Flow Statement'!AH34=MIN('Cash Flow Statement'!$C$34:$BN$34),30,9999)</f>
        <v>9999</v>
      </c>
      <c r="AI21" s="74" t="n">
        <f aca="false">IF('Cash Flow Statement'!AI34=MIN('Cash Flow Statement'!$C$34:$BN$34),31,9999)</f>
        <v>31</v>
      </c>
      <c r="AJ21" s="74" t="n">
        <f aca="false">IF('Cash Flow Statement'!AJ34=MIN('Cash Flow Statement'!$C$34:$BN$34),32,9999)</f>
        <v>9999</v>
      </c>
      <c r="AK21" s="74" t="n">
        <f aca="false">IF('Cash Flow Statement'!AK34=MIN('Cash Flow Statement'!$C$34:$BN$34),33,9999)</f>
        <v>9999</v>
      </c>
      <c r="AL21" s="74" t="n">
        <f aca="false">IF('Cash Flow Statement'!AL34=MIN('Cash Flow Statement'!$C$34:$BN$34),34,9999)</f>
        <v>9999</v>
      </c>
      <c r="AM21" s="74" t="n">
        <f aca="false">IF('Cash Flow Statement'!AM34=MIN('Cash Flow Statement'!$C$34:$BN$34),35,9999)</f>
        <v>9999</v>
      </c>
      <c r="AN21" s="74" t="n">
        <f aca="false">IF('Cash Flow Statement'!AN34=MIN('Cash Flow Statement'!$C$34:$BN$34),36,9999)</f>
        <v>9999</v>
      </c>
      <c r="AP21" s="74" t="n">
        <f aca="false">IF('Cash Flow Statement'!AP34=MIN('Cash Flow Statement'!$C$34:$BN$34),37,9999)</f>
        <v>9999</v>
      </c>
      <c r="AQ21" s="74" t="n">
        <f aca="false">IF('Cash Flow Statement'!AQ34=MIN('Cash Flow Statement'!$C$34:$BN$34),38,9999)</f>
        <v>9999</v>
      </c>
      <c r="AR21" s="74" t="n">
        <f aca="false">IF('Cash Flow Statement'!AR34=MIN('Cash Flow Statement'!$C$34:$BN$34),39,9999)</f>
        <v>9999</v>
      </c>
      <c r="AS21" s="74" t="n">
        <f aca="false">IF('Cash Flow Statement'!AS34=MIN('Cash Flow Statement'!$C$34:$BN$34),40,9999)</f>
        <v>9999</v>
      </c>
      <c r="AT21" s="74" t="n">
        <f aca="false">IF('Cash Flow Statement'!AT34=MIN('Cash Flow Statement'!$C$34:$BN$34),41,9999)</f>
        <v>9999</v>
      </c>
      <c r="AU21" s="74" t="n">
        <f aca="false">IF('Cash Flow Statement'!AU34=MIN('Cash Flow Statement'!$C$34:$BN$34),42,9999)</f>
        <v>9999</v>
      </c>
      <c r="AV21" s="74" t="n">
        <f aca="false">IF('Cash Flow Statement'!AV34=MIN('Cash Flow Statement'!$C$34:$BN$34),43,9999)</f>
        <v>9999</v>
      </c>
      <c r="AW21" s="74" t="n">
        <f aca="false">IF('Cash Flow Statement'!AW34=MIN('Cash Flow Statement'!$C$34:$BN$34),44,9999)</f>
        <v>9999</v>
      </c>
      <c r="AX21" s="74" t="n">
        <f aca="false">IF('Cash Flow Statement'!AX34=MIN('Cash Flow Statement'!$C$34:$BN$34),45,9999)</f>
        <v>9999</v>
      </c>
      <c r="AY21" s="74" t="n">
        <f aca="false">IF('Cash Flow Statement'!AY34=MIN('Cash Flow Statement'!$C$34:$BN$34),46,9999)</f>
        <v>9999</v>
      </c>
      <c r="AZ21" s="74" t="n">
        <f aca="false">IF('Cash Flow Statement'!AZ34=MIN('Cash Flow Statement'!$C$34:$BN$34),47,9999)</f>
        <v>9999</v>
      </c>
      <c r="BA21" s="74" t="n">
        <f aca="false">IF('Cash Flow Statement'!BA34=MIN('Cash Flow Statement'!$C$34:$BN$34),48,9999)</f>
        <v>9999</v>
      </c>
      <c r="BC21" s="74" t="n">
        <f aca="false">IF('Cash Flow Statement'!BC34=MIN('Cash Flow Statement'!$C$34:$BN$34),49,9999)</f>
        <v>9999</v>
      </c>
      <c r="BD21" s="74" t="n">
        <f aca="false">IF('Cash Flow Statement'!BD34=MIN('Cash Flow Statement'!$C$34:$BN$34),50,9999)</f>
        <v>9999</v>
      </c>
      <c r="BE21" s="74" t="n">
        <f aca="false">IF('Cash Flow Statement'!BE34=MIN('Cash Flow Statement'!$C$34:$BN$34),51,9999)</f>
        <v>9999</v>
      </c>
      <c r="BF21" s="74" t="n">
        <f aca="false">IF('Cash Flow Statement'!BF34=MIN('Cash Flow Statement'!$C$34:$BN$34),52,9999)</f>
        <v>9999</v>
      </c>
      <c r="BG21" s="74" t="n">
        <f aca="false">IF('Cash Flow Statement'!BG34=MIN('Cash Flow Statement'!$C$34:$BN$34),53,9999)</f>
        <v>9999</v>
      </c>
      <c r="BH21" s="74" t="n">
        <f aca="false">IF('Cash Flow Statement'!BH34=MIN('Cash Flow Statement'!$C$34:$BN$34),54,9999)</f>
        <v>9999</v>
      </c>
      <c r="BI21" s="74" t="n">
        <f aca="false">IF('Cash Flow Statement'!BI34=MIN('Cash Flow Statement'!$C$34:$BN$34),55,9999)</f>
        <v>9999</v>
      </c>
      <c r="BJ21" s="74" t="n">
        <f aca="false">IF('Cash Flow Statement'!BJ34=MIN('Cash Flow Statement'!$C$34:$BN$34),56,9999)</f>
        <v>9999</v>
      </c>
      <c r="BK21" s="74" t="n">
        <f aca="false">IF('Cash Flow Statement'!BK34=MIN('Cash Flow Statement'!$C$34:$BN$34),57,9999)</f>
        <v>9999</v>
      </c>
      <c r="BL21" s="74" t="n">
        <f aca="false">IF('Cash Flow Statement'!BL34=MIN('Cash Flow Statement'!$C$34:$BN$34),58,9999)</f>
        <v>9999</v>
      </c>
      <c r="BM21" s="74" t="n">
        <f aca="false">IF('Cash Flow Statement'!BM34=MIN('Cash Flow Statement'!$C$34:$BN$34),59,9999)</f>
        <v>9999</v>
      </c>
      <c r="BN21" s="74" t="n">
        <f aca="false">IF('Cash Flow Statement'!BN34=MIN('Cash Flow Statement'!$C$34:$BN$34),60,9999)</f>
        <v>9999</v>
      </c>
    </row>
    <row r="22" customFormat="false" ht="15" hidden="false" customHeight="false" outlineLevel="0" collapsed="false">
      <c r="A22" s="4" t="s">
        <v>1156</v>
      </c>
      <c r="C22" s="74" t="n">
        <f aca="false">IF('Cash Flow Statement'!C36&gt;0,1,9999)</f>
        <v>9999</v>
      </c>
      <c r="D22" s="74" t="n">
        <f aca="false">IF('Cash Flow Statement'!D36&gt;0,2,9999)</f>
        <v>9999</v>
      </c>
      <c r="E22" s="74" t="n">
        <f aca="false">IF('Cash Flow Statement'!E36&gt;0,3,9999)</f>
        <v>9999</v>
      </c>
      <c r="F22" s="74" t="n">
        <f aca="false">IF('Cash Flow Statement'!F36&gt;0,4,9999)</f>
        <v>9999</v>
      </c>
      <c r="G22" s="74" t="n">
        <f aca="false">IF('Cash Flow Statement'!G36&gt;0,5,9999)</f>
        <v>9999</v>
      </c>
      <c r="H22" s="74" t="n">
        <f aca="false">IF('Cash Flow Statement'!H36&gt;0,6,9999)</f>
        <v>9999</v>
      </c>
      <c r="I22" s="74" t="n">
        <f aca="false">IF('Cash Flow Statement'!I36&gt;0,7,9999)</f>
        <v>9999</v>
      </c>
      <c r="J22" s="74" t="n">
        <f aca="false">IF('Cash Flow Statement'!J36&gt;0,8,9999)</f>
        <v>9999</v>
      </c>
      <c r="K22" s="74" t="n">
        <f aca="false">IF('Cash Flow Statement'!K36&gt;0,9,9999)</f>
        <v>9999</v>
      </c>
      <c r="L22" s="74" t="n">
        <f aca="false">IF('Cash Flow Statement'!L36&gt;0,10,9999)</f>
        <v>9999</v>
      </c>
      <c r="M22" s="74" t="n">
        <f aca="false">IF('Cash Flow Statement'!M36&gt;0,11,9999)</f>
        <v>9999</v>
      </c>
      <c r="N22" s="74" t="n">
        <f aca="false">IF('Cash Flow Statement'!N36&gt;0,12,9999)</f>
        <v>9999</v>
      </c>
      <c r="P22" s="74" t="n">
        <f aca="false">IF('Cash Flow Statement'!P36&gt;0,13,9999)</f>
        <v>9999</v>
      </c>
      <c r="Q22" s="74" t="n">
        <f aca="false">IF('Cash Flow Statement'!Q36&gt;0,14,9999)</f>
        <v>9999</v>
      </c>
      <c r="R22" s="74" t="n">
        <f aca="false">IF('Cash Flow Statement'!R36&gt;0,15,9999)</f>
        <v>9999</v>
      </c>
      <c r="S22" s="74" t="n">
        <f aca="false">IF('Cash Flow Statement'!S36&gt;0,16,9999)</f>
        <v>9999</v>
      </c>
      <c r="T22" s="74" t="n">
        <f aca="false">IF('Cash Flow Statement'!T36&gt;0,17,9999)</f>
        <v>9999</v>
      </c>
      <c r="U22" s="74" t="n">
        <f aca="false">IF('Cash Flow Statement'!U36&gt;0,18,9999)</f>
        <v>9999</v>
      </c>
      <c r="V22" s="74" t="n">
        <f aca="false">IF('Cash Flow Statement'!V36&gt;0,19,9999)</f>
        <v>9999</v>
      </c>
      <c r="W22" s="74" t="n">
        <f aca="false">IF('Cash Flow Statement'!W36&gt;0,20,9999)</f>
        <v>9999</v>
      </c>
      <c r="X22" s="74" t="n">
        <f aca="false">IF('Cash Flow Statement'!X36&gt;0,21,9999)</f>
        <v>9999</v>
      </c>
      <c r="Y22" s="74" t="n">
        <f aca="false">IF('Cash Flow Statement'!Y36&gt;0,22,9999)</f>
        <v>9999</v>
      </c>
      <c r="Z22" s="74" t="n">
        <f aca="false">IF('Cash Flow Statement'!Z36&gt;0,23,9999)</f>
        <v>9999</v>
      </c>
      <c r="AA22" s="74" t="n">
        <f aca="false">IF('Cash Flow Statement'!AA36&gt;0,24,9999)</f>
        <v>9999</v>
      </c>
      <c r="AC22" s="74" t="n">
        <f aca="false">IF('Cash Flow Statement'!AC36&gt;0,25,9999)</f>
        <v>9999</v>
      </c>
      <c r="AD22" s="74" t="n">
        <f aca="false">IF('Cash Flow Statement'!AD36&gt;0,26,9999)</f>
        <v>9999</v>
      </c>
      <c r="AE22" s="74" t="n">
        <f aca="false">IF('Cash Flow Statement'!AE36&gt;0,27,9999)</f>
        <v>9999</v>
      </c>
      <c r="AF22" s="74" t="n">
        <f aca="false">IF('Cash Flow Statement'!AF36&gt;0,28,9999)</f>
        <v>9999</v>
      </c>
      <c r="AG22" s="74" t="n">
        <f aca="false">IF('Cash Flow Statement'!AG36&gt;0,29,9999)</f>
        <v>9999</v>
      </c>
      <c r="AH22" s="74" t="n">
        <f aca="false">IF('Cash Flow Statement'!AH36&gt;0,30,9999)</f>
        <v>9999</v>
      </c>
      <c r="AI22" s="74" t="n">
        <f aca="false">IF('Cash Flow Statement'!AI36&gt;0,31,9999)</f>
        <v>9999</v>
      </c>
      <c r="AJ22" s="74" t="n">
        <f aca="false">IF('Cash Flow Statement'!AJ36&gt;0,32,9999)</f>
        <v>9999</v>
      </c>
      <c r="AK22" s="74" t="n">
        <f aca="false">IF('Cash Flow Statement'!AK36&gt;0,33,9999)</f>
        <v>9999</v>
      </c>
      <c r="AL22" s="74" t="n">
        <f aca="false">IF('Cash Flow Statement'!AL36&gt;0,34,9999)</f>
        <v>9999</v>
      </c>
      <c r="AM22" s="74" t="n">
        <f aca="false">IF('Cash Flow Statement'!AM36&gt;0,35,9999)</f>
        <v>9999</v>
      </c>
      <c r="AN22" s="74" t="n">
        <f aca="false">IF('Cash Flow Statement'!AN36&gt;0,36,9999)</f>
        <v>9999</v>
      </c>
      <c r="AP22" s="74" t="n">
        <f aca="false">IF('Cash Flow Statement'!AP36&gt;0,37,9999)</f>
        <v>9999</v>
      </c>
      <c r="AQ22" s="74" t="n">
        <f aca="false">IF('Cash Flow Statement'!AQ36&gt;0,38,9999)</f>
        <v>9999</v>
      </c>
      <c r="AR22" s="74" t="n">
        <f aca="false">IF('Cash Flow Statement'!AR36&gt;0,39,9999)</f>
        <v>9999</v>
      </c>
      <c r="AS22" s="74" t="n">
        <f aca="false">IF('Cash Flow Statement'!AS36&gt;0,40,9999)</f>
        <v>9999</v>
      </c>
      <c r="AT22" s="74" t="n">
        <f aca="false">IF('Cash Flow Statement'!AT36&gt;0,41,9999)</f>
        <v>9999</v>
      </c>
      <c r="AU22" s="74" t="n">
        <f aca="false">IF('Cash Flow Statement'!AU36&gt;0,42,9999)</f>
        <v>9999</v>
      </c>
      <c r="AV22" s="74" t="n">
        <f aca="false">IF('Cash Flow Statement'!AV36&gt;0,43,9999)</f>
        <v>9999</v>
      </c>
      <c r="AW22" s="74" t="n">
        <f aca="false">IF('Cash Flow Statement'!AW36&gt;0,44,9999)</f>
        <v>9999</v>
      </c>
      <c r="AX22" s="74" t="n">
        <f aca="false">IF('Cash Flow Statement'!AX36&gt;0,45,9999)</f>
        <v>9999</v>
      </c>
      <c r="AY22" s="74" t="n">
        <f aca="false">IF('Cash Flow Statement'!AY36&gt;0,46,9999)</f>
        <v>9999</v>
      </c>
      <c r="AZ22" s="74" t="n">
        <f aca="false">IF('Cash Flow Statement'!AZ36&gt;0,47,9999)</f>
        <v>9999</v>
      </c>
      <c r="BA22" s="74" t="n">
        <f aca="false">IF('Cash Flow Statement'!BA36&gt;0,48,9999)</f>
        <v>9999</v>
      </c>
      <c r="BC22" s="74" t="n">
        <f aca="false">IF('Cash Flow Statement'!BC36&gt;0,49,9999)</f>
        <v>49</v>
      </c>
      <c r="BD22" s="74" t="n">
        <f aca="false">IF('Cash Flow Statement'!BD36&gt;0,50,9999)</f>
        <v>50</v>
      </c>
      <c r="BE22" s="74" t="n">
        <f aca="false">IF('Cash Flow Statement'!BE36&gt;0,51,9999)</f>
        <v>51</v>
      </c>
      <c r="BF22" s="74" t="n">
        <f aca="false">IF('Cash Flow Statement'!BF36&gt;0,52,9999)</f>
        <v>52</v>
      </c>
      <c r="BG22" s="74" t="n">
        <f aca="false">IF('Cash Flow Statement'!BG36&gt;0,53,9999)</f>
        <v>53</v>
      </c>
      <c r="BH22" s="74" t="n">
        <f aca="false">IF('Cash Flow Statement'!BH36&gt;0,54,9999)</f>
        <v>54</v>
      </c>
      <c r="BI22" s="74" t="n">
        <f aca="false">IF('Cash Flow Statement'!BI36&gt;0,55,9999)</f>
        <v>55</v>
      </c>
      <c r="BJ22" s="74" t="n">
        <f aca="false">IF('Cash Flow Statement'!BJ36&gt;0,56,9999)</f>
        <v>56</v>
      </c>
      <c r="BK22" s="74" t="n">
        <f aca="false">IF('Cash Flow Statement'!BK36&gt;0,57,9999)</f>
        <v>57</v>
      </c>
      <c r="BL22" s="74" t="n">
        <f aca="false">IF('Cash Flow Statement'!BL36&gt;0,58,9999)</f>
        <v>58</v>
      </c>
      <c r="BM22" s="74" t="n">
        <f aca="false">IF('Cash Flow Statement'!BM36&gt;0,59,9999)</f>
        <v>59</v>
      </c>
      <c r="BN22" s="74" t="n">
        <f aca="false">IF('Cash Flow Statement'!BN36&gt;0,60,9999)</f>
        <v>60</v>
      </c>
    </row>
    <row r="24" customFormat="false" ht="15" hidden="false" customHeight="false" outlineLevel="0" collapsed="false">
      <c r="A24" s="4" t="s">
        <v>1157</v>
      </c>
      <c r="C24" s="111" t="n">
        <f aca="false">IF(MIN(C19:BN19)=9999,"beyond year five",MIN(C19:BN19))</f>
        <v>34</v>
      </c>
    </row>
    <row r="25" customFormat="false" ht="15" hidden="false" customHeight="false" outlineLevel="0" collapsed="false">
      <c r="A25" s="4" t="s">
        <v>1158</v>
      </c>
      <c r="C25" s="111" t="n">
        <f aca="false">IF(MIN(C20:BN20)=9999,"beyond year five",MIN(C20:BN20))</f>
        <v>34</v>
      </c>
    </row>
    <row r="26" customFormat="false" ht="15" hidden="false" customHeight="false" outlineLevel="0" collapsed="false">
      <c r="A26" s="4" t="s">
        <v>1159</v>
      </c>
      <c r="C26" s="111" t="n">
        <f aca="false">IF(MIN(C21:BN21)=9999,"beyond year five",MIN(C21:BN21))</f>
        <v>31</v>
      </c>
    </row>
    <row r="27" customFormat="false" ht="15" hidden="false" customHeight="false" outlineLevel="0" collapsed="false">
      <c r="A27" s="4" t="s">
        <v>1160</v>
      </c>
      <c r="C27" s="111" t="n">
        <f aca="false">IF(MIN(C22:BN22)=9999,"beyond year five",MIN(C22:BN22))</f>
        <v>49</v>
      </c>
    </row>
    <row r="29" customFormat="false" ht="15" hidden="false" customHeight="false" outlineLevel="0" collapsed="false">
      <c r="A29" s="9" t="s">
        <v>1161</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row>
    <row r="30" customFormat="false" ht="15" hidden="false" customHeight="false" outlineLevel="0" collapsed="false">
      <c r="A30" s="29" t="s">
        <v>1162</v>
      </c>
    </row>
    <row r="31" customFormat="false" ht="15" hidden="false" customHeight="false" outlineLevel="0" collapsed="false">
      <c r="A31" s="4" t="s">
        <v>1163</v>
      </c>
      <c r="C31" s="24" t="n">
        <f aca="false">Expenses!AA52</f>
        <v>-22390.9789514827</v>
      </c>
    </row>
    <row r="32" customFormat="false" ht="15" hidden="false" customHeight="false" outlineLevel="0" collapsed="false">
      <c r="A32" s="4" t="s">
        <v>1164</v>
      </c>
      <c r="C32" s="101" t="n">
        <f aca="false">-MIN(0,C31)</f>
        <v>22390.9789514827</v>
      </c>
    </row>
    <row r="33" customFormat="false" ht="15" hidden="false" customHeight="false" outlineLevel="0" collapsed="false">
      <c r="A33" s="4" t="s">
        <v>1165</v>
      </c>
      <c r="C33" s="101" t="n">
        <f aca="false">IFERROR(C32/D9,0)</f>
        <v>28168.1946471926</v>
      </c>
    </row>
    <row r="34" customFormat="false" ht="15" hidden="false" customHeight="false" outlineLevel="0" collapsed="false">
      <c r="A34" s="4" t="s">
        <v>1166</v>
      </c>
      <c r="C34" s="112" t="n">
        <f aca="false">IFERROR(C33/'Total Revenue'!AA18,0)</f>
        <v>0.544010747812123</v>
      </c>
    </row>
    <row r="35" customFormat="false" ht="15" hidden="false" customHeight="false" outlineLevel="0" collapsed="false">
      <c r="A35" s="4" t="s">
        <v>1167</v>
      </c>
      <c r="C35" s="112" t="n">
        <f aca="false">IFERROR(C32/Expenses!AA45,0)</f>
        <v>0.350198027872219</v>
      </c>
    </row>
    <row r="36" customFormat="false" ht="15" hidden="false" customHeight="false" outlineLevel="0" collapsed="false">
      <c r="A36" s="4" t="s">
        <v>1168</v>
      </c>
      <c r="C36" s="112" t="n">
        <f aca="false">IFERROR(C32/Payroll!AA122,0)</f>
        <v>0.673313098258154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3.5"/>
    <col collapsed="false" customWidth="true" hidden="false" outlineLevel="0" max="14" min="3" style="0" width="10"/>
    <col collapsed="false" customWidth="true" hidden="false" outlineLevel="0" max="15" min="15" style="0" width="13.5"/>
    <col collapsed="false" customWidth="true" hidden="false" outlineLevel="0" max="27" min="16" style="0" width="10"/>
    <col collapsed="false" customWidth="true" hidden="false" outlineLevel="0" max="28" min="28" style="0" width="13.5"/>
    <col collapsed="false" customWidth="true" hidden="false" outlineLevel="0" max="40" min="29" style="0" width="10"/>
    <col collapsed="false" customWidth="true" hidden="false" outlineLevel="0" max="41" min="41" style="0" width="13.5"/>
    <col collapsed="false" customWidth="true" hidden="false" outlineLevel="0" max="53" min="42" style="0" width="10"/>
    <col collapsed="false" customWidth="true" hidden="false" outlineLevel="0" max="54" min="54" style="0" width="13.5"/>
    <col collapsed="false" customWidth="true" hidden="false" outlineLevel="0" max="66" min="55" style="0" width="10"/>
  </cols>
  <sheetData>
    <row r="1" customFormat="false" ht="18.55" hidden="false" customHeight="false" outlineLevel="0" collapsed="false">
      <c r="A1" s="7" t="s">
        <v>1135</v>
      </c>
    </row>
    <row r="2" customFormat="false" ht="15" hidden="false" customHeight="false" outlineLevel="0" collapsed="false">
      <c r="A2" s="8" t="s">
        <v>1169</v>
      </c>
    </row>
    <row r="3" customFormat="false" ht="15" hidden="false" customHeight="false" outlineLevel="0" collapsed="false">
      <c r="A3" s="53" t="s">
        <v>559</v>
      </c>
      <c r="B3" s="54" t="n">
        <v>9999</v>
      </c>
      <c r="C3" s="55" t="n">
        <v>1</v>
      </c>
      <c r="D3" s="55" t="n">
        <v>2</v>
      </c>
      <c r="E3" s="55" t="n">
        <v>3</v>
      </c>
      <c r="F3" s="55" t="n">
        <v>4</v>
      </c>
      <c r="G3" s="55" t="n">
        <v>5</v>
      </c>
      <c r="H3" s="55" t="n">
        <v>6</v>
      </c>
      <c r="I3" s="55" t="n">
        <v>7</v>
      </c>
      <c r="J3" s="55" t="n">
        <v>8</v>
      </c>
      <c r="K3" s="55" t="n">
        <v>9</v>
      </c>
      <c r="L3" s="55" t="n">
        <v>10</v>
      </c>
      <c r="M3" s="55" t="n">
        <v>11</v>
      </c>
      <c r="N3" s="55" t="n">
        <v>12</v>
      </c>
      <c r="O3" s="54" t="n">
        <v>9999</v>
      </c>
      <c r="P3" s="55" t="n">
        <v>13</v>
      </c>
      <c r="Q3" s="55" t="n">
        <v>14</v>
      </c>
      <c r="R3" s="55" t="n">
        <v>15</v>
      </c>
      <c r="S3" s="55" t="n">
        <v>16</v>
      </c>
      <c r="T3" s="55" t="n">
        <v>17</v>
      </c>
      <c r="U3" s="55" t="n">
        <v>18</v>
      </c>
      <c r="V3" s="55" t="n">
        <v>19</v>
      </c>
      <c r="W3" s="55" t="n">
        <v>20</v>
      </c>
      <c r="X3" s="55" t="n">
        <v>21</v>
      </c>
      <c r="Y3" s="55" t="n">
        <v>22</v>
      </c>
      <c r="Z3" s="55" t="n">
        <v>23</v>
      </c>
      <c r="AA3" s="55" t="n">
        <v>24</v>
      </c>
      <c r="AB3" s="54" t="n">
        <v>9999</v>
      </c>
      <c r="AC3" s="55" t="n">
        <v>25</v>
      </c>
      <c r="AD3" s="55" t="n">
        <v>26</v>
      </c>
      <c r="AE3" s="55" t="n">
        <v>27</v>
      </c>
      <c r="AF3" s="55" t="n">
        <v>28</v>
      </c>
      <c r="AG3" s="55" t="n">
        <v>29</v>
      </c>
      <c r="AH3" s="55" t="n">
        <v>30</v>
      </c>
      <c r="AI3" s="55" t="n">
        <v>31</v>
      </c>
      <c r="AJ3" s="55" t="n">
        <v>32</v>
      </c>
      <c r="AK3" s="55" t="n">
        <v>33</v>
      </c>
      <c r="AL3" s="55" t="n">
        <v>34</v>
      </c>
      <c r="AM3" s="55" t="n">
        <v>35</v>
      </c>
      <c r="AN3" s="55" t="n">
        <v>36</v>
      </c>
      <c r="AO3" s="54" t="n">
        <v>9999</v>
      </c>
      <c r="AP3" s="55" t="n">
        <v>37</v>
      </c>
      <c r="AQ3" s="55" t="n">
        <v>38</v>
      </c>
      <c r="AR3" s="55" t="n">
        <v>39</v>
      </c>
      <c r="AS3" s="55" t="n">
        <v>40</v>
      </c>
      <c r="AT3" s="55" t="n">
        <v>41</v>
      </c>
      <c r="AU3" s="55" t="n">
        <v>42</v>
      </c>
      <c r="AV3" s="55" t="n">
        <v>43</v>
      </c>
      <c r="AW3" s="55" t="n">
        <v>44</v>
      </c>
      <c r="AX3" s="55" t="n">
        <v>45</v>
      </c>
      <c r="AY3" s="55" t="n">
        <v>46</v>
      </c>
      <c r="AZ3" s="55" t="n">
        <v>47</v>
      </c>
      <c r="BA3" s="55" t="n">
        <v>48</v>
      </c>
      <c r="BB3" s="54" t="n">
        <v>9999</v>
      </c>
      <c r="BC3" s="55" t="n">
        <v>49</v>
      </c>
      <c r="BD3" s="55" t="n">
        <v>50</v>
      </c>
      <c r="BE3" s="55" t="n">
        <v>51</v>
      </c>
      <c r="BF3" s="55" t="n">
        <v>52</v>
      </c>
      <c r="BG3" s="55" t="n">
        <v>53</v>
      </c>
      <c r="BH3" s="55" t="n">
        <v>54</v>
      </c>
      <c r="BI3" s="55" t="n">
        <v>55</v>
      </c>
      <c r="BJ3" s="55" t="n">
        <v>56</v>
      </c>
      <c r="BK3" s="55" t="n">
        <v>57</v>
      </c>
      <c r="BL3" s="55" t="n">
        <v>58</v>
      </c>
      <c r="BM3" s="55" t="n">
        <v>59</v>
      </c>
      <c r="BN3" s="55" t="n">
        <v>60</v>
      </c>
    </row>
    <row r="4" customFormat="false" ht="15" hidden="false" customHeight="false" outlineLevel="0" collapsed="false">
      <c r="A4" s="9" t="s">
        <v>1170</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row>
    <row r="5" customFormat="false" ht="15" hidden="false" customHeight="false" outlineLevel="0" collapsed="false">
      <c r="A5" s="4" t="s">
        <v>1171</v>
      </c>
      <c r="C5" s="15" t="n">
        <f aca="false">'Assumption Setting'!$C$18</f>
        <v>0</v>
      </c>
    </row>
    <row r="6" customFormat="false" ht="15" hidden="false" customHeight="false" outlineLevel="0" collapsed="false">
      <c r="A6" s="4" t="s">
        <v>1172</v>
      </c>
      <c r="C6" s="15" t="n">
        <f aca="false">'Funding and Use of Funds'!$C$9</f>
        <v>600000</v>
      </c>
    </row>
    <row r="7" customFormat="false" ht="15" hidden="false" customHeight="false" outlineLevel="0" collapsed="false">
      <c r="A7" s="4" t="s">
        <v>1173</v>
      </c>
      <c r="C7" s="15" t="n">
        <f aca="false">'Funding and Use of Funds'!$C$49</f>
        <v>450000</v>
      </c>
    </row>
    <row r="8" customFormat="false" ht="15" hidden="false" customHeight="false" outlineLevel="0" collapsed="false">
      <c r="A8" s="13" t="s">
        <v>1174</v>
      </c>
      <c r="C8" s="100" t="n">
        <f aca="false">C5+C6+C7</f>
        <v>1050000</v>
      </c>
    </row>
    <row r="10" customFormat="false" ht="15" hidden="false" customHeight="false" outlineLevel="0" collapsed="false">
      <c r="A10" s="9" t="s">
        <v>1175</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row>
    <row r="11" customFormat="false" ht="15" hidden="false" customHeight="false" outlineLevel="0" collapsed="false">
      <c r="A11" s="11"/>
      <c r="B11" s="12"/>
      <c r="C11" s="12" t="s">
        <v>87</v>
      </c>
      <c r="D11" s="12" t="s">
        <v>88</v>
      </c>
      <c r="E11" s="12" t="s">
        <v>89</v>
      </c>
      <c r="F11" s="12" t="s">
        <v>90</v>
      </c>
      <c r="G11" s="12" t="s">
        <v>91</v>
      </c>
    </row>
    <row r="12" customFormat="false" ht="15" hidden="false" customHeight="false" outlineLevel="0" collapsed="false">
      <c r="A12" s="4" t="s">
        <v>1176</v>
      </c>
      <c r="C12" s="15" t="n">
        <f aca="false">'Financial Indicators'!C50</f>
        <v>-414764.697712625</v>
      </c>
      <c r="D12" s="15" t="n">
        <f aca="false">'Financial Indicators'!D50</f>
        <v>-397961.737522236</v>
      </c>
      <c r="E12" s="15" t="n">
        <f aca="false">'Financial Indicators'!E50</f>
        <v>-48955.6193570004</v>
      </c>
      <c r="F12" s="15" t="n">
        <f aca="false">'Financial Indicators'!F50</f>
        <v>843549.614415305</v>
      </c>
      <c r="G12" s="15" t="n">
        <f aca="false">'Financial Indicators'!G50</f>
        <v>2163986.12102442</v>
      </c>
    </row>
    <row r="13" customFormat="false" ht="15" hidden="false" customHeight="false" outlineLevel="0" collapsed="false">
      <c r="A13" s="4" t="s">
        <v>1049</v>
      </c>
      <c r="C13" s="99" t="n">
        <f aca="false">C12</f>
        <v>-414764.697712625</v>
      </c>
      <c r="D13" s="99" t="n">
        <f aca="false">C13+D12</f>
        <v>-812726.435234861</v>
      </c>
      <c r="E13" s="99" t="n">
        <f aca="false">D13+E12</f>
        <v>-861682.054591861</v>
      </c>
      <c r="F13" s="99" t="n">
        <f aca="false">E13+F12</f>
        <v>-18132.4401765554</v>
      </c>
      <c r="G13" s="99" t="n">
        <f aca="false">F13+G12</f>
        <v>2145853.68084787</v>
      </c>
    </row>
    <row r="14" customFormat="false" ht="15" hidden="false" customHeight="false" outlineLevel="0" collapsed="false">
      <c r="A14" s="4" t="s">
        <v>1177</v>
      </c>
      <c r="C14" s="97" t="n">
        <f aca="false">IFERROR(C13/$C$8,0)</f>
        <v>-0.395013997821547</v>
      </c>
      <c r="D14" s="97" t="n">
        <f aca="false">IFERROR(D13/$C$8,0)</f>
        <v>-0.774025176414153</v>
      </c>
      <c r="E14" s="97" t="n">
        <f aca="false">IFERROR(E13/$C$8,0)</f>
        <v>-0.820649575801772</v>
      </c>
      <c r="F14" s="97" t="n">
        <f aca="false">IFERROR(F13/$C$8,0)</f>
        <v>-0.0172689906443385</v>
      </c>
      <c r="G14" s="97" t="n">
        <f aca="false">IFERROR(G13/$C$8,0)</f>
        <v>2.04367017223607</v>
      </c>
    </row>
    <row r="15" customFormat="false" ht="15" hidden="false" customHeight="false" outlineLevel="0" collapsed="false">
      <c r="A15" s="4" t="s">
        <v>1178</v>
      </c>
      <c r="C15" s="99" t="n">
        <f aca="false">MAX(0,$C$8-C13)</f>
        <v>1464764.69771262</v>
      </c>
      <c r="D15" s="99" t="n">
        <f aca="false">MAX(0,$C$8-D13)</f>
        <v>1862726.43523486</v>
      </c>
      <c r="E15" s="99" t="n">
        <f aca="false">MAX(0,$C$8-E13)</f>
        <v>1911682.05459186</v>
      </c>
      <c r="F15" s="99" t="n">
        <f aca="false">MAX(0,$C$8-F13)</f>
        <v>1068132.44017656</v>
      </c>
      <c r="G15" s="99" t="n">
        <f aca="false">MAX(0,$C$8-G13)</f>
        <v>0</v>
      </c>
    </row>
    <row r="17" customFormat="false" ht="15" hidden="false" customHeight="false" outlineLevel="0" collapsed="false">
      <c r="A17" s="9" t="s">
        <v>1179</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row>
    <row r="18" customFormat="false" ht="15" hidden="false" customHeight="false" outlineLevel="0" collapsed="false">
      <c r="A18" s="56" t="s">
        <v>632</v>
      </c>
      <c r="B18" s="57" t="s">
        <v>87</v>
      </c>
      <c r="C18" s="58" t="s">
        <v>562</v>
      </c>
      <c r="D18" s="58" t="s">
        <v>563</v>
      </c>
      <c r="E18" s="58" t="s">
        <v>564</v>
      </c>
      <c r="F18" s="58" t="s">
        <v>565</v>
      </c>
      <c r="G18" s="58" t="s">
        <v>566</v>
      </c>
      <c r="H18" s="58" t="s">
        <v>567</v>
      </c>
      <c r="I18" s="58" t="s">
        <v>568</v>
      </c>
      <c r="J18" s="58" t="s">
        <v>569</v>
      </c>
      <c r="K18" s="58" t="s">
        <v>570</v>
      </c>
      <c r="L18" s="58" t="s">
        <v>571</v>
      </c>
      <c r="M18" s="58" t="s">
        <v>572</v>
      </c>
      <c r="N18" s="58" t="s">
        <v>573</v>
      </c>
      <c r="O18" s="57" t="s">
        <v>88</v>
      </c>
      <c r="P18" s="58" t="s">
        <v>574</v>
      </c>
      <c r="Q18" s="58" t="s">
        <v>575</v>
      </c>
      <c r="R18" s="58" t="s">
        <v>576</v>
      </c>
      <c r="S18" s="58" t="s">
        <v>577</v>
      </c>
      <c r="T18" s="58" t="s">
        <v>578</v>
      </c>
      <c r="U18" s="58" t="s">
        <v>579</v>
      </c>
      <c r="V18" s="58" t="s">
        <v>580</v>
      </c>
      <c r="W18" s="58" t="s">
        <v>581</v>
      </c>
      <c r="X18" s="58" t="s">
        <v>582</v>
      </c>
      <c r="Y18" s="58" t="s">
        <v>583</v>
      </c>
      <c r="Z18" s="58" t="s">
        <v>584</v>
      </c>
      <c r="AA18" s="58" t="s">
        <v>585</v>
      </c>
      <c r="AB18" s="57" t="s">
        <v>89</v>
      </c>
      <c r="AC18" s="58" t="s">
        <v>586</v>
      </c>
      <c r="AD18" s="58" t="s">
        <v>587</v>
      </c>
      <c r="AE18" s="58" t="s">
        <v>588</v>
      </c>
      <c r="AF18" s="58" t="s">
        <v>589</v>
      </c>
      <c r="AG18" s="58" t="s">
        <v>590</v>
      </c>
      <c r="AH18" s="58" t="s">
        <v>591</v>
      </c>
      <c r="AI18" s="58" t="s">
        <v>592</v>
      </c>
      <c r="AJ18" s="58" t="s">
        <v>593</v>
      </c>
      <c r="AK18" s="58" t="s">
        <v>594</v>
      </c>
      <c r="AL18" s="58" t="s">
        <v>595</v>
      </c>
      <c r="AM18" s="58" t="s">
        <v>596</v>
      </c>
      <c r="AN18" s="58" t="s">
        <v>597</v>
      </c>
      <c r="AO18" s="57" t="s">
        <v>90</v>
      </c>
      <c r="AP18" s="58" t="s">
        <v>598</v>
      </c>
      <c r="AQ18" s="58" t="s">
        <v>599</v>
      </c>
      <c r="AR18" s="58" t="s">
        <v>600</v>
      </c>
      <c r="AS18" s="58" t="s">
        <v>601</v>
      </c>
      <c r="AT18" s="58" t="s">
        <v>602</v>
      </c>
      <c r="AU18" s="58" t="s">
        <v>603</v>
      </c>
      <c r="AV18" s="58" t="s">
        <v>604</v>
      </c>
      <c r="AW18" s="58" t="s">
        <v>605</v>
      </c>
      <c r="AX18" s="58" t="s">
        <v>606</v>
      </c>
      <c r="AY18" s="58" t="s">
        <v>607</v>
      </c>
      <c r="AZ18" s="58" t="s">
        <v>608</v>
      </c>
      <c r="BA18" s="58" t="s">
        <v>609</v>
      </c>
      <c r="BB18" s="57" t="s">
        <v>91</v>
      </c>
      <c r="BC18" s="58" t="s">
        <v>610</v>
      </c>
      <c r="BD18" s="58" t="s">
        <v>611</v>
      </c>
      <c r="BE18" s="58" t="s">
        <v>612</v>
      </c>
      <c r="BF18" s="58" t="s">
        <v>613</v>
      </c>
      <c r="BG18" s="58" t="s">
        <v>614</v>
      </c>
      <c r="BH18" s="58" t="s">
        <v>615</v>
      </c>
      <c r="BI18" s="58" t="s">
        <v>616</v>
      </c>
      <c r="BJ18" s="58" t="s">
        <v>617</v>
      </c>
      <c r="BK18" s="58" t="s">
        <v>618</v>
      </c>
      <c r="BL18" s="58" t="s">
        <v>619</v>
      </c>
      <c r="BM18" s="58" t="s">
        <v>620</v>
      </c>
      <c r="BN18" s="58" t="s">
        <v>621</v>
      </c>
    </row>
    <row r="19" customFormat="false" ht="15" hidden="false" customHeight="false" outlineLevel="0" collapsed="false">
      <c r="A19" s="4" t="s">
        <v>1180</v>
      </c>
      <c r="C19" s="74" t="n">
        <f aca="false">IF('Cash Flow Statement'!C36&gt;=$C$8,1,9999)</f>
        <v>9999</v>
      </c>
      <c r="D19" s="74" t="n">
        <f aca="false">IF('Cash Flow Statement'!D36&gt;=$C$8,2,9999)</f>
        <v>9999</v>
      </c>
      <c r="E19" s="74" t="n">
        <f aca="false">IF('Cash Flow Statement'!E36&gt;=$C$8,3,9999)</f>
        <v>9999</v>
      </c>
      <c r="F19" s="74" t="n">
        <f aca="false">IF('Cash Flow Statement'!F36&gt;=$C$8,4,9999)</f>
        <v>9999</v>
      </c>
      <c r="G19" s="74" t="n">
        <f aca="false">IF('Cash Flow Statement'!G36&gt;=$C$8,5,9999)</f>
        <v>9999</v>
      </c>
      <c r="H19" s="74" t="n">
        <f aca="false">IF('Cash Flow Statement'!H36&gt;=$C$8,6,9999)</f>
        <v>9999</v>
      </c>
      <c r="I19" s="74" t="n">
        <f aca="false">IF('Cash Flow Statement'!I36&gt;=$C$8,7,9999)</f>
        <v>9999</v>
      </c>
      <c r="J19" s="74" t="n">
        <f aca="false">IF('Cash Flow Statement'!J36&gt;=$C$8,8,9999)</f>
        <v>9999</v>
      </c>
      <c r="K19" s="74" t="n">
        <f aca="false">IF('Cash Flow Statement'!K36&gt;=$C$8,9,9999)</f>
        <v>9999</v>
      </c>
      <c r="L19" s="74" t="n">
        <f aca="false">IF('Cash Flow Statement'!L36&gt;=$C$8,10,9999)</f>
        <v>9999</v>
      </c>
      <c r="M19" s="74" t="n">
        <f aca="false">IF('Cash Flow Statement'!M36&gt;=$C$8,11,9999)</f>
        <v>9999</v>
      </c>
      <c r="N19" s="74" t="n">
        <f aca="false">IF('Cash Flow Statement'!N36&gt;=$C$8,12,9999)</f>
        <v>9999</v>
      </c>
      <c r="P19" s="74" t="n">
        <f aca="false">IF('Cash Flow Statement'!P36&gt;=$C$8,13,9999)</f>
        <v>9999</v>
      </c>
      <c r="Q19" s="74" t="n">
        <f aca="false">IF('Cash Flow Statement'!Q36&gt;=$C$8,14,9999)</f>
        <v>9999</v>
      </c>
      <c r="R19" s="74" t="n">
        <f aca="false">IF('Cash Flow Statement'!R36&gt;=$C$8,15,9999)</f>
        <v>9999</v>
      </c>
      <c r="S19" s="74" t="n">
        <f aca="false">IF('Cash Flow Statement'!S36&gt;=$C$8,16,9999)</f>
        <v>9999</v>
      </c>
      <c r="T19" s="74" t="n">
        <f aca="false">IF('Cash Flow Statement'!T36&gt;=$C$8,17,9999)</f>
        <v>9999</v>
      </c>
      <c r="U19" s="74" t="n">
        <f aca="false">IF('Cash Flow Statement'!U36&gt;=$C$8,18,9999)</f>
        <v>9999</v>
      </c>
      <c r="V19" s="74" t="n">
        <f aca="false">IF('Cash Flow Statement'!V36&gt;=$C$8,19,9999)</f>
        <v>9999</v>
      </c>
      <c r="W19" s="74" t="n">
        <f aca="false">IF('Cash Flow Statement'!W36&gt;=$C$8,20,9999)</f>
        <v>9999</v>
      </c>
      <c r="X19" s="74" t="n">
        <f aca="false">IF('Cash Flow Statement'!X36&gt;=$C$8,21,9999)</f>
        <v>9999</v>
      </c>
      <c r="Y19" s="74" t="n">
        <f aca="false">IF('Cash Flow Statement'!Y36&gt;=$C$8,22,9999)</f>
        <v>9999</v>
      </c>
      <c r="Z19" s="74" t="n">
        <f aca="false">IF('Cash Flow Statement'!Z36&gt;=$C$8,23,9999)</f>
        <v>9999</v>
      </c>
      <c r="AA19" s="74" t="n">
        <f aca="false">IF('Cash Flow Statement'!AA36&gt;=$C$8,24,9999)</f>
        <v>9999</v>
      </c>
      <c r="AC19" s="74" t="n">
        <f aca="false">IF('Cash Flow Statement'!AC36&gt;=$C$8,25,9999)</f>
        <v>9999</v>
      </c>
      <c r="AD19" s="74" t="n">
        <f aca="false">IF('Cash Flow Statement'!AD36&gt;=$C$8,26,9999)</f>
        <v>9999</v>
      </c>
      <c r="AE19" s="74" t="n">
        <f aca="false">IF('Cash Flow Statement'!AE36&gt;=$C$8,27,9999)</f>
        <v>9999</v>
      </c>
      <c r="AF19" s="74" t="n">
        <f aca="false">IF('Cash Flow Statement'!AF36&gt;=$C$8,28,9999)</f>
        <v>9999</v>
      </c>
      <c r="AG19" s="74" t="n">
        <f aca="false">IF('Cash Flow Statement'!AG36&gt;=$C$8,29,9999)</f>
        <v>9999</v>
      </c>
      <c r="AH19" s="74" t="n">
        <f aca="false">IF('Cash Flow Statement'!AH36&gt;=$C$8,30,9999)</f>
        <v>9999</v>
      </c>
      <c r="AI19" s="74" t="n">
        <f aca="false">IF('Cash Flow Statement'!AI36&gt;=$C$8,31,9999)</f>
        <v>9999</v>
      </c>
      <c r="AJ19" s="74" t="n">
        <f aca="false">IF('Cash Flow Statement'!AJ36&gt;=$C$8,32,9999)</f>
        <v>9999</v>
      </c>
      <c r="AK19" s="74" t="n">
        <f aca="false">IF('Cash Flow Statement'!AK36&gt;=$C$8,33,9999)</f>
        <v>9999</v>
      </c>
      <c r="AL19" s="74" t="n">
        <f aca="false">IF('Cash Flow Statement'!AL36&gt;=$C$8,34,9999)</f>
        <v>9999</v>
      </c>
      <c r="AM19" s="74" t="n">
        <f aca="false">IF('Cash Flow Statement'!AM36&gt;=$C$8,35,9999)</f>
        <v>9999</v>
      </c>
      <c r="AN19" s="74" t="n">
        <f aca="false">IF('Cash Flow Statement'!AN36&gt;=$C$8,36,9999)</f>
        <v>9999</v>
      </c>
      <c r="AP19" s="74" t="n">
        <f aca="false">IF('Cash Flow Statement'!AP36&gt;=$C$8,37,9999)</f>
        <v>9999</v>
      </c>
      <c r="AQ19" s="74" t="n">
        <f aca="false">IF('Cash Flow Statement'!AQ36&gt;=$C$8,38,9999)</f>
        <v>9999</v>
      </c>
      <c r="AR19" s="74" t="n">
        <f aca="false">IF('Cash Flow Statement'!AR36&gt;=$C$8,39,9999)</f>
        <v>9999</v>
      </c>
      <c r="AS19" s="74" t="n">
        <f aca="false">IF('Cash Flow Statement'!AS36&gt;=$C$8,40,9999)</f>
        <v>9999</v>
      </c>
      <c r="AT19" s="74" t="n">
        <f aca="false">IF('Cash Flow Statement'!AT36&gt;=$C$8,41,9999)</f>
        <v>9999</v>
      </c>
      <c r="AU19" s="74" t="n">
        <f aca="false">IF('Cash Flow Statement'!AU36&gt;=$C$8,42,9999)</f>
        <v>9999</v>
      </c>
      <c r="AV19" s="74" t="n">
        <f aca="false">IF('Cash Flow Statement'!AV36&gt;=$C$8,43,9999)</f>
        <v>9999</v>
      </c>
      <c r="AW19" s="74" t="n">
        <f aca="false">IF('Cash Flow Statement'!AW36&gt;=$C$8,44,9999)</f>
        <v>9999</v>
      </c>
      <c r="AX19" s="74" t="n">
        <f aca="false">IF('Cash Flow Statement'!AX36&gt;=$C$8,45,9999)</f>
        <v>9999</v>
      </c>
      <c r="AY19" s="74" t="n">
        <f aca="false">IF('Cash Flow Statement'!AY36&gt;=$C$8,46,9999)</f>
        <v>9999</v>
      </c>
      <c r="AZ19" s="74" t="n">
        <f aca="false">IF('Cash Flow Statement'!AZ36&gt;=$C$8,47,9999)</f>
        <v>9999</v>
      </c>
      <c r="BA19" s="74" t="n">
        <f aca="false">IF('Cash Flow Statement'!BA36&gt;=$C$8,48,9999)</f>
        <v>9999</v>
      </c>
      <c r="BC19" s="74" t="n">
        <f aca="false">IF('Cash Flow Statement'!BC36&gt;=$C$8,49,9999)</f>
        <v>9999</v>
      </c>
      <c r="BD19" s="74" t="n">
        <f aca="false">IF('Cash Flow Statement'!BD36&gt;=$C$8,50,9999)</f>
        <v>9999</v>
      </c>
      <c r="BE19" s="74" t="n">
        <f aca="false">IF('Cash Flow Statement'!BE36&gt;=$C$8,51,9999)</f>
        <v>9999</v>
      </c>
      <c r="BF19" s="74" t="n">
        <f aca="false">IF('Cash Flow Statement'!BF36&gt;=$C$8,52,9999)</f>
        <v>9999</v>
      </c>
      <c r="BG19" s="74" t="n">
        <f aca="false">IF('Cash Flow Statement'!BG36&gt;=$C$8,53,9999)</f>
        <v>9999</v>
      </c>
      <c r="BH19" s="74" t="n">
        <f aca="false">IF('Cash Flow Statement'!BH36&gt;=$C$8,54,9999)</f>
        <v>9999</v>
      </c>
      <c r="BI19" s="74" t="n">
        <f aca="false">IF('Cash Flow Statement'!BI36&gt;=$C$8,55,9999)</f>
        <v>55</v>
      </c>
      <c r="BJ19" s="74" t="n">
        <f aca="false">IF('Cash Flow Statement'!BJ36&gt;=$C$8,56,9999)</f>
        <v>56</v>
      </c>
      <c r="BK19" s="74" t="n">
        <f aca="false">IF('Cash Flow Statement'!BK36&gt;=$C$8,57,9999)</f>
        <v>57</v>
      </c>
      <c r="BL19" s="74" t="n">
        <f aca="false">IF('Cash Flow Statement'!BL36&gt;=$C$8,58,9999)</f>
        <v>58</v>
      </c>
      <c r="BM19" s="74" t="n">
        <f aca="false">IF('Cash Flow Statement'!BM36&gt;=$C$8,59,9999)</f>
        <v>59</v>
      </c>
      <c r="BN19" s="74" t="n">
        <f aca="false">IF('Cash Flow Statement'!BN36&gt;=$C$8,60,9999)</f>
        <v>60</v>
      </c>
    </row>
    <row r="20" customFormat="false" ht="15" hidden="false" customHeight="false" outlineLevel="0" collapsed="false">
      <c r="A20" s="13" t="s">
        <v>1181</v>
      </c>
      <c r="C20" s="111" t="n">
        <f aca="false">IF(MIN(C19:BN19)=9999,"beyond year five, a growth round is assumed",MIN(C19:BN19))</f>
        <v>55</v>
      </c>
    </row>
    <row r="22" customFormat="false" ht="15" hidden="false" customHeight="false" outlineLevel="0" collapsed="false">
      <c r="A22" s="9" t="s">
        <v>1182</v>
      </c>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row>
    <row r="23" customFormat="false" ht="19.4" hidden="false" customHeight="false" outlineLevel="0" collapsed="false">
      <c r="A23" s="11" t="s">
        <v>1183</v>
      </c>
      <c r="B23" s="12"/>
      <c r="C23" s="12" t="s">
        <v>1184</v>
      </c>
      <c r="D23" s="12" t="s">
        <v>1185</v>
      </c>
      <c r="E23" s="12" t="s">
        <v>1186</v>
      </c>
    </row>
    <row r="24" customFormat="false" ht="15" hidden="false" customHeight="false" outlineLevel="0" collapsed="false">
      <c r="A24" s="4" t="s">
        <v>1187</v>
      </c>
      <c r="C24" s="41" t="n">
        <v>0.6</v>
      </c>
      <c r="D24" s="101" t="n">
        <f aca="false">'Total Revenue'!BB18*C24</f>
        <v>2999227.26672798</v>
      </c>
      <c r="E24" s="101" t="n">
        <f aca="false">'Total Revenue'!BB18*C24-Expenses!BB16*C24-Expenses!BB45</f>
        <v>182107.727096805</v>
      </c>
    </row>
    <row r="25" customFormat="false" ht="15" hidden="false" customHeight="false" outlineLevel="0" collapsed="false">
      <c r="A25" s="4" t="s">
        <v>1188</v>
      </c>
      <c r="C25" s="41" t="n">
        <v>0.75</v>
      </c>
      <c r="D25" s="101" t="n">
        <f aca="false">'Total Revenue'!BB18*C25</f>
        <v>3749034.08340998</v>
      </c>
      <c r="E25" s="101" t="n">
        <f aca="false">'Total Revenue'!BB18*C25-Expenses!BB16*C25-Expenses!BB45</f>
        <v>805319.54761343</v>
      </c>
    </row>
    <row r="26" customFormat="false" ht="15" hidden="false" customHeight="false" outlineLevel="0" collapsed="false">
      <c r="A26" s="4" t="s">
        <v>1189</v>
      </c>
      <c r="C26" s="41" t="n">
        <v>0.9</v>
      </c>
      <c r="D26" s="101" t="n">
        <f aca="false">'Total Revenue'!BB18*C26</f>
        <v>4498840.90009198</v>
      </c>
      <c r="E26" s="101" t="n">
        <f aca="false">'Total Revenue'!BB18*C26-Expenses!BB16*C26-Expenses!BB45</f>
        <v>1428531.36813006</v>
      </c>
    </row>
    <row r="27" customFormat="false" ht="15" hidden="false" customHeight="false" outlineLevel="0" collapsed="false">
      <c r="A27" s="4" t="s">
        <v>1190</v>
      </c>
      <c r="C27" s="41" t="n">
        <v>1</v>
      </c>
      <c r="D27" s="101" t="n">
        <f aca="false">'Total Revenue'!BB18*C27</f>
        <v>4998712.11121331</v>
      </c>
      <c r="E27" s="101" t="n">
        <f aca="false">'Total Revenue'!BB18*C27-Expenses!BB16*C27-Expenses!BB45</f>
        <v>1844005.91514114</v>
      </c>
    </row>
    <row r="28" customFormat="false" ht="15" hidden="false" customHeight="false" outlineLevel="0" collapsed="false">
      <c r="A28" s="4" t="s">
        <v>1191</v>
      </c>
      <c r="C28" s="41" t="n">
        <v>1.1</v>
      </c>
      <c r="D28" s="101" t="n">
        <f aca="false">'Total Revenue'!BB18*C28</f>
        <v>5498583.32233464</v>
      </c>
      <c r="E28" s="101" t="n">
        <f aca="false">'Total Revenue'!BB18*C28-Expenses!BB16*C28-Expenses!BB45</f>
        <v>2259480.46215222</v>
      </c>
    </row>
    <row r="29" customFormat="false" ht="15" hidden="false" customHeight="false" outlineLevel="0" collapsed="false">
      <c r="A29" s="4" t="s">
        <v>1192</v>
      </c>
      <c r="C29" s="41" t="n">
        <v>1.25</v>
      </c>
      <c r="D29" s="101" t="n">
        <f aca="false">'Total Revenue'!BB18*C29</f>
        <v>6248390.13901663</v>
      </c>
      <c r="E29" s="101" t="n">
        <f aca="false">'Total Revenue'!BB18*C29-Expenses!BB16*C29-Expenses!BB45</f>
        <v>2882692.28266885</v>
      </c>
    </row>
    <row r="30" customFormat="false" ht="15" hidden="false" customHeight="false" outlineLevel="0" collapsed="false">
      <c r="A30" s="29" t="s">
        <v>1193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7" min="3" style="0" width="16"/>
    <col collapsed="false" customWidth="true" hidden="false" outlineLevel="0" max="8" min="8" style="0" width="17"/>
  </cols>
  <sheetData>
    <row r="1" customFormat="false" ht="18.55" hidden="false" customHeight="false" outlineLevel="0" collapsed="false">
      <c r="A1" s="7" t="s">
        <v>1136</v>
      </c>
    </row>
    <row r="2" customFormat="false" ht="15" hidden="false" customHeight="false" outlineLevel="0" collapsed="false">
      <c r="A2" s="8" t="s">
        <v>1194</v>
      </c>
    </row>
    <row r="4" customFormat="false" ht="15" hidden="false" customHeight="false" outlineLevel="0" collapsed="false">
      <c r="A4" s="9" t="s">
        <v>1195</v>
      </c>
      <c r="B4" s="10"/>
      <c r="C4" s="10"/>
      <c r="D4" s="10"/>
      <c r="E4" s="10"/>
      <c r="F4" s="10"/>
      <c r="G4" s="10"/>
    </row>
    <row r="5" customFormat="false" ht="15" hidden="false" customHeight="false" outlineLevel="0" collapsed="false">
      <c r="A5" s="29" t="s">
        <v>1196</v>
      </c>
    </row>
    <row r="6" customFormat="false" ht="15" hidden="false" customHeight="false" outlineLevel="0" collapsed="false">
      <c r="A6" s="113" t="s">
        <v>1197</v>
      </c>
      <c r="C6" s="41" t="n">
        <v>-0.2</v>
      </c>
      <c r="D6" s="41" t="n">
        <v>-0.1</v>
      </c>
      <c r="E6" s="41" t="n">
        <v>0</v>
      </c>
      <c r="F6" s="41" t="n">
        <v>0.1</v>
      </c>
      <c r="G6" s="41" t="n">
        <v>0.2</v>
      </c>
    </row>
    <row r="7" customFormat="false" ht="15" hidden="false" customHeight="false" outlineLevel="0" collapsed="false">
      <c r="A7" s="4" t="s">
        <v>1198</v>
      </c>
      <c r="B7" s="41" t="n">
        <v>-0.3</v>
      </c>
      <c r="C7" s="101" t="n">
        <f aca="false">'Total Revenue'!BB18*(1+$B7)*(1+C$6)-Expenses!BB16*(1+$B7)-Expenses!BB45</f>
        <v>-102237.421461974</v>
      </c>
      <c r="D7" s="101" t="n">
        <f aca="false">'Total Revenue'!BB18*(1+$B7)*(1+D$6)-Expenses!BB16*(1+$B7)-Expenses!BB45</f>
        <v>247672.426322957</v>
      </c>
      <c r="E7" s="101" t="n">
        <f aca="false">'Total Revenue'!BB18*(1+$B7)*(1+E$6)-Expenses!BB16*(1+$B7)-Expenses!BB45</f>
        <v>597582.274107888</v>
      </c>
      <c r="F7" s="101" t="n">
        <f aca="false">'Total Revenue'!BB18*(1+$B7)*(1+F$6)-Expenses!BB16*(1+$B7)-Expenses!BB45</f>
        <v>947492.12189282</v>
      </c>
      <c r="G7" s="101" t="n">
        <f aca="false">'Total Revenue'!BB18*(1+$B7)*(1+G$6)-Expenses!BB16*(1+$B7)-Expenses!BB45</f>
        <v>1297401.96967775</v>
      </c>
    </row>
    <row r="8" customFormat="false" ht="15" hidden="false" customHeight="false" outlineLevel="0" collapsed="false">
      <c r="A8" s="4" t="s">
        <v>1198</v>
      </c>
      <c r="B8" s="41" t="n">
        <v>-0.15</v>
      </c>
      <c r="C8" s="101" t="n">
        <f aca="false">'Total Revenue'!BB18*(1+$B8)*(1+C$6)-Expenses!BB16*(1+$B8)-Expenses!BB45</f>
        <v>371013.035718252</v>
      </c>
      <c r="D8" s="101" t="n">
        <f aca="false">'Total Revenue'!BB18*(1+$B8)*(1+D$6)-Expenses!BB16*(1+$B8)-Expenses!BB45</f>
        <v>795903.565171383</v>
      </c>
      <c r="E8" s="101" t="n">
        <f aca="false">'Total Revenue'!BB18*(1+$B8)*(1+E$6)-Expenses!BB16*(1+$B8)-Expenses!BB45</f>
        <v>1220794.09462451</v>
      </c>
      <c r="F8" s="101" t="n">
        <f aca="false">'Total Revenue'!BB18*(1+$B8)*(1+F$6)-Expenses!BB16*(1+$B8)-Expenses!BB45</f>
        <v>1645684.62407765</v>
      </c>
      <c r="G8" s="101" t="n">
        <f aca="false">'Total Revenue'!BB18*(1+$B8)*(1+G$6)-Expenses!BB16*(1+$B8)-Expenses!BB45</f>
        <v>2070575.15353078</v>
      </c>
    </row>
    <row r="9" customFormat="false" ht="15" hidden="false" customHeight="false" outlineLevel="0" collapsed="false">
      <c r="A9" s="4" t="s">
        <v>1198</v>
      </c>
      <c r="B9" s="41" t="n">
        <v>0</v>
      </c>
      <c r="C9" s="101" t="n">
        <f aca="false">'Total Revenue'!BB18*(1+$B9)*(1+C$6)-Expenses!BB16*(1+$B9)-Expenses!BB45</f>
        <v>844263.492898478</v>
      </c>
      <c r="D9" s="101" t="n">
        <f aca="false">'Total Revenue'!BB18*(1+$B9)*(1+D$6)-Expenses!BB16*(1+$B9)-Expenses!BB45</f>
        <v>1344134.70401981</v>
      </c>
      <c r="E9" s="101" t="n">
        <f aca="false">'Total Revenue'!BB18*(1+$B9)*(1+E$6)-Expenses!BB16*(1+$B9)-Expenses!BB45</f>
        <v>1844005.91514114</v>
      </c>
      <c r="F9" s="101" t="n">
        <f aca="false">'Total Revenue'!BB18*(1+$B9)*(1+F$6)-Expenses!BB16*(1+$B9)-Expenses!BB45</f>
        <v>2343877.12626247</v>
      </c>
      <c r="G9" s="101" t="n">
        <f aca="false">'Total Revenue'!BB18*(1+$B9)*(1+G$6)-Expenses!BB16*(1+$B9)-Expenses!BB45</f>
        <v>2843748.3373838</v>
      </c>
    </row>
    <row r="10" customFormat="false" ht="15" hidden="false" customHeight="false" outlineLevel="0" collapsed="false">
      <c r="A10" s="4" t="s">
        <v>1198</v>
      </c>
      <c r="B10" s="41" t="n">
        <v>0.15</v>
      </c>
      <c r="C10" s="101" t="n">
        <f aca="false">'Total Revenue'!BB18*(1+$B10)*(1+C$6)-Expenses!BB16*(1+$B10)-Expenses!BB45</f>
        <v>1317513.9500787</v>
      </c>
      <c r="D10" s="101" t="n">
        <f aca="false">'Total Revenue'!BB18*(1+$B10)*(1+D$6)-Expenses!BB16*(1+$B10)-Expenses!BB45</f>
        <v>1892365.84286823</v>
      </c>
      <c r="E10" s="101" t="n">
        <f aca="false">'Total Revenue'!BB18*(1+$B10)*(1+E$6)-Expenses!BB16*(1+$B10)-Expenses!BB45</f>
        <v>2467217.73565776</v>
      </c>
      <c r="F10" s="101" t="n">
        <f aca="false">'Total Revenue'!BB18*(1+$B10)*(1+F$6)-Expenses!BB16*(1+$B10)-Expenses!BB45</f>
        <v>3042069.62844729</v>
      </c>
      <c r="G10" s="101" t="n">
        <f aca="false">'Total Revenue'!BB18*(1+$B10)*(1+G$6)-Expenses!BB16*(1+$B10)-Expenses!BB45</f>
        <v>3616921.52123682</v>
      </c>
    </row>
    <row r="11" customFormat="false" ht="15" hidden="false" customHeight="false" outlineLevel="0" collapsed="false">
      <c r="A11" s="4" t="s">
        <v>1198</v>
      </c>
      <c r="B11" s="41" t="n">
        <v>0.3</v>
      </c>
      <c r="C11" s="101" t="n">
        <f aca="false">'Total Revenue'!BB18*(1+$B11)*(1+C$6)-Expenses!BB16*(1+$B11)-Expenses!BB45</f>
        <v>1790764.40725893</v>
      </c>
      <c r="D11" s="101" t="n">
        <f aca="false">'Total Revenue'!BB18*(1+$B11)*(1+D$6)-Expenses!BB16*(1+$B11)-Expenses!BB45</f>
        <v>2440596.98171666</v>
      </c>
      <c r="E11" s="101" t="n">
        <f aca="false">'Total Revenue'!BB18*(1+$B11)*(1+E$6)-Expenses!BB16*(1+$B11)-Expenses!BB45</f>
        <v>3090429.55617439</v>
      </c>
      <c r="F11" s="101" t="n">
        <f aca="false">'Total Revenue'!BB18*(1+$B11)*(1+F$6)-Expenses!BB16*(1+$B11)-Expenses!BB45</f>
        <v>3740262.13063212</v>
      </c>
      <c r="G11" s="101" t="n">
        <f aca="false">'Total Revenue'!BB18*(1+$B11)*(1+G$6)-Expenses!BB16*(1+$B11)-Expenses!BB45</f>
        <v>4390094.70508985</v>
      </c>
    </row>
    <row r="13" customFormat="false" ht="15" hidden="false" customHeight="false" outlineLevel="0" collapsed="false">
      <c r="A13" s="9" t="s">
        <v>1199</v>
      </c>
      <c r="B13" s="10"/>
      <c r="C13" s="10"/>
      <c r="D13" s="10"/>
      <c r="E13" s="10"/>
      <c r="F13" s="10"/>
      <c r="G13" s="10"/>
    </row>
    <row r="14" customFormat="false" ht="15" hidden="false" customHeight="false" outlineLevel="0" collapsed="false">
      <c r="A14" s="29" t="s">
        <v>1200</v>
      </c>
    </row>
    <row r="15" customFormat="false" ht="15" hidden="false" customHeight="false" outlineLevel="0" collapsed="false">
      <c r="A15" s="113" t="s">
        <v>1201</v>
      </c>
      <c r="C15" s="41" t="n">
        <v>-0.15</v>
      </c>
      <c r="D15" s="41" t="n">
        <v>-0.075</v>
      </c>
      <c r="E15" s="41" t="n">
        <v>0</v>
      </c>
      <c r="F15" s="41" t="n">
        <v>0.075</v>
      </c>
      <c r="G15" s="41" t="n">
        <v>0.15</v>
      </c>
    </row>
    <row r="16" customFormat="false" ht="15" hidden="false" customHeight="false" outlineLevel="0" collapsed="false">
      <c r="A16" s="4" t="s">
        <v>1198</v>
      </c>
      <c r="B16" s="41" t="n">
        <v>-0.3</v>
      </c>
      <c r="C16" s="101" t="n">
        <f aca="false">'Total Revenue'!BB18*(1+$B16)-Expenses!BB16*(1+$B16)-Expenses!BB45*(1+C$15)</f>
        <v>944193.207353343</v>
      </c>
      <c r="D16" s="101" t="n">
        <f aca="false">'Total Revenue'!BB18*(1+$B16)-Expenses!BB16*(1+$B16)-Expenses!BB45*(1+D$15)</f>
        <v>770887.740730615</v>
      </c>
      <c r="E16" s="101" t="n">
        <f aca="false">'Total Revenue'!BB18*(1+$B16)-Expenses!BB16*(1+$B16)-Expenses!BB45*(1+E$15)</f>
        <v>597582.274107888</v>
      </c>
      <c r="F16" s="101" t="n">
        <f aca="false">'Total Revenue'!BB18*(1+$B16)-Expenses!BB16*(1+$B16)-Expenses!BB45*(1+F$15)</f>
        <v>424276.807485161</v>
      </c>
      <c r="G16" s="101" t="n">
        <f aca="false">'Total Revenue'!BB18*(1+$B16)-Expenses!BB16*(1+$B16)-Expenses!BB45*(1+G$15)</f>
        <v>250971.340862434</v>
      </c>
    </row>
    <row r="17" customFormat="false" ht="15" hidden="false" customHeight="false" outlineLevel="0" collapsed="false">
      <c r="A17" s="4" t="s">
        <v>1198</v>
      </c>
      <c r="B17" s="41" t="n">
        <v>-0.15</v>
      </c>
      <c r="C17" s="101" t="n">
        <f aca="false">'Total Revenue'!BB18*(1+$B17)-Expenses!BB16*(1+$B17)-Expenses!BB45*(1+C$15)</f>
        <v>1567405.02786997</v>
      </c>
      <c r="D17" s="101" t="n">
        <f aca="false">'Total Revenue'!BB18*(1+$B17)-Expenses!BB16*(1+$B17)-Expenses!BB45*(1+D$15)</f>
        <v>1394099.56124724</v>
      </c>
      <c r="E17" s="101" t="n">
        <f aca="false">'Total Revenue'!BB18*(1+$B17)-Expenses!BB16*(1+$B17)-Expenses!BB45*(1+E$15)</f>
        <v>1220794.09462451</v>
      </c>
      <c r="F17" s="101" t="n">
        <f aca="false">'Total Revenue'!BB18*(1+$B17)-Expenses!BB16*(1+$B17)-Expenses!BB45*(1+F$15)</f>
        <v>1047488.62800179</v>
      </c>
      <c r="G17" s="101" t="n">
        <f aca="false">'Total Revenue'!BB18*(1+$B17)-Expenses!BB16*(1+$B17)-Expenses!BB45*(1+G$15)</f>
        <v>874183.16137906</v>
      </c>
    </row>
    <row r="18" customFormat="false" ht="15" hidden="false" customHeight="false" outlineLevel="0" collapsed="false">
      <c r="A18" s="4" t="s">
        <v>1198</v>
      </c>
      <c r="B18" s="41" t="n">
        <v>0</v>
      </c>
      <c r="C18" s="101" t="n">
        <f aca="false">'Total Revenue'!BB18*(1+$B18)-Expenses!BB16*(1+$B18)-Expenses!BB45*(1+C$15)</f>
        <v>2190616.84838659</v>
      </c>
      <c r="D18" s="101" t="n">
        <f aca="false">'Total Revenue'!BB18*(1+$B18)-Expenses!BB16*(1+$B18)-Expenses!BB45*(1+D$15)</f>
        <v>2017311.38176387</v>
      </c>
      <c r="E18" s="101" t="n">
        <f aca="false">'Total Revenue'!BB18*(1+$B18)-Expenses!BB16*(1+$B18)-Expenses!BB45*(1+E$15)</f>
        <v>1844005.91514114</v>
      </c>
      <c r="F18" s="101" t="n">
        <f aca="false">'Total Revenue'!BB18*(1+$B18)-Expenses!BB16*(1+$B18)-Expenses!BB45*(1+F$15)</f>
        <v>1670700.44851841</v>
      </c>
      <c r="G18" s="101" t="n">
        <f aca="false">'Total Revenue'!BB18*(1+$B18)-Expenses!BB16*(1+$B18)-Expenses!BB45*(1+G$15)</f>
        <v>1497394.98189568</v>
      </c>
    </row>
    <row r="19" customFormat="false" ht="15" hidden="false" customHeight="false" outlineLevel="0" collapsed="false">
      <c r="A19" s="4" t="s">
        <v>1198</v>
      </c>
      <c r="B19" s="41" t="n">
        <v>0.15</v>
      </c>
      <c r="C19" s="101" t="n">
        <f aca="false">'Total Revenue'!BB18*(1+$B19)-Expenses!BB16*(1+$B19)-Expenses!BB45*(1+C$15)</f>
        <v>2813828.66890322</v>
      </c>
      <c r="D19" s="101" t="n">
        <f aca="false">'Total Revenue'!BB18*(1+$B19)-Expenses!BB16*(1+$B19)-Expenses!BB45*(1+D$15)</f>
        <v>2640523.20228049</v>
      </c>
      <c r="E19" s="101" t="n">
        <f aca="false">'Total Revenue'!BB18*(1+$B19)-Expenses!BB16*(1+$B19)-Expenses!BB45*(1+E$15)</f>
        <v>2467217.73565776</v>
      </c>
      <c r="F19" s="101" t="n">
        <f aca="false">'Total Revenue'!BB18*(1+$B19)-Expenses!BB16*(1+$B19)-Expenses!BB45*(1+F$15)</f>
        <v>2293912.26903504</v>
      </c>
      <c r="G19" s="101" t="n">
        <f aca="false">'Total Revenue'!BB18*(1+$B19)-Expenses!BB16*(1+$B19)-Expenses!BB45*(1+G$15)</f>
        <v>2120606.80241231</v>
      </c>
    </row>
    <row r="20" customFormat="false" ht="15" hidden="false" customHeight="false" outlineLevel="0" collapsed="false">
      <c r="A20" s="4" t="s">
        <v>1198</v>
      </c>
      <c r="B20" s="41" t="n">
        <v>0.3</v>
      </c>
      <c r="C20" s="101" t="n">
        <f aca="false">'Total Revenue'!BB18*(1+$B20)-Expenses!BB16*(1+$B20)-Expenses!BB45*(1+C$15)</f>
        <v>3437040.48941984</v>
      </c>
      <c r="D20" s="101" t="n">
        <f aca="false">'Total Revenue'!BB18*(1+$B20)-Expenses!BB16*(1+$B20)-Expenses!BB45*(1+D$15)</f>
        <v>3263735.02279712</v>
      </c>
      <c r="E20" s="101" t="n">
        <f aca="false">'Total Revenue'!BB18*(1+$B20)-Expenses!BB16*(1+$B20)-Expenses!BB45*(1+E$15)</f>
        <v>3090429.55617439</v>
      </c>
      <c r="F20" s="101" t="n">
        <f aca="false">'Total Revenue'!BB18*(1+$B20)-Expenses!BB16*(1+$B20)-Expenses!BB45*(1+F$15)</f>
        <v>2917124.08955166</v>
      </c>
      <c r="G20" s="101" t="n">
        <f aca="false">'Total Revenue'!BB18*(1+$B20)-Expenses!BB16*(1+$B20)-Expenses!BB45*(1+G$15)</f>
        <v>2743818.62292893</v>
      </c>
    </row>
    <row r="22" customFormat="false" ht="15" hidden="false" customHeight="false" outlineLevel="0" collapsed="false">
      <c r="A22" s="9" t="s">
        <v>1202</v>
      </c>
      <c r="B22" s="10"/>
      <c r="C22" s="10"/>
      <c r="D22" s="10"/>
      <c r="E22" s="10"/>
      <c r="F22" s="10"/>
      <c r="G22" s="10"/>
    </row>
    <row r="23" customFormat="false" ht="15" hidden="false" customHeight="false" outlineLevel="0" collapsed="false">
      <c r="A23" s="29" t="s">
        <v>1203</v>
      </c>
    </row>
    <row r="24" customFormat="false" ht="15" hidden="false" customHeight="false" outlineLevel="0" collapsed="false">
      <c r="A24" s="113" t="s">
        <v>1204</v>
      </c>
      <c r="C24" s="41" t="n">
        <v>-0.4</v>
      </c>
      <c r="D24" s="41" t="n">
        <v>-0.2</v>
      </c>
      <c r="E24" s="41" t="n">
        <v>0</v>
      </c>
      <c r="F24" s="41" t="n">
        <v>0.2</v>
      </c>
      <c r="G24" s="41" t="n">
        <v>0.4</v>
      </c>
    </row>
    <row r="25" customFormat="false" ht="15" hidden="false" customHeight="false" outlineLevel="0" collapsed="false">
      <c r="A25" s="4" t="s">
        <v>1205</v>
      </c>
      <c r="B25" s="41" t="n">
        <v>-0.2</v>
      </c>
      <c r="C25" s="101" t="n">
        <f aca="false">Expenses!BB52+'Total Revenue'!BB6*$B25*(1-('Assumption Setting'!$C$136+'Assumption Setting'!$C$154+'Assumption Setting'!$G$151*'Assumption Setting'!$C$152))+'Total Revenue'!BB11*C$24*(1-('Assumption Setting'!$C$137+'Assumption Setting'!$C$153+'Assumption Setting'!$C$155))</f>
        <v>742036.092314798</v>
      </c>
      <c r="D25" s="101" t="n">
        <f aca="false">Expenses!BB52+'Total Revenue'!BB6*$B25*(1-('Assumption Setting'!$C$136+'Assumption Setting'!$C$154+'Assumption Setting'!$G$151*'Assumption Setting'!$C$152))+'Total Revenue'!BB11*D$24*(1-('Assumption Setting'!$C$137+'Assumption Setting'!$C$153+'Assumption Setting'!$C$155))</f>
        <v>1000259.24705373</v>
      </c>
      <c r="E25" s="101" t="n">
        <f aca="false">Expenses!BB52+'Total Revenue'!BB6*$B25*(1-('Assumption Setting'!$C$136+'Assumption Setting'!$C$154+'Assumption Setting'!$G$151*'Assumption Setting'!$C$152))+'Total Revenue'!BB11*E$24*(1-('Assumption Setting'!$C$137+'Assumption Setting'!$C$153+'Assumption Setting'!$C$155))</f>
        <v>1258482.40179267</v>
      </c>
      <c r="F25" s="101" t="n">
        <f aca="false">Expenses!BB52+'Total Revenue'!BB6*$B25*(1-('Assumption Setting'!$C$136+'Assumption Setting'!$C$154+'Assumption Setting'!$G$151*'Assumption Setting'!$C$152))+'Total Revenue'!BB11*F$24*(1-('Assumption Setting'!$C$137+'Assumption Setting'!$C$153+'Assumption Setting'!$C$155))</f>
        <v>1516705.55653161</v>
      </c>
      <c r="G25" s="101" t="n">
        <f aca="false">Expenses!BB52+'Total Revenue'!BB6*$B25*(1-('Assumption Setting'!$C$136+'Assumption Setting'!$C$154+'Assumption Setting'!$G$151*'Assumption Setting'!$C$152))+'Total Revenue'!BB11*G$24*(1-('Assumption Setting'!$C$137+'Assumption Setting'!$C$153+'Assumption Setting'!$C$155))</f>
        <v>1774928.71127054</v>
      </c>
    </row>
    <row r="26" customFormat="false" ht="15" hidden="false" customHeight="false" outlineLevel="0" collapsed="false">
      <c r="A26" s="4" t="s">
        <v>1205</v>
      </c>
      <c r="B26" s="41" t="n">
        <v>-0.1</v>
      </c>
      <c r="C26" s="101" t="n">
        <f aca="false">Expenses!BB52+'Total Revenue'!BB6*$B26*(1-('Assumption Setting'!$C$136+'Assumption Setting'!$C$154+'Assumption Setting'!$G$151*'Assumption Setting'!$C$152))+'Total Revenue'!BB11*C$24*(1-('Assumption Setting'!$C$137+'Assumption Setting'!$C$153+'Assumption Setting'!$C$155))</f>
        <v>1034797.84898903</v>
      </c>
      <c r="D26" s="101" t="n">
        <f aca="false">Expenses!BB52+'Total Revenue'!BB6*$B26*(1-('Assumption Setting'!$C$136+'Assumption Setting'!$C$154+'Assumption Setting'!$G$151*'Assumption Setting'!$C$152))+'Total Revenue'!BB11*D$24*(1-('Assumption Setting'!$C$137+'Assumption Setting'!$C$153+'Assumption Setting'!$C$155))</f>
        <v>1293021.00372797</v>
      </c>
      <c r="E26" s="101" t="n">
        <f aca="false">Expenses!BB52+'Total Revenue'!BB6*$B26*(1-('Assumption Setting'!$C$136+'Assumption Setting'!$C$154+'Assumption Setting'!$G$151*'Assumption Setting'!$C$152))+'Total Revenue'!BB11*E$24*(1-('Assumption Setting'!$C$137+'Assumption Setting'!$C$153+'Assumption Setting'!$C$155))</f>
        <v>1551244.1584669</v>
      </c>
      <c r="F26" s="101" t="n">
        <f aca="false">Expenses!BB52+'Total Revenue'!BB6*$B26*(1-('Assumption Setting'!$C$136+'Assumption Setting'!$C$154+'Assumption Setting'!$G$151*'Assumption Setting'!$C$152))+'Total Revenue'!BB11*F$24*(1-('Assumption Setting'!$C$137+'Assumption Setting'!$C$153+'Assumption Setting'!$C$155))</f>
        <v>1809467.31320584</v>
      </c>
      <c r="G26" s="101" t="n">
        <f aca="false">Expenses!BB52+'Total Revenue'!BB6*$B26*(1-('Assumption Setting'!$C$136+'Assumption Setting'!$C$154+'Assumption Setting'!$G$151*'Assumption Setting'!$C$152))+'Total Revenue'!BB11*G$24*(1-('Assumption Setting'!$C$137+'Assumption Setting'!$C$153+'Assumption Setting'!$C$155))</f>
        <v>2067690.46794478</v>
      </c>
    </row>
    <row r="27" customFormat="false" ht="15" hidden="false" customHeight="false" outlineLevel="0" collapsed="false">
      <c r="A27" s="4" t="s">
        <v>1205</v>
      </c>
      <c r="B27" s="41" t="n">
        <v>0</v>
      </c>
      <c r="C27" s="101" t="n">
        <f aca="false">Expenses!BB52+'Total Revenue'!BB6*$B27*(1-('Assumption Setting'!$C$136+'Assumption Setting'!$C$154+'Assumption Setting'!$G$151*'Assumption Setting'!$C$152))+'Total Revenue'!BB11*C$24*(1-('Assumption Setting'!$C$137+'Assumption Setting'!$C$153+'Assumption Setting'!$C$155))</f>
        <v>1327559.60566327</v>
      </c>
      <c r="D27" s="101" t="n">
        <f aca="false">Expenses!BB52+'Total Revenue'!BB6*$B27*(1-('Assumption Setting'!$C$136+'Assumption Setting'!$C$154+'Assumption Setting'!$G$151*'Assumption Setting'!$C$152))+'Total Revenue'!BB11*D$24*(1-('Assumption Setting'!$C$137+'Assumption Setting'!$C$153+'Assumption Setting'!$C$155))</f>
        <v>1585782.7604022</v>
      </c>
      <c r="E27" s="101" t="n">
        <f aca="false">Expenses!BB52+'Total Revenue'!BB6*$B27*(1-('Assumption Setting'!$C$136+'Assumption Setting'!$C$154+'Assumption Setting'!$G$151*'Assumption Setting'!$C$152))+'Total Revenue'!BB11*E$24*(1-('Assumption Setting'!$C$137+'Assumption Setting'!$C$153+'Assumption Setting'!$C$155))</f>
        <v>1844005.91514114</v>
      </c>
      <c r="F27" s="101" t="n">
        <f aca="false">Expenses!BB52+'Total Revenue'!BB6*$B27*(1-('Assumption Setting'!$C$136+'Assumption Setting'!$C$154+'Assumption Setting'!$G$151*'Assumption Setting'!$C$152))+'Total Revenue'!BB11*F$24*(1-('Assumption Setting'!$C$137+'Assumption Setting'!$C$153+'Assumption Setting'!$C$155))</f>
        <v>2102229.06988008</v>
      </c>
      <c r="G27" s="101" t="n">
        <f aca="false">Expenses!BB52+'Total Revenue'!BB6*$B27*(1-('Assumption Setting'!$C$136+'Assumption Setting'!$C$154+'Assumption Setting'!$G$151*'Assumption Setting'!$C$152))+'Total Revenue'!BB11*G$24*(1-('Assumption Setting'!$C$137+'Assumption Setting'!$C$153+'Assumption Setting'!$C$155))</f>
        <v>2360452.22461901</v>
      </c>
    </row>
    <row r="28" customFormat="false" ht="15" hidden="false" customHeight="false" outlineLevel="0" collapsed="false">
      <c r="A28" s="4" t="s">
        <v>1205</v>
      </c>
      <c r="B28" s="41" t="n">
        <v>0.1</v>
      </c>
      <c r="C28" s="101" t="n">
        <f aca="false">Expenses!BB52+'Total Revenue'!BB6*$B28*(1-('Assumption Setting'!$C$136+'Assumption Setting'!$C$154+'Assumption Setting'!$G$151*'Assumption Setting'!$C$152))+'Total Revenue'!BB11*C$24*(1-('Assumption Setting'!$C$137+'Assumption Setting'!$C$153+'Assumption Setting'!$C$155))</f>
        <v>1620321.3623375</v>
      </c>
      <c r="D28" s="101" t="n">
        <f aca="false">Expenses!BB52+'Total Revenue'!BB6*$B28*(1-('Assumption Setting'!$C$136+'Assumption Setting'!$C$154+'Assumption Setting'!$G$151*'Assumption Setting'!$C$152))+'Total Revenue'!BB11*D$24*(1-('Assumption Setting'!$C$137+'Assumption Setting'!$C$153+'Assumption Setting'!$C$155))</f>
        <v>1878544.51707644</v>
      </c>
      <c r="E28" s="101" t="n">
        <f aca="false">Expenses!BB52+'Total Revenue'!BB6*$B28*(1-('Assumption Setting'!$C$136+'Assumption Setting'!$C$154+'Assumption Setting'!$G$151*'Assumption Setting'!$C$152))+'Total Revenue'!BB11*E$24*(1-('Assumption Setting'!$C$137+'Assumption Setting'!$C$153+'Assumption Setting'!$C$155))</f>
        <v>2136767.67181537</v>
      </c>
      <c r="F28" s="101" t="n">
        <f aca="false">Expenses!BB52+'Total Revenue'!BB6*$B28*(1-('Assumption Setting'!$C$136+'Assumption Setting'!$C$154+'Assumption Setting'!$G$151*'Assumption Setting'!$C$152))+'Total Revenue'!BB11*F$24*(1-('Assumption Setting'!$C$137+'Assumption Setting'!$C$153+'Assumption Setting'!$C$155))</f>
        <v>2394990.82655431</v>
      </c>
      <c r="G28" s="101" t="n">
        <f aca="false">Expenses!BB52+'Total Revenue'!BB6*$B28*(1-('Assumption Setting'!$C$136+'Assumption Setting'!$C$154+'Assumption Setting'!$G$151*'Assumption Setting'!$C$152))+'Total Revenue'!BB11*G$24*(1-('Assumption Setting'!$C$137+'Assumption Setting'!$C$153+'Assumption Setting'!$C$155))</f>
        <v>2653213.98129325</v>
      </c>
    </row>
    <row r="29" customFormat="false" ht="15" hidden="false" customHeight="false" outlineLevel="0" collapsed="false">
      <c r="A29" s="4" t="s">
        <v>1205</v>
      </c>
      <c r="B29" s="41" t="n">
        <v>0.2</v>
      </c>
      <c r="C29" s="101" t="n">
        <f aca="false">Expenses!BB52+'Total Revenue'!BB6*$B29*(1-('Assumption Setting'!$C$136+'Assumption Setting'!$C$154+'Assumption Setting'!$G$151*'Assumption Setting'!$C$152))+'Total Revenue'!BB11*C$24*(1-('Assumption Setting'!$C$137+'Assumption Setting'!$C$153+'Assumption Setting'!$C$155))</f>
        <v>1913083.11901174</v>
      </c>
      <c r="D29" s="101" t="n">
        <f aca="false">Expenses!BB52+'Total Revenue'!BB6*$B29*(1-('Assumption Setting'!$C$136+'Assumption Setting'!$C$154+'Assumption Setting'!$G$151*'Assumption Setting'!$C$152))+'Total Revenue'!BB11*D$24*(1-('Assumption Setting'!$C$137+'Assumption Setting'!$C$153+'Assumption Setting'!$C$155))</f>
        <v>2171306.27375067</v>
      </c>
      <c r="E29" s="101" t="n">
        <f aca="false">Expenses!BB52+'Total Revenue'!BB6*$B29*(1-('Assumption Setting'!$C$136+'Assumption Setting'!$C$154+'Assumption Setting'!$G$151*'Assumption Setting'!$C$152))+'Total Revenue'!BB11*E$24*(1-('Assumption Setting'!$C$137+'Assumption Setting'!$C$153+'Assumption Setting'!$C$155))</f>
        <v>2429529.42848961</v>
      </c>
      <c r="F29" s="101" t="n">
        <f aca="false">Expenses!BB52+'Total Revenue'!BB6*$B29*(1-('Assumption Setting'!$C$136+'Assumption Setting'!$C$154+'Assumption Setting'!$G$151*'Assumption Setting'!$C$152))+'Total Revenue'!BB11*F$24*(1-('Assumption Setting'!$C$137+'Assumption Setting'!$C$153+'Assumption Setting'!$C$155))</f>
        <v>2687752.58322855</v>
      </c>
      <c r="G29" s="101" t="n">
        <f aca="false">Expenses!BB52+'Total Revenue'!BB6*$B29*(1-('Assumption Setting'!$C$136+'Assumption Setting'!$C$154+'Assumption Setting'!$G$151*'Assumption Setting'!$C$152))+'Total Revenue'!BB11*G$24*(1-('Assumption Setting'!$C$137+'Assumption Setting'!$C$153+'Assumption Setting'!$C$155))</f>
        <v>2945975.73796748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7" min="3" style="0" width="16"/>
    <col collapsed="false" customWidth="true" hidden="false" outlineLevel="0" max="9" min="8" style="0" width="18"/>
  </cols>
  <sheetData>
    <row r="1" customFormat="false" ht="18.55" hidden="false" customHeight="false" outlineLevel="0" collapsed="false">
      <c r="A1" s="7" t="s">
        <v>1137</v>
      </c>
    </row>
    <row r="2" customFormat="false" ht="15" hidden="false" customHeight="false" outlineLevel="0" collapsed="false">
      <c r="A2" s="8" t="s">
        <v>1206</v>
      </c>
    </row>
    <row r="4" customFormat="false" ht="15" hidden="false" customHeight="false" outlineLevel="0" collapsed="false">
      <c r="A4" s="9" t="s">
        <v>1207</v>
      </c>
      <c r="B4" s="10"/>
      <c r="C4" s="10"/>
      <c r="D4" s="10"/>
      <c r="E4" s="10"/>
      <c r="F4" s="10"/>
      <c r="G4" s="10"/>
    </row>
    <row r="5" customFormat="false" ht="19.4" hidden="false" customHeight="false" outlineLevel="0" collapsed="false">
      <c r="A5" s="11" t="s">
        <v>1208</v>
      </c>
      <c r="B5" s="12"/>
      <c r="C5" s="12" t="s">
        <v>1184</v>
      </c>
      <c r="D5" s="12" t="s">
        <v>1209</v>
      </c>
      <c r="E5" s="12" t="s">
        <v>1210</v>
      </c>
      <c r="F5" s="12" t="s">
        <v>1211</v>
      </c>
    </row>
    <row r="6" customFormat="false" ht="15" hidden="false" customHeight="false" outlineLevel="0" collapsed="false">
      <c r="A6" s="4" t="s">
        <v>1212</v>
      </c>
      <c r="C6" s="47" t="n">
        <v>1</v>
      </c>
      <c r="D6" s="47" t="n">
        <v>1</v>
      </c>
      <c r="E6" s="47" t="n">
        <v>1</v>
      </c>
      <c r="F6" s="48" t="n">
        <v>0</v>
      </c>
    </row>
    <row r="7" customFormat="false" ht="15" hidden="false" customHeight="false" outlineLevel="0" collapsed="false">
      <c r="A7" s="4" t="s">
        <v>1213</v>
      </c>
      <c r="C7" s="47" t="n">
        <v>1.2</v>
      </c>
      <c r="D7" s="47" t="n">
        <v>1.05</v>
      </c>
      <c r="E7" s="47" t="n">
        <v>1.04</v>
      </c>
      <c r="F7" s="48" t="n">
        <v>0</v>
      </c>
    </row>
    <row r="8" customFormat="false" ht="15" hidden="false" customHeight="false" outlineLevel="0" collapsed="false">
      <c r="A8" s="4" t="s">
        <v>1214</v>
      </c>
      <c r="C8" s="47" t="n">
        <v>0.7</v>
      </c>
      <c r="D8" s="47" t="n">
        <v>0.92</v>
      </c>
      <c r="E8" s="47" t="n">
        <v>1.03</v>
      </c>
      <c r="F8" s="48" t="n">
        <v>1</v>
      </c>
    </row>
    <row r="9" customFormat="false" ht="15" hidden="false" customHeight="false" outlineLevel="0" collapsed="false">
      <c r="A9" s="4" t="s">
        <v>1215</v>
      </c>
      <c r="C9" s="47" t="n">
        <v>0.45</v>
      </c>
      <c r="D9" s="47" t="n">
        <v>0.85</v>
      </c>
      <c r="E9" s="47" t="n">
        <v>1.06</v>
      </c>
      <c r="F9" s="48" t="n">
        <v>2</v>
      </c>
    </row>
    <row r="11" customFormat="false" ht="15" hidden="false" customHeight="false" outlineLevel="0" collapsed="false">
      <c r="A11" s="9" t="s">
        <v>1216</v>
      </c>
      <c r="B11" s="10"/>
      <c r="C11" s="10"/>
      <c r="D11" s="10"/>
      <c r="E11" s="10"/>
      <c r="F11" s="10"/>
      <c r="G11" s="10"/>
    </row>
    <row r="12" customFormat="false" ht="15" hidden="false" customHeight="false" outlineLevel="0" collapsed="false">
      <c r="A12" s="11" t="s">
        <v>1208</v>
      </c>
      <c r="B12" s="12"/>
      <c r="C12" s="12" t="s">
        <v>87</v>
      </c>
      <c r="D12" s="12" t="s">
        <v>88</v>
      </c>
      <c r="E12" s="12" t="s">
        <v>89</v>
      </c>
      <c r="F12" s="12" t="s">
        <v>90</v>
      </c>
      <c r="G12" s="12" t="s">
        <v>91</v>
      </c>
    </row>
    <row r="13" customFormat="false" ht="15" hidden="false" customHeight="false" outlineLevel="0" collapsed="false">
      <c r="A13" s="4" t="s">
        <v>1212</v>
      </c>
      <c r="C13" s="99" t="n">
        <f aca="false">'Total Revenue'!B18*$C$6*$D$6</f>
        <v>68602.0541359569</v>
      </c>
      <c r="D13" s="99" t="n">
        <f aca="false">'Total Revenue'!O18*$C$6*$D$6</f>
        <v>391860.50917285</v>
      </c>
      <c r="E13" s="99" t="n">
        <f aca="false">'Total Revenue'!AB18*$C$6*$D$6</f>
        <v>1221612.70310048</v>
      </c>
      <c r="F13" s="99" t="n">
        <f aca="false">'Total Revenue'!AO18*$C$6*$D$6</f>
        <v>2763830.19278589</v>
      </c>
      <c r="G13" s="99" t="n">
        <f aca="false">'Total Revenue'!BB18*$C$6*$D$6</f>
        <v>4998712.11121331</v>
      </c>
    </row>
    <row r="14" customFormat="false" ht="15" hidden="false" customHeight="false" outlineLevel="0" collapsed="false">
      <c r="A14" s="4" t="s">
        <v>1213</v>
      </c>
      <c r="C14" s="99" t="n">
        <f aca="false">'Total Revenue'!B18*$C$7*$D$7</f>
        <v>86438.5882113057</v>
      </c>
      <c r="D14" s="99" t="n">
        <f aca="false">'Total Revenue'!O18*$C$7*$D$7</f>
        <v>493744.241557791</v>
      </c>
      <c r="E14" s="99" t="n">
        <f aca="false">'Total Revenue'!AB18*$C$7*$D$7</f>
        <v>1539232.00590661</v>
      </c>
      <c r="F14" s="99" t="n">
        <f aca="false">'Total Revenue'!AO18*$C$7*$D$7</f>
        <v>3482426.04291022</v>
      </c>
      <c r="G14" s="99" t="n">
        <f aca="false">'Total Revenue'!BB18*$C$7*$D$7</f>
        <v>6298377.26012877</v>
      </c>
    </row>
    <row r="15" customFormat="false" ht="15" hidden="false" customHeight="false" outlineLevel="0" collapsed="false">
      <c r="A15" s="4" t="s">
        <v>1214</v>
      </c>
      <c r="C15" s="99" t="n">
        <f aca="false">'Total Revenue'!B18*$C$8*$D$8</f>
        <v>44179.7228635562</v>
      </c>
      <c r="D15" s="99" t="n">
        <f aca="false">'Total Revenue'!O18*$C$8*$D$8</f>
        <v>252358.167907315</v>
      </c>
      <c r="E15" s="99" t="n">
        <f aca="false">'Total Revenue'!AB18*$C$8*$D$8</f>
        <v>786718.580796711</v>
      </c>
      <c r="F15" s="99" t="n">
        <f aca="false">'Total Revenue'!AO18*$C$8*$D$8</f>
        <v>1779906.64415411</v>
      </c>
      <c r="G15" s="99" t="n">
        <f aca="false">'Total Revenue'!BB18*$C$8*$D$8</f>
        <v>3219170.59962137</v>
      </c>
    </row>
    <row r="16" customFormat="false" ht="15" hidden="false" customHeight="false" outlineLevel="0" collapsed="false">
      <c r="A16" s="4" t="s">
        <v>1215</v>
      </c>
      <c r="C16" s="99" t="n">
        <f aca="false">'Total Revenue'!B18*$C$9*$D$9</f>
        <v>26240.2857070035</v>
      </c>
      <c r="D16" s="99" t="n">
        <f aca="false">'Total Revenue'!O18*$C$9*$D$9</f>
        <v>149886.644758615</v>
      </c>
      <c r="E16" s="99" t="n">
        <f aca="false">'Total Revenue'!AB18*$C$9*$D$9</f>
        <v>467266.858935935</v>
      </c>
      <c r="F16" s="99" t="n">
        <f aca="false">'Total Revenue'!AO18*$C$9*$D$9</f>
        <v>1057165.0487406</v>
      </c>
      <c r="G16" s="99" t="n">
        <f aca="false">'Total Revenue'!BB18*$C$9*$D$9</f>
        <v>1912007.38253909</v>
      </c>
    </row>
    <row r="18" customFormat="false" ht="15" hidden="false" customHeight="false" outlineLevel="0" collapsed="false">
      <c r="A18" s="9" t="s">
        <v>1217</v>
      </c>
      <c r="B18" s="10"/>
      <c r="C18" s="10"/>
      <c r="D18" s="10"/>
      <c r="E18" s="10"/>
      <c r="F18" s="10"/>
      <c r="G18" s="10"/>
    </row>
    <row r="19" customFormat="false" ht="15" hidden="false" customHeight="false" outlineLevel="0" collapsed="false">
      <c r="A19" s="11" t="s">
        <v>1208</v>
      </c>
      <c r="B19" s="12"/>
      <c r="C19" s="12" t="s">
        <v>87</v>
      </c>
      <c r="D19" s="12" t="s">
        <v>88</v>
      </c>
      <c r="E19" s="12" t="s">
        <v>89</v>
      </c>
      <c r="F19" s="12" t="s">
        <v>90</v>
      </c>
      <c r="G19" s="12" t="s">
        <v>91</v>
      </c>
    </row>
    <row r="20" customFormat="false" ht="15" hidden="false" customHeight="false" outlineLevel="0" collapsed="false">
      <c r="A20" s="4" t="s">
        <v>1212</v>
      </c>
      <c r="C20" s="99" t="n">
        <f aca="false">'Total Revenue'!B18*$C$6*$D$6-Expenses!B16*$C$6-Expenses!B45*$E$6</f>
        <v>-403637.769253284</v>
      </c>
      <c r="D20" s="99" t="n">
        <f aca="false">'Total Revenue'!O18*$C$6*$D$6-Expenses!O16*$C$6-Expenses!O45*$E$6</f>
        <v>-440831.336369439</v>
      </c>
      <c r="E20" s="99" t="n">
        <f aca="false">'Total Revenue'!AB18*$C$6*$D$6-Expenses!AB16*$C$6-Expenses!AB45*$E$6</f>
        <v>-168454.150581175</v>
      </c>
      <c r="F20" s="99" t="n">
        <f aca="false">'Total Revenue'!AO18*$C$6*$D$6-Expenses!AO16*$C$6-Expenses!AO45*$E$6</f>
        <v>618842.258521481</v>
      </c>
      <c r="G20" s="99" t="n">
        <f aca="false">'Total Revenue'!BB18*$C$6*$D$6-Expenses!BB16*$C$6-Expenses!BB45*$E$6</f>
        <v>1844005.91514114</v>
      </c>
    </row>
    <row r="21" customFormat="false" ht="15" hidden="false" customHeight="false" outlineLevel="0" collapsed="false">
      <c r="A21" s="4" t="s">
        <v>1213</v>
      </c>
      <c r="C21" s="99" t="n">
        <f aca="false">'Total Revenue'!B18*$C$7*$D$7-Expenses!B16*$C$7-Expenses!B45*$E$7</f>
        <v>-407291.219011337</v>
      </c>
      <c r="D21" s="99" t="n">
        <f aca="false">'Total Revenue'!O18*$C$7*$D$7-Expenses!O16*$C$7-Expenses!O45*$E$7</f>
        <v>-385114.391923951</v>
      </c>
      <c r="E21" s="99" t="n">
        <f aca="false">'Total Revenue'!AB18*$C$7*$D$7-Expenses!AB16*$C$7-Expenses!AB45*$E$7</f>
        <v>57098.6113267101</v>
      </c>
      <c r="F21" s="99" t="n">
        <f aca="false">'Total Revenue'!AO18*$C$7*$D$7-Expenses!AO16*$C$7-Expenses!AO45*$E$7</f>
        <v>1174080.51332715</v>
      </c>
      <c r="G21" s="99" t="n">
        <f aca="false">'Total Revenue'!BB18*$C$7*$D$7-Expenses!BB16*$C$7-Expenses!BB45*$E$7</f>
        <v>2882448.15363732</v>
      </c>
    </row>
    <row r="22" customFormat="false" ht="15" hidden="false" customHeight="false" outlineLevel="0" collapsed="false">
      <c r="A22" s="4" t="s">
        <v>1214</v>
      </c>
      <c r="C22" s="99" t="n">
        <f aca="false">'Total Revenue'!B18*$C$8*$D$8-Expenses!B16*$C$8-Expenses!B45*$E$8</f>
        <v>-436863.989000582</v>
      </c>
      <c r="D22" s="99" t="n">
        <f aca="false">'Total Revenue'!O18*$C$8*$D$8-Expenses!O16*$C$8-Expenses!O45*$E$8</f>
        <v>-578792.510133361</v>
      </c>
      <c r="E22" s="99" t="n">
        <f aca="false">'Total Revenue'!AB18*$C$8*$D$8-Expenses!AB16*$C$8-Expenses!AB45*$E$8</f>
        <v>-569843.553321513</v>
      </c>
      <c r="F22" s="99" t="n">
        <f aca="false">'Total Revenue'!AO18*$C$8*$D$8-Expenses!AO16*$C$8-Expenses!AO45*$E$8</f>
        <v>-269467.392370303</v>
      </c>
      <c r="G22" s="99" t="n">
        <f aca="false">'Total Revenue'!BB18*$C$8*$D$8-Expenses!BB16*$C$8-Expenses!BB45*$E$8</f>
        <v>248332.209230852</v>
      </c>
    </row>
    <row r="23" customFormat="false" ht="15" hidden="false" customHeight="false" outlineLevel="0" collapsed="false">
      <c r="A23" s="4" t="s">
        <v>1215</v>
      </c>
      <c r="C23" s="99" t="n">
        <f aca="false">'Total Revenue'!B18*$C$9*$D$9-Expenses!B16*$C$9-Expenses!B45*$E$9</f>
        <v>-464419.936787605</v>
      </c>
      <c r="D23" s="99" t="n">
        <f aca="false">'Total Revenue'!O18*$C$9*$D$9-Expenses!O16*$C$9-Expenses!O45*$E$9</f>
        <v>-683741.338942247</v>
      </c>
      <c r="E23" s="99" t="n">
        <f aca="false">'Total Revenue'!AB18*$C$9*$D$9-Expenses!AB16*$C$9-Expenses!AB45*$E$9</f>
        <v>-867185.513978534</v>
      </c>
      <c r="F23" s="99" t="n">
        <f aca="false">'Total Revenue'!AO18*$C$9*$D$9-Expenses!AO16*$C$9-Expenses!AO45*$E$9</f>
        <v>-920831.989402597</v>
      </c>
      <c r="G23" s="99" t="n">
        <f aca="false">'Total Revenue'!BB18*$C$9*$D$9-Expenses!BB16*$C$9-Expenses!BB45*$E$9</f>
        <v>-917161.5342249</v>
      </c>
    </row>
    <row r="25" customFormat="false" ht="15" hidden="false" customHeight="false" outlineLevel="0" collapsed="false">
      <c r="A25" s="9" t="s">
        <v>1218</v>
      </c>
      <c r="B25" s="10"/>
      <c r="C25" s="10"/>
      <c r="D25" s="10"/>
      <c r="E25" s="10"/>
      <c r="F25" s="10"/>
      <c r="G25" s="10"/>
    </row>
    <row r="26" customFormat="false" ht="15" hidden="false" customHeight="false" outlineLevel="0" collapsed="false">
      <c r="A26" s="29" t="s">
        <v>1219</v>
      </c>
    </row>
    <row r="27" customFormat="false" ht="19.4" hidden="false" customHeight="false" outlineLevel="0" collapsed="false">
      <c r="A27" s="11" t="s">
        <v>1208</v>
      </c>
      <c r="B27" s="12"/>
      <c r="C27" s="12" t="s">
        <v>87</v>
      </c>
      <c r="D27" s="12" t="s">
        <v>88</v>
      </c>
      <c r="E27" s="12" t="s">
        <v>89</v>
      </c>
      <c r="F27" s="12" t="s">
        <v>90</v>
      </c>
      <c r="G27" s="12" t="s">
        <v>91</v>
      </c>
      <c r="H27" s="114" t="s">
        <v>1220</v>
      </c>
      <c r="I27" s="114" t="s">
        <v>1221</v>
      </c>
    </row>
    <row r="28" customFormat="false" ht="15" hidden="false" customHeight="false" outlineLevel="0" collapsed="false">
      <c r="A28" s="4" t="s">
        <v>1212</v>
      </c>
      <c r="C28" s="101" t="n">
        <f aca="false">'Cash Flow Statement'!N34+SUM($C20:C20)-SUM($C20:C20)-$F$6*'Total Revenue'!B18*$C$6*$D$6/12</f>
        <v>185235.302287375</v>
      </c>
      <c r="D28" s="101" t="n">
        <f aca="false">'Cash Flow Statement'!AA34+SUM($C20:D20)-SUM($C20:D20)-$F$6*'Total Revenue'!O18*$C$6*$D$6/12</f>
        <v>237273.564765139</v>
      </c>
      <c r="E28" s="101" t="n">
        <f aca="false">'Cash Flow Statement'!AN34+SUM($C20:E20)-SUM($C20:E20)-$F$6*'Total Revenue'!AB18*$C$6*$D$6/12</f>
        <v>188317.945408139</v>
      </c>
      <c r="F28" s="101" t="n">
        <f aca="false">'Cash Flow Statement'!BA34+SUM($C20:F20)-SUM($C20:F20)-$F$6*'Total Revenue'!AO18*$C$6*$D$6/12</f>
        <v>1031867.55982344</v>
      </c>
      <c r="G28" s="101" t="n">
        <f aca="false">'Cash Flow Statement'!BN34+SUM($C20:G20)-SUM($C20:G20)-$F$6*'Total Revenue'!BB18*$C$6*$D$6/12</f>
        <v>3195853.68084787</v>
      </c>
      <c r="H28" s="100" t="n">
        <f aca="false">MIN(C28:G28)</f>
        <v>185235.302287375</v>
      </c>
      <c r="I28" s="100" t="n">
        <f aca="false">MAX(0,'Assumption Setting'!$C$191-H28)</f>
        <v>0</v>
      </c>
    </row>
    <row r="29" customFormat="false" ht="15" hidden="false" customHeight="false" outlineLevel="0" collapsed="false">
      <c r="A29" s="4" t="s">
        <v>1213</v>
      </c>
      <c r="C29" s="101" t="n">
        <f aca="false">'Cash Flow Statement'!N34+SUM($C21:C21)-SUM($C20:C20)-$F$7*'Total Revenue'!B18*$C$7*$D$7/12</f>
        <v>181581.852529322</v>
      </c>
      <c r="D29" s="101" t="n">
        <f aca="false">'Cash Flow Statement'!AA34+SUM($C21:D21)-SUM($C20:D20)-$F$7*'Total Revenue'!O18*$C$7*$D$7/12</f>
        <v>289337.059452574</v>
      </c>
      <c r="E29" s="101" t="n">
        <f aca="false">'Cash Flow Statement'!AN34+SUM($C21:E21)-SUM($C20:E20)-$F$7*'Total Revenue'!AB18*$C$7*$D$7/12</f>
        <v>465934.202003459</v>
      </c>
      <c r="F29" s="101" t="n">
        <f aca="false">'Cash Flow Statement'!BA34+SUM($C21:F21)-SUM($C20:F20)-$F$7*'Total Revenue'!AO18*$C$7*$D$7/12</f>
        <v>1864722.07122443</v>
      </c>
      <c r="G29" s="101" t="n">
        <f aca="false">'Cash Flow Statement'!BN34+SUM($C21:G21)-SUM($C20:G20)-$F$7*'Total Revenue'!BB18*$C$7*$D$7/12</f>
        <v>5067150.43074504</v>
      </c>
      <c r="H29" s="100" t="n">
        <f aca="false">MIN(C29:G29)</f>
        <v>181581.852529322</v>
      </c>
      <c r="I29" s="100" t="n">
        <f aca="false">MAX(0,'Assumption Setting'!$C$191-H29)</f>
        <v>0</v>
      </c>
    </row>
    <row r="30" customFormat="false" ht="15" hidden="false" customHeight="false" outlineLevel="0" collapsed="false">
      <c r="A30" s="4" t="s">
        <v>1214</v>
      </c>
      <c r="C30" s="101" t="n">
        <f aca="false">'Cash Flow Statement'!N34+SUM($C22:C22)-SUM($C20:C20)-$F$8*'Total Revenue'!B18*$C$8*$D$8/12</f>
        <v>148327.438968114</v>
      </c>
      <c r="D30" s="101" t="n">
        <f aca="false">'Cash Flow Statement'!AA34+SUM($C22:D22)-SUM($C20:D20)-$F$8*'Total Revenue'!O18*$C$8*$D$8/12</f>
        <v>45056.3239283106</v>
      </c>
      <c r="E30" s="101" t="n">
        <f aca="false">'Cash Flow Statement'!AN34+SUM($C22:E22)-SUM($C20:E20)-$F$8*'Total Revenue'!AB18*$C$8*$D$8/12</f>
        <v>-449818.732576477</v>
      </c>
      <c r="F30" s="101" t="n">
        <f aca="false">'Cash Flow Statement'!BA34+SUM($C22:F22)-SUM($C20:F20)-$F$8*'Total Revenue'!AO18*$C$8*$D$8/12</f>
        <v>-577344.440999406</v>
      </c>
      <c r="G30" s="101" t="n">
        <f aca="false">'Cash Flow Statement'!BN34+SUM($C22:G22)-SUM($C20:G20)-$F$8*'Total Revenue'!BB18*$C$8*$D$8/12</f>
        <v>-128970.688840873</v>
      </c>
      <c r="H30" s="100" t="n">
        <f aca="false">MIN(C30:G30)</f>
        <v>-577344.440999406</v>
      </c>
      <c r="I30" s="100" t="n">
        <f aca="false">MAX(0,'Assumption Setting'!$C$191-H30)</f>
        <v>652344.440999406</v>
      </c>
    </row>
    <row r="31" customFormat="false" ht="15" hidden="false" customHeight="false" outlineLevel="0" collapsed="false">
      <c r="A31" s="4" t="s">
        <v>1215</v>
      </c>
      <c r="C31" s="101" t="n">
        <f aca="false">'Cash Flow Statement'!N34+SUM($C23:C23)-SUM($C20:C20)-$F$9*'Total Revenue'!B18*$C$9*$D$9/12</f>
        <v>120079.753801887</v>
      </c>
      <c r="D31" s="101" t="n">
        <f aca="false">'Cash Flow Statement'!AA34+SUM($C23:D23)-SUM($C20:D20)-$F$9*'Total Revenue'!O18*$C$9*$D$9/12</f>
        <v>-91399.7128017589</v>
      </c>
      <c r="E31" s="101" t="n">
        <f aca="false">'Cash Flow Statement'!AN34+SUM($C23:E23)-SUM($C20:E20)-$F$9*'Total Revenue'!AB18*$C$9*$D$9/12</f>
        <v>-891983.397919005</v>
      </c>
      <c r="F31" s="101" t="n">
        <f aca="false">'Cash Flow Statement'!BA34+SUM($C23:F23)-SUM($C20:F20)-$F$9*'Total Revenue'!AO18*$C$9*$D$9/12</f>
        <v>-1686424.39639522</v>
      </c>
      <c r="G31" s="101" t="n">
        <f aca="false">'Cash Flow Statement'!BN34+SUM($C23:G23)-SUM($C20:G20)-$F$9*'Total Revenue'!BB18*$C$9*$D$9/12</f>
        <v>-2426079.44703658</v>
      </c>
      <c r="H31" s="100" t="n">
        <f aca="false">MIN(C31:G31)</f>
        <v>-2426079.44703658</v>
      </c>
      <c r="I31" s="100" t="n">
        <f aca="false">MAX(0,'Assumption Setting'!$C$191-H31)</f>
        <v>2501079.44703658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8" min="3" style="0" width="17"/>
  </cols>
  <sheetData>
    <row r="1" customFormat="false" ht="18.55" hidden="false" customHeight="false" outlineLevel="0" collapsed="false">
      <c r="A1" s="7" t="s">
        <v>1138</v>
      </c>
    </row>
    <row r="2" customFormat="false" ht="15" hidden="false" customHeight="false" outlineLevel="0" collapsed="false">
      <c r="A2" s="8" t="s">
        <v>1222</v>
      </c>
    </row>
    <row r="4" customFormat="false" ht="15" hidden="false" customHeight="false" outlineLevel="0" collapsed="false">
      <c r="A4" s="9" t="s">
        <v>1223</v>
      </c>
      <c r="B4" s="10"/>
      <c r="C4" s="10"/>
      <c r="D4" s="10"/>
      <c r="E4" s="10"/>
      <c r="F4" s="10"/>
      <c r="G4" s="10"/>
    </row>
    <row r="5" customFormat="false" ht="15" hidden="false" customHeight="false" outlineLevel="0" collapsed="false">
      <c r="A5" s="4" t="s">
        <v>1224</v>
      </c>
      <c r="C5" s="24" t="n">
        <f aca="false">'Funding and Use of Funds'!$C$9</f>
        <v>600000</v>
      </c>
    </row>
    <row r="6" customFormat="false" ht="15" hidden="false" customHeight="false" outlineLevel="0" collapsed="false">
      <c r="A6" s="4" t="s">
        <v>1225</v>
      </c>
      <c r="C6" s="24" t="n">
        <f aca="false">Valuation!$C$98</f>
        <v>1300000</v>
      </c>
    </row>
    <row r="7" customFormat="false" ht="15" hidden="false" customHeight="false" outlineLevel="0" collapsed="false">
      <c r="A7" s="4" t="s">
        <v>1226</v>
      </c>
      <c r="C7" s="101" t="n">
        <f aca="false">C6+C5</f>
        <v>1900000</v>
      </c>
    </row>
    <row r="8" customFormat="false" ht="15" hidden="false" customHeight="false" outlineLevel="0" collapsed="false">
      <c r="A8" s="4" t="s">
        <v>1227</v>
      </c>
      <c r="C8" s="112" t="n">
        <f aca="false">IFERROR(C5/C7,0)</f>
        <v>0.315789473684211</v>
      </c>
    </row>
    <row r="9" customFormat="false" ht="15" hidden="false" customHeight="false" outlineLevel="0" collapsed="false">
      <c r="A9" s="4" t="s">
        <v>1228</v>
      </c>
      <c r="C9" s="41" t="n">
        <v>0.4</v>
      </c>
    </row>
    <row r="10" customFormat="false" ht="15" hidden="false" customHeight="false" outlineLevel="0" collapsed="false">
      <c r="A10" s="13" t="s">
        <v>1229</v>
      </c>
      <c r="C10" s="115" t="n">
        <f aca="false">C8*(1-C9)</f>
        <v>0.189473684210526</v>
      </c>
    </row>
    <row r="12" customFormat="false" ht="15" hidden="false" customHeight="false" outlineLevel="0" collapsed="false">
      <c r="A12" s="9" t="s">
        <v>1230</v>
      </c>
      <c r="B12" s="10"/>
      <c r="C12" s="10"/>
      <c r="D12" s="10"/>
      <c r="E12" s="10"/>
      <c r="F12" s="10"/>
      <c r="G12" s="10"/>
    </row>
    <row r="13" customFormat="false" ht="15" hidden="false" customHeight="false" outlineLevel="0" collapsed="false">
      <c r="A13" s="29" t="s">
        <v>1231</v>
      </c>
    </row>
    <row r="14" customFormat="false" ht="30" hidden="false" customHeight="true" outlineLevel="0" collapsed="false">
      <c r="A14" s="11" t="s">
        <v>137</v>
      </c>
      <c r="B14" s="12"/>
      <c r="C14" s="12" t="s">
        <v>1232</v>
      </c>
      <c r="D14" s="12" t="s">
        <v>1233</v>
      </c>
      <c r="E14" s="12" t="s">
        <v>1234</v>
      </c>
      <c r="F14" s="12" t="s">
        <v>1235</v>
      </c>
      <c r="G14" s="12" t="s">
        <v>1236</v>
      </c>
    </row>
    <row r="15" customFormat="false" ht="15" hidden="false" customHeight="false" outlineLevel="0" collapsed="false">
      <c r="A15" s="4" t="s">
        <v>1237</v>
      </c>
      <c r="C15" s="116" t="n">
        <v>1.5</v>
      </c>
      <c r="D15" s="24" t="n">
        <f aca="false">'Total Revenue'!BB18</f>
        <v>4998712.11121331</v>
      </c>
      <c r="E15" s="101" t="n">
        <f aca="false">C15*D15</f>
        <v>7498068.16681996</v>
      </c>
      <c r="F15" s="101" t="n">
        <f aca="false">E15*$C$10</f>
        <v>1420686.60002904</v>
      </c>
      <c r="G15" s="117" t="n">
        <f aca="false">IFERROR(F15/$C$5,0)</f>
        <v>2.36781100004841</v>
      </c>
    </row>
    <row r="16" customFormat="false" ht="15" hidden="false" customHeight="false" outlineLevel="0" collapsed="false">
      <c r="A16" s="4" t="s">
        <v>1238</v>
      </c>
      <c r="C16" s="116" t="n">
        <v>3</v>
      </c>
      <c r="D16" s="24" t="n">
        <f aca="false">'Total Revenue'!BB18</f>
        <v>4998712.11121331</v>
      </c>
      <c r="E16" s="101" t="n">
        <f aca="false">C16*D16</f>
        <v>14996136.3336399</v>
      </c>
      <c r="F16" s="101" t="n">
        <f aca="false">E16*$C$10</f>
        <v>2841373.20005809</v>
      </c>
      <c r="G16" s="117" t="n">
        <f aca="false">IFERROR(F16/$C$5,0)</f>
        <v>4.73562200009682</v>
      </c>
    </row>
    <row r="17" customFormat="false" ht="15" hidden="false" customHeight="false" outlineLevel="0" collapsed="false">
      <c r="A17" s="4" t="s">
        <v>1239</v>
      </c>
      <c r="C17" s="116" t="n">
        <v>5</v>
      </c>
      <c r="D17" s="24" t="n">
        <f aca="false">'Total Revenue'!BB18</f>
        <v>4998712.11121331</v>
      </c>
      <c r="E17" s="101" t="n">
        <f aca="false">C17*D17</f>
        <v>24993560.5560665</v>
      </c>
      <c r="F17" s="101" t="n">
        <f aca="false">E17*$C$10</f>
        <v>4735622.00009682</v>
      </c>
      <c r="G17" s="117" t="n">
        <f aca="false">IFERROR(F17/$C$5,0)</f>
        <v>7.89270333349469</v>
      </c>
    </row>
    <row r="18" customFormat="false" ht="15" hidden="false" customHeight="false" outlineLevel="0" collapsed="false">
      <c r="A18" s="4" t="s">
        <v>1240</v>
      </c>
      <c r="C18" s="116" t="n">
        <v>9</v>
      </c>
      <c r="D18" s="24" t="n">
        <f aca="false">Expenses!BB52</f>
        <v>1844005.91514114</v>
      </c>
      <c r="E18" s="101" t="n">
        <f aca="false">C18*D18</f>
        <v>16596053.2362703</v>
      </c>
      <c r="F18" s="101" t="n">
        <f aca="false">E18*$C$10</f>
        <v>3144515.35003015</v>
      </c>
      <c r="G18" s="117" t="n">
        <f aca="false">IFERROR(F18/$C$5,0)</f>
        <v>5.24085891671692</v>
      </c>
    </row>
    <row r="20" customFormat="false" ht="15" hidden="false" customHeight="false" outlineLevel="0" collapsed="false">
      <c r="A20" s="9" t="s">
        <v>1241</v>
      </c>
      <c r="B20" s="10"/>
      <c r="C20" s="10"/>
      <c r="D20" s="10"/>
      <c r="E20" s="10"/>
      <c r="F20" s="10"/>
      <c r="G20" s="10"/>
    </row>
    <row r="21" customFormat="false" ht="15" hidden="false" customHeight="false" outlineLevel="0" collapsed="false">
      <c r="A21" s="4" t="s">
        <v>1242</v>
      </c>
      <c r="C21" s="48" t="n">
        <v>5</v>
      </c>
    </row>
    <row r="22" customFormat="false" ht="15" hidden="false" customHeight="false" outlineLevel="0" collapsed="false">
      <c r="A22" s="4" t="s">
        <v>1243</v>
      </c>
      <c r="C22" s="101" t="n">
        <f aca="false">F16</f>
        <v>2841373.20005809</v>
      </c>
    </row>
    <row r="23" customFormat="false" ht="15" hidden="false" customHeight="false" outlineLevel="0" collapsed="false">
      <c r="A23" s="13" t="s">
        <v>1244</v>
      </c>
      <c r="C23" s="118" t="n">
        <f aca="false">IFERROR(C22/C5,0)</f>
        <v>4.73562200009682</v>
      </c>
    </row>
    <row r="24" customFormat="false" ht="15" hidden="false" customHeight="false" outlineLevel="0" collapsed="false">
      <c r="A24" s="13" t="s">
        <v>1245</v>
      </c>
      <c r="C24" s="119" t="n">
        <f aca="false">IFERROR(C23^(1/C21)-1,0)</f>
        <v>0.364820087670361</v>
      </c>
    </row>
    <row r="26" customFormat="false" ht="15" hidden="false" customHeight="false" outlineLevel="0" collapsed="false">
      <c r="A26" s="9" t="s">
        <v>1246</v>
      </c>
      <c r="B26" s="10"/>
      <c r="C26" s="10"/>
      <c r="D26" s="10"/>
      <c r="E26" s="10"/>
      <c r="F26" s="10"/>
      <c r="G26" s="10"/>
    </row>
    <row r="27" customFormat="false" ht="30" hidden="false" customHeight="true" outlineLevel="0" collapsed="false">
      <c r="A27" s="11" t="s">
        <v>137</v>
      </c>
      <c r="B27" s="12"/>
      <c r="C27" s="12" t="s">
        <v>1236</v>
      </c>
      <c r="D27" s="12" t="s">
        <v>1245</v>
      </c>
      <c r="E27" s="12" t="s">
        <v>1247</v>
      </c>
      <c r="F27" s="12" t="s">
        <v>1248</v>
      </c>
    </row>
    <row r="28" customFormat="false" ht="15" hidden="false" customHeight="false" outlineLevel="0" collapsed="false">
      <c r="A28" s="4" t="s">
        <v>1237</v>
      </c>
      <c r="C28" s="117" t="n">
        <f aca="false">G15</f>
        <v>2.36781100004841</v>
      </c>
      <c r="D28" s="112" t="n">
        <f aca="false">IFERROR(C28^(1/$C$21)-1,0)</f>
        <v>0.188144896119298</v>
      </c>
      <c r="E28" s="120" t="str">
        <f aca="false">IF(C28&gt;=3,"Yes","No")</f>
        <v>No</v>
      </c>
      <c r="F28" s="120" t="str">
        <f aca="false">IF(C28&gt;=10,"Yes","No")</f>
        <v>No</v>
      </c>
    </row>
    <row r="29" customFormat="false" ht="15" hidden="false" customHeight="false" outlineLevel="0" collapsed="false">
      <c r="A29" s="4" t="s">
        <v>1238</v>
      </c>
      <c r="C29" s="117" t="n">
        <f aca="false">G16</f>
        <v>4.73562200009682</v>
      </c>
      <c r="D29" s="112" t="n">
        <f aca="false">IFERROR(C29^(1/$C$21)-1,0)</f>
        <v>0.364820087670361</v>
      </c>
      <c r="E29" s="120" t="str">
        <f aca="false">IF(C29&gt;=3,"Yes","No")</f>
        <v>Yes</v>
      </c>
      <c r="F29" s="120" t="str">
        <f aca="false">IF(C29&gt;=10,"Yes","No")</f>
        <v>No</v>
      </c>
    </row>
    <row r="30" customFormat="false" ht="15" hidden="false" customHeight="false" outlineLevel="0" collapsed="false">
      <c r="A30" s="4" t="s">
        <v>1239</v>
      </c>
      <c r="C30" s="117" t="n">
        <f aca="false">G17</f>
        <v>7.89270333349469</v>
      </c>
      <c r="D30" s="112" t="n">
        <f aca="false">IFERROR(C30^(1/$C$21)-1,0)</f>
        <v>0.511628793692872</v>
      </c>
      <c r="E30" s="120" t="str">
        <f aca="false">IF(C30&gt;=3,"Yes","No")</f>
        <v>Yes</v>
      </c>
      <c r="F30" s="120" t="str">
        <f aca="false">IF(C30&gt;=10,"Yes","No")</f>
        <v>No</v>
      </c>
    </row>
    <row r="31" customFormat="false" ht="15" hidden="false" customHeight="false" outlineLevel="0" collapsed="false">
      <c r="A31" s="4" t="s">
        <v>1240</v>
      </c>
      <c r="C31" s="117" t="n">
        <f aca="false">G18</f>
        <v>5.24085891671692</v>
      </c>
      <c r="D31" s="112" t="n">
        <f aca="false">IFERROR(C31^(1/$C$21)-1,0)</f>
        <v>0.392773496088557</v>
      </c>
      <c r="E31" s="120" t="str">
        <f aca="false">IF(C31&gt;=3,"Yes","No")</f>
        <v>Yes</v>
      </c>
      <c r="F31" s="120" t="str">
        <f aca="false">IF(C31&gt;=10,"Yes","No")</f>
        <v>No</v>
      </c>
    </row>
    <row r="33" customFormat="false" ht="15" hidden="false" customHeight="false" outlineLevel="0" collapsed="false">
      <c r="A33" s="9" t="s">
        <v>1249</v>
      </c>
      <c r="B33" s="10"/>
      <c r="C33" s="10"/>
      <c r="D33" s="10"/>
      <c r="E33" s="10"/>
      <c r="F33" s="10"/>
      <c r="G33" s="10"/>
    </row>
    <row r="34" customFormat="false" ht="15" hidden="false" customHeight="false" outlineLevel="0" collapsed="false">
      <c r="A34" s="4" t="s">
        <v>1250</v>
      </c>
    </row>
    <row r="35" customFormat="false" ht="15" hidden="false" customHeight="false" outlineLevel="0" collapsed="false">
      <c r="A35" s="4" t="s">
        <v>1251</v>
      </c>
    </row>
    <row r="36" customFormat="false" ht="15" hidden="false" customHeight="false" outlineLevel="0" collapsed="false">
      <c r="A36" s="4" t="s">
        <v>1252</v>
      </c>
    </row>
    <row r="37" customFormat="false" ht="15" hidden="false" customHeight="false" outlineLevel="0" collapsed="false">
      <c r="A37" s="4" t="s">
        <v>1253</v>
      </c>
    </row>
    <row r="38" customFormat="false" ht="15" hidden="false" customHeight="false" outlineLevel="0" collapsed="false">
      <c r="A38" s="4" t="s">
        <v>1254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17"/>
    <col collapsed="false" customWidth="true" hidden="false" outlineLevel="0" max="5" min="4" style="0" width="15"/>
    <col collapsed="false" customWidth="true" hidden="false" outlineLevel="0" max="7" min="6" style="0" width="14"/>
    <col collapsed="false" customWidth="true" hidden="false" outlineLevel="0" max="8" min="8" style="0" width="70"/>
  </cols>
  <sheetData>
    <row r="1" customFormat="false" ht="18.55" hidden="false" customHeight="false" outlineLevel="0" collapsed="false">
      <c r="A1" s="7" t="s">
        <v>1139</v>
      </c>
    </row>
    <row r="2" customFormat="false" ht="15" hidden="false" customHeight="false" outlineLevel="0" collapsed="false">
      <c r="A2" s="8" t="s">
        <v>1255</v>
      </c>
    </row>
    <row r="4" customFormat="false" ht="15" hidden="false" customHeight="false" outlineLevel="0" collapsed="false">
      <c r="A4" s="9" t="s">
        <v>1256</v>
      </c>
      <c r="B4" s="10"/>
      <c r="C4" s="10"/>
      <c r="D4" s="10"/>
      <c r="E4" s="10"/>
      <c r="F4" s="10"/>
      <c r="G4" s="10"/>
      <c r="H4" s="10"/>
    </row>
    <row r="5" customFormat="false" ht="15" hidden="false" customHeight="false" outlineLevel="0" collapsed="false">
      <c r="A5" s="29" t="s">
        <v>1257</v>
      </c>
    </row>
    <row r="6" customFormat="false" ht="15" hidden="false" customHeight="false" outlineLevel="0" collapsed="false">
      <c r="A6" s="11" t="s">
        <v>1258</v>
      </c>
      <c r="B6" s="12"/>
      <c r="C6" s="12" t="s">
        <v>1259</v>
      </c>
      <c r="D6" s="12"/>
      <c r="E6" s="12"/>
      <c r="F6" s="12"/>
      <c r="G6" s="12"/>
      <c r="H6" s="12" t="s">
        <v>137</v>
      </c>
    </row>
    <row r="7" customFormat="false" ht="15" hidden="false" customHeight="false" outlineLevel="0" collapsed="false">
      <c r="A7" s="4" t="s">
        <v>1260</v>
      </c>
      <c r="C7" s="41" t="n">
        <v>0.042</v>
      </c>
      <c r="H7" s="33" t="s">
        <v>1261</v>
      </c>
    </row>
    <row r="8" customFormat="false" ht="15" hidden="false" customHeight="false" outlineLevel="0" collapsed="false">
      <c r="A8" s="4" t="s">
        <v>1262</v>
      </c>
      <c r="C8" s="41" t="n">
        <v>0.042</v>
      </c>
      <c r="H8" s="33" t="s">
        <v>1263</v>
      </c>
    </row>
    <row r="9" customFormat="false" ht="15" hidden="false" customHeight="false" outlineLevel="0" collapsed="false">
      <c r="A9" s="4" t="s">
        <v>1264</v>
      </c>
      <c r="C9" s="41" t="n">
        <v>0.08</v>
      </c>
      <c r="H9" s="33" t="s">
        <v>1265</v>
      </c>
    </row>
    <row r="10" customFormat="false" ht="15" hidden="false" customHeight="false" outlineLevel="0" collapsed="false">
      <c r="A10" s="4" t="s">
        <v>1266</v>
      </c>
      <c r="C10" s="41" t="n">
        <v>0.055</v>
      </c>
      <c r="H10" s="33" t="s">
        <v>1267</v>
      </c>
    </row>
    <row r="11" customFormat="false" ht="15" hidden="false" customHeight="false" outlineLevel="0" collapsed="false">
      <c r="A11" s="4" t="s">
        <v>1268</v>
      </c>
      <c r="C11" s="41" t="n">
        <v>0.06</v>
      </c>
      <c r="H11" s="33" t="s">
        <v>1269</v>
      </c>
    </row>
    <row r="12" customFormat="false" ht="15" hidden="false" customHeight="false" outlineLevel="0" collapsed="false">
      <c r="A12" s="13" t="s">
        <v>1270</v>
      </c>
      <c r="C12" s="119" t="n">
        <f aca="false">SUM(C7:C11)</f>
        <v>0.279</v>
      </c>
      <c r="H12" s="33" t="s">
        <v>1271</v>
      </c>
    </row>
    <row r="14" customFormat="false" ht="15" hidden="false" customHeight="false" outlineLevel="0" collapsed="false">
      <c r="A14" s="9" t="s">
        <v>1272</v>
      </c>
      <c r="B14" s="10"/>
      <c r="C14" s="10"/>
      <c r="D14" s="10"/>
      <c r="E14" s="10"/>
      <c r="F14" s="10"/>
      <c r="G14" s="10"/>
      <c r="H14" s="10"/>
    </row>
    <row r="15" customFormat="false" ht="15" hidden="false" customHeight="false" outlineLevel="0" collapsed="false">
      <c r="A15" s="4" t="s">
        <v>1273</v>
      </c>
      <c r="C15" s="41" t="n">
        <v>0.35</v>
      </c>
      <c r="H15" s="33" t="s">
        <v>1274</v>
      </c>
    </row>
    <row r="16" customFormat="false" ht="15" hidden="false" customHeight="false" outlineLevel="0" collapsed="false">
      <c r="A16" s="4" t="s">
        <v>1275</v>
      </c>
      <c r="C16" s="41" t="n">
        <v>0.25</v>
      </c>
      <c r="H16" s="33" t="s">
        <v>1276</v>
      </c>
    </row>
    <row r="17" customFormat="false" ht="15" hidden="false" customHeight="false" outlineLevel="0" collapsed="false">
      <c r="A17" s="4" t="s">
        <v>1277</v>
      </c>
      <c r="C17" s="97" t="n">
        <f aca="false">$C$11</f>
        <v>0.06</v>
      </c>
      <c r="H17" s="33" t="s">
        <v>1278</v>
      </c>
    </row>
    <row r="18" customFormat="false" ht="15" hidden="false" customHeight="false" outlineLevel="0" collapsed="false">
      <c r="A18" s="4" t="s">
        <v>1279</v>
      </c>
      <c r="C18" s="116" t="n">
        <v>3</v>
      </c>
      <c r="H18" s="33" t="s">
        <v>1280</v>
      </c>
    </row>
    <row r="19" customFormat="false" ht="15" hidden="false" customHeight="false" outlineLevel="0" collapsed="false">
      <c r="A19" s="4" t="s">
        <v>1281</v>
      </c>
      <c r="C19" s="41" t="n">
        <v>0.04</v>
      </c>
      <c r="H19" s="33" t="s">
        <v>1282</v>
      </c>
    </row>
    <row r="20" customFormat="false" ht="15" hidden="false" customHeight="false" outlineLevel="0" collapsed="false">
      <c r="A20" s="4" t="s">
        <v>1283</v>
      </c>
      <c r="C20" s="41" t="n">
        <v>0.45</v>
      </c>
      <c r="H20" s="33" t="s">
        <v>1284</v>
      </c>
    </row>
    <row r="21" customFormat="false" ht="15" hidden="false" customHeight="false" outlineLevel="0" collapsed="false">
      <c r="A21" s="4" t="s">
        <v>1285</v>
      </c>
      <c r="C21" s="41" t="n">
        <v>0.7</v>
      </c>
    </row>
    <row r="22" customFormat="false" ht="15" hidden="false" customHeight="false" outlineLevel="0" collapsed="false">
      <c r="A22" s="4" t="s">
        <v>1286</v>
      </c>
      <c r="C22" s="15" t="n">
        <f aca="false">'Funding and Use of Funds'!$C$9</f>
        <v>600000</v>
      </c>
    </row>
    <row r="23" customFormat="false" ht="15" hidden="false" customHeight="false" outlineLevel="0" collapsed="false">
      <c r="A23" s="4" t="s">
        <v>1287</v>
      </c>
      <c r="C23" s="15" t="n">
        <f aca="false">'Assumption Setting'!$C$17</f>
        <v>0</v>
      </c>
    </row>
    <row r="25" customFormat="false" ht="15" hidden="false" customHeight="false" outlineLevel="0" collapsed="false">
      <c r="A25" s="9" t="s">
        <v>1288</v>
      </c>
      <c r="B25" s="10"/>
      <c r="C25" s="10"/>
      <c r="D25" s="10"/>
      <c r="E25" s="10"/>
      <c r="F25" s="10"/>
      <c r="G25" s="10"/>
      <c r="H25" s="10"/>
    </row>
    <row r="26" customFormat="false" ht="15" hidden="false" customHeight="false" outlineLevel="0" collapsed="false">
      <c r="A26" s="11" t="s">
        <v>632</v>
      </c>
      <c r="B26" s="12"/>
      <c r="C26" s="12" t="s">
        <v>87</v>
      </c>
      <c r="D26" s="12" t="s">
        <v>88</v>
      </c>
      <c r="E26" s="12" t="s">
        <v>89</v>
      </c>
      <c r="F26" s="12" t="s">
        <v>90</v>
      </c>
      <c r="G26" s="12" t="s">
        <v>91</v>
      </c>
    </row>
    <row r="27" customFormat="false" ht="15" hidden="false" customHeight="false" outlineLevel="0" collapsed="false">
      <c r="A27" s="4" t="s">
        <v>1142</v>
      </c>
      <c r="C27" s="15" t="n">
        <f aca="false">'Financial Indicators'!C6</f>
        <v>68602.0541359569</v>
      </c>
      <c r="D27" s="15" t="n">
        <f aca="false">'Financial Indicators'!D6</f>
        <v>391860.50917285</v>
      </c>
      <c r="E27" s="15" t="n">
        <f aca="false">'Financial Indicators'!E6</f>
        <v>1221612.70310048</v>
      </c>
      <c r="F27" s="15" t="n">
        <f aca="false">'Financial Indicators'!F6</f>
        <v>2763830.19278589</v>
      </c>
      <c r="G27" s="15" t="n">
        <f aca="false">'Financial Indicators'!G6</f>
        <v>4998712.11121331</v>
      </c>
    </row>
    <row r="28" customFormat="false" ht="15" hidden="false" customHeight="false" outlineLevel="0" collapsed="false">
      <c r="A28" s="4" t="s">
        <v>1075</v>
      </c>
      <c r="C28" s="15" t="n">
        <f aca="false">'Financial Indicators'!C50</f>
        <v>-414764.697712625</v>
      </c>
      <c r="D28" s="15" t="n">
        <f aca="false">'Financial Indicators'!D50</f>
        <v>-397961.737522236</v>
      </c>
      <c r="E28" s="15" t="n">
        <f aca="false">'Financial Indicators'!E50</f>
        <v>-48955.6193570004</v>
      </c>
      <c r="F28" s="15" t="n">
        <f aca="false">'Financial Indicators'!F50</f>
        <v>843549.614415305</v>
      </c>
      <c r="G28" s="15" t="n">
        <f aca="false">'Financial Indicators'!G50</f>
        <v>2163986.12102442</v>
      </c>
    </row>
    <row r="29" customFormat="false" ht="15" hidden="false" customHeight="false" outlineLevel="0" collapsed="false">
      <c r="A29" s="4" t="s">
        <v>1289</v>
      </c>
      <c r="C29" s="121" t="n">
        <f aca="false">1/(1+$C$12)^1</f>
        <v>0.781860828772479</v>
      </c>
      <c r="D29" s="121" t="n">
        <f aca="false">1/(1+$C$12)^2</f>
        <v>0.611306355568787</v>
      </c>
      <c r="E29" s="121" t="n">
        <f aca="false">1/(1+$C$12)^3</f>
        <v>0.477956493798895</v>
      </c>
      <c r="F29" s="121" t="n">
        <f aca="false">1/(1+$C$12)^4</f>
        <v>0.373695460358792</v>
      </c>
      <c r="G29" s="121" t="n">
        <f aca="false">1/(1+$C$12)^5</f>
        <v>0.292177842344638</v>
      </c>
    </row>
    <row r="30" customFormat="false" ht="15" hidden="false" customHeight="false" outlineLevel="0" collapsed="false">
      <c r="A30" s="4" t="s">
        <v>1290</v>
      </c>
      <c r="C30" s="99" t="n">
        <f aca="false">C28*C29</f>
        <v>-324288.270299159</v>
      </c>
      <c r="D30" s="99" t="n">
        <f aca="false">D28*D29</f>
        <v>-243276.53942054</v>
      </c>
      <c r="E30" s="99" t="n">
        <f aca="false">E28*E29</f>
        <v>-23398.6561796252</v>
      </c>
      <c r="F30" s="99" t="n">
        <f aca="false">F28*F29</f>
        <v>315230.661494409</v>
      </c>
      <c r="G30" s="99" t="n">
        <f aca="false">G28*G29</f>
        <v>632268.795704659</v>
      </c>
    </row>
    <row r="31" customFormat="false" ht="15" hidden="false" customHeight="false" outlineLevel="0" collapsed="false">
      <c r="A31" s="13" t="s">
        <v>1291</v>
      </c>
      <c r="C31" s="100" t="n">
        <f aca="false">SUM(C30:G30)</f>
        <v>356535.991299744</v>
      </c>
    </row>
    <row r="33" customFormat="false" ht="15" hidden="false" customHeight="false" outlineLevel="0" collapsed="false">
      <c r="A33" s="9" t="s">
        <v>1292</v>
      </c>
      <c r="B33" s="10"/>
      <c r="C33" s="10"/>
      <c r="D33" s="10"/>
      <c r="E33" s="10"/>
      <c r="F33" s="10"/>
      <c r="G33" s="10"/>
      <c r="H33" s="10"/>
    </row>
    <row r="34" customFormat="false" ht="15" hidden="false" customHeight="false" outlineLevel="0" collapsed="false">
      <c r="A34" s="4" t="s">
        <v>1293</v>
      </c>
      <c r="C34" s="99" t="n">
        <f aca="false">$G$27*$C$18</f>
        <v>14996136.3336399</v>
      </c>
    </row>
    <row r="35" customFormat="false" ht="15" hidden="false" customHeight="false" outlineLevel="0" collapsed="false">
      <c r="A35" s="4" t="s">
        <v>1294</v>
      </c>
      <c r="C35" s="99" t="n">
        <f aca="false">$C$34*$G$29</f>
        <v>4381538.75746895</v>
      </c>
    </row>
    <row r="36" customFormat="false" ht="15" hidden="false" customHeight="false" outlineLevel="0" collapsed="false">
      <c r="A36" s="4" t="s">
        <v>1295</v>
      </c>
      <c r="C36" s="99" t="n">
        <f aca="false">$C$31+$C$35</f>
        <v>4738074.74876869</v>
      </c>
    </row>
    <row r="37" customFormat="false" ht="15" hidden="false" customHeight="false" outlineLevel="0" collapsed="false">
      <c r="A37" s="4" t="s">
        <v>1296</v>
      </c>
      <c r="C37" s="99" t="n">
        <f aca="false">$C$36+$C$23</f>
        <v>4738074.74876869</v>
      </c>
    </row>
    <row r="38" customFormat="false" ht="15" hidden="false" customHeight="false" outlineLevel="0" collapsed="false">
      <c r="A38" s="4" t="s">
        <v>1297</v>
      </c>
      <c r="C38" s="99" t="n">
        <f aca="false">$C$37*$C$15</f>
        <v>1658326.16206904</v>
      </c>
    </row>
    <row r="39" customFormat="false" ht="15" hidden="false" customHeight="false" outlineLevel="0" collapsed="false">
      <c r="A39" s="13" t="s">
        <v>1298</v>
      </c>
      <c r="C39" s="100" t="n">
        <f aca="false">MAX(0,$C$38*(1-$C$16))</f>
        <v>1243744.62155178</v>
      </c>
      <c r="H39" s="33" t="s">
        <v>1299</v>
      </c>
    </row>
    <row r="41" customFormat="false" ht="15" hidden="false" customHeight="false" outlineLevel="0" collapsed="false">
      <c r="A41" s="9" t="s">
        <v>1300</v>
      </c>
      <c r="B41" s="10"/>
      <c r="C41" s="10"/>
      <c r="D41" s="10"/>
      <c r="E41" s="10"/>
      <c r="F41" s="10"/>
      <c r="G41" s="10"/>
      <c r="H41" s="10"/>
    </row>
    <row r="42" customFormat="false" ht="15" hidden="false" customHeight="false" outlineLevel="0" collapsed="false">
      <c r="A42" s="29" t="s">
        <v>1301</v>
      </c>
    </row>
    <row r="43" customFormat="false" ht="15" hidden="false" customHeight="false" outlineLevel="0" collapsed="false">
      <c r="A43" s="4" t="s">
        <v>1302</v>
      </c>
      <c r="C43" s="99" t="n">
        <f aca="false">IFERROR(MAX(0,$G$28)*(1+$C$19)/($C$12-$C$19),0)</f>
        <v>9416508.64378829</v>
      </c>
    </row>
    <row r="44" customFormat="false" ht="15" hidden="false" customHeight="false" outlineLevel="0" collapsed="false">
      <c r="A44" s="4" t="s">
        <v>1294</v>
      </c>
      <c r="C44" s="99" t="n">
        <f aca="false">$C$43*$G$29</f>
        <v>2751295.1779617</v>
      </c>
    </row>
    <row r="45" customFormat="false" ht="15" hidden="false" customHeight="false" outlineLevel="0" collapsed="false">
      <c r="A45" s="4" t="s">
        <v>1295</v>
      </c>
      <c r="C45" s="99" t="n">
        <f aca="false">$C$31+$C$44</f>
        <v>3107831.16926144</v>
      </c>
    </row>
    <row r="46" customFormat="false" ht="15" hidden="false" customHeight="false" outlineLevel="0" collapsed="false">
      <c r="A46" s="4" t="s">
        <v>1297</v>
      </c>
      <c r="C46" s="99" t="n">
        <f aca="false">($C$45+$C$23)*$C$15</f>
        <v>1087740.9092415</v>
      </c>
    </row>
    <row r="47" customFormat="false" ht="15" hidden="false" customHeight="false" outlineLevel="0" collapsed="false">
      <c r="A47" s="13" t="s">
        <v>1303</v>
      </c>
      <c r="C47" s="100" t="n">
        <f aca="false">MAX(0,$C$46*(1-$C$16))</f>
        <v>815805.681931128</v>
      </c>
    </row>
    <row r="49" customFormat="false" ht="15" hidden="false" customHeight="false" outlineLevel="0" collapsed="false">
      <c r="A49" s="9" t="s">
        <v>1304</v>
      </c>
      <c r="B49" s="10"/>
      <c r="C49" s="10"/>
      <c r="D49" s="10"/>
      <c r="E49" s="10"/>
      <c r="F49" s="10"/>
      <c r="G49" s="10"/>
      <c r="H49" s="10"/>
    </row>
    <row r="50" customFormat="false" ht="15" hidden="false" customHeight="false" outlineLevel="0" collapsed="false">
      <c r="A50" s="29" t="s">
        <v>1305</v>
      </c>
    </row>
    <row r="51" customFormat="false" ht="15" hidden="false" customHeight="false" outlineLevel="0" collapsed="false">
      <c r="A51" s="4" t="s">
        <v>1306</v>
      </c>
      <c r="C51" s="99" t="n">
        <f aca="false">$G$27*$C$18</f>
        <v>14996136.3336399</v>
      </c>
    </row>
    <row r="52" customFormat="false" ht="15" hidden="false" customHeight="false" outlineLevel="0" collapsed="false">
      <c r="A52" s="4" t="s">
        <v>1307</v>
      </c>
      <c r="C52" s="99" t="n">
        <f aca="false">$C$22*(1+$C$20)^5</f>
        <v>3845840.4375</v>
      </c>
    </row>
    <row r="53" customFormat="false" ht="15" hidden="false" customHeight="false" outlineLevel="0" collapsed="false">
      <c r="A53" s="4" t="s">
        <v>1308</v>
      </c>
      <c r="C53" s="104" t="n">
        <f aca="false">IFERROR($C$52/$C$51,0)</f>
        <v>0.256455419711867</v>
      </c>
    </row>
    <row r="54" customFormat="false" ht="15" hidden="false" customHeight="false" outlineLevel="0" collapsed="false">
      <c r="A54" s="4" t="s">
        <v>1309</v>
      </c>
      <c r="C54" s="104" t="n">
        <f aca="false">IFERROR($C$53/$C$21,0)</f>
        <v>0.366364885302667</v>
      </c>
    </row>
    <row r="55" customFormat="false" ht="15" hidden="false" customHeight="false" outlineLevel="0" collapsed="false">
      <c r="A55" s="4" t="s">
        <v>1310</v>
      </c>
      <c r="C55" s="99" t="n">
        <f aca="false">IFERROR($C$22/$C$54,0)</f>
        <v>1637711.53860534</v>
      </c>
    </row>
    <row r="56" customFormat="false" ht="15" hidden="false" customHeight="false" outlineLevel="0" collapsed="false">
      <c r="A56" s="13" t="s">
        <v>1311</v>
      </c>
      <c r="C56" s="100" t="n">
        <f aca="false">MAX(0,$C$55-$C$22)</f>
        <v>1037711.53860534</v>
      </c>
    </row>
    <row r="58" customFormat="false" ht="15" hidden="false" customHeight="false" outlineLevel="0" collapsed="false">
      <c r="A58" s="9" t="s">
        <v>1312</v>
      </c>
      <c r="B58" s="10"/>
      <c r="C58" s="10"/>
      <c r="D58" s="10"/>
      <c r="E58" s="10"/>
      <c r="F58" s="10"/>
      <c r="G58" s="10"/>
      <c r="H58" s="10"/>
    </row>
    <row r="59" customFormat="false" ht="15" hidden="false" customHeight="false" outlineLevel="0" collapsed="false">
      <c r="A59" s="29" t="s">
        <v>1313</v>
      </c>
    </row>
    <row r="60" customFormat="false" ht="15" hidden="false" customHeight="false" outlineLevel="0" collapsed="false">
      <c r="A60" s="11" t="s">
        <v>1314</v>
      </c>
      <c r="B60" s="12" t="s">
        <v>1315</v>
      </c>
      <c r="C60" s="12" t="s">
        <v>1316</v>
      </c>
      <c r="D60" s="12"/>
      <c r="E60" s="12"/>
      <c r="F60" s="12"/>
      <c r="G60" s="12"/>
      <c r="H60" s="12" t="s">
        <v>1317</v>
      </c>
    </row>
    <row r="61" customFormat="false" ht="15" hidden="false" customHeight="false" outlineLevel="0" collapsed="false">
      <c r="A61" s="4" t="s">
        <v>1318</v>
      </c>
      <c r="B61" s="122" t="s">
        <v>1319</v>
      </c>
      <c r="C61" s="116" t="n">
        <v>13.9</v>
      </c>
      <c r="H61" s="33" t="s">
        <v>1320</v>
      </c>
    </row>
    <row r="62" customFormat="false" ht="15" hidden="false" customHeight="false" outlineLevel="0" collapsed="false">
      <c r="A62" s="4" t="s">
        <v>1321</v>
      </c>
      <c r="B62" s="122" t="s">
        <v>1322</v>
      </c>
      <c r="C62" s="116" t="n">
        <v>4.7</v>
      </c>
      <c r="H62" s="33" t="s">
        <v>1323</v>
      </c>
    </row>
    <row r="63" customFormat="false" ht="15" hidden="false" customHeight="false" outlineLevel="0" collapsed="false">
      <c r="A63" s="4" t="s">
        <v>1324</v>
      </c>
      <c r="B63" s="122" t="s">
        <v>1325</v>
      </c>
      <c r="C63" s="116" t="n">
        <v>0.7</v>
      </c>
      <c r="H63" s="33" t="s">
        <v>1326</v>
      </c>
    </row>
    <row r="64" customFormat="false" ht="15" hidden="false" customHeight="false" outlineLevel="0" collapsed="false">
      <c r="A64" s="4" t="s">
        <v>1327</v>
      </c>
      <c r="B64" s="122" t="s">
        <v>1328</v>
      </c>
      <c r="H64" s="33" t="s">
        <v>1329</v>
      </c>
    </row>
    <row r="65" customFormat="false" ht="15" hidden="false" customHeight="false" outlineLevel="0" collapsed="false">
      <c r="A65" s="4" t="s">
        <v>1330</v>
      </c>
      <c r="C65" s="116" t="n">
        <v>2</v>
      </c>
      <c r="H65" s="33" t="s">
        <v>1331</v>
      </c>
    </row>
    <row r="66" customFormat="false" ht="15" hidden="false" customHeight="false" outlineLevel="0" collapsed="false">
      <c r="A66" s="4" t="s">
        <v>1332</v>
      </c>
      <c r="C66" s="99" t="n">
        <f aca="false">$E$27</f>
        <v>1221612.70310048</v>
      </c>
    </row>
    <row r="67" customFormat="false" ht="15" hidden="false" customHeight="false" outlineLevel="0" collapsed="false">
      <c r="A67" s="4" t="s">
        <v>1333</v>
      </c>
      <c r="C67" s="99" t="n">
        <f aca="false">$C$66*$C$65</f>
        <v>2443225.40620097</v>
      </c>
    </row>
    <row r="68" customFormat="false" ht="15" hidden="false" customHeight="false" outlineLevel="0" collapsed="false">
      <c r="A68" s="4" t="s">
        <v>1334</v>
      </c>
      <c r="C68" s="99" t="n">
        <f aca="false">$C$67*$E$29</f>
        <v>1167755.4487082</v>
      </c>
    </row>
    <row r="69" customFormat="false" ht="15" hidden="false" customHeight="false" outlineLevel="0" collapsed="false">
      <c r="A69" s="4" t="s">
        <v>1335</v>
      </c>
      <c r="C69" s="99" t="n">
        <f aca="false">$C$68*($C$15+(1-$C$15)*0.5)</f>
        <v>788234.927878032</v>
      </c>
      <c r="H69" s="33" t="s">
        <v>1336</v>
      </c>
    </row>
    <row r="70" customFormat="false" ht="15" hidden="false" customHeight="false" outlineLevel="0" collapsed="false">
      <c r="A70" s="13" t="s">
        <v>1337</v>
      </c>
      <c r="C70" s="100" t="n">
        <f aca="false">MAX(0,$C$69*(1-$C$16))</f>
        <v>591176.195908524</v>
      </c>
    </row>
    <row r="72" customFormat="false" ht="15" hidden="false" customHeight="false" outlineLevel="0" collapsed="false">
      <c r="A72" s="9" t="s">
        <v>1338</v>
      </c>
      <c r="B72" s="10"/>
      <c r="C72" s="10"/>
      <c r="D72" s="10"/>
      <c r="E72" s="10"/>
      <c r="F72" s="10"/>
      <c r="G72" s="10"/>
      <c r="H72" s="10"/>
    </row>
    <row r="73" customFormat="false" ht="15" hidden="false" customHeight="false" outlineLevel="0" collapsed="false">
      <c r="A73" s="29" t="s">
        <v>1339</v>
      </c>
    </row>
    <row r="74" customFormat="false" ht="15" hidden="false" customHeight="false" outlineLevel="0" collapsed="false">
      <c r="A74" s="11" t="s">
        <v>185</v>
      </c>
      <c r="B74" s="12" t="s">
        <v>1315</v>
      </c>
      <c r="C74" s="12" t="s">
        <v>1340</v>
      </c>
      <c r="D74" s="12"/>
      <c r="E74" s="12"/>
      <c r="F74" s="12"/>
      <c r="G74" s="12"/>
      <c r="H74" s="12" t="s">
        <v>1341</v>
      </c>
    </row>
    <row r="75" customFormat="false" ht="15" hidden="false" customHeight="false" outlineLevel="0" collapsed="false">
      <c r="A75" s="4" t="s">
        <v>1342</v>
      </c>
      <c r="B75" s="122" t="s">
        <v>1322</v>
      </c>
      <c r="C75" s="31" t="n">
        <v>2000000</v>
      </c>
      <c r="H75" s="33" t="s">
        <v>1343</v>
      </c>
    </row>
    <row r="76" customFormat="false" ht="15" hidden="false" customHeight="false" outlineLevel="0" collapsed="false">
      <c r="A76" s="4" t="s">
        <v>1344</v>
      </c>
      <c r="B76" s="122" t="s">
        <v>1345</v>
      </c>
      <c r="C76" s="31" t="n">
        <v>2500000</v>
      </c>
      <c r="H76" s="33" t="s">
        <v>1346</v>
      </c>
    </row>
    <row r="77" customFormat="false" ht="15" hidden="false" customHeight="false" outlineLevel="0" collapsed="false">
      <c r="A77" s="4" t="s">
        <v>1347</v>
      </c>
      <c r="B77" s="122" t="s">
        <v>1348</v>
      </c>
      <c r="C77" s="31" t="n">
        <v>8500000</v>
      </c>
      <c r="H77" s="33" t="s">
        <v>1349</v>
      </c>
    </row>
    <row r="78" customFormat="false" ht="15" hidden="false" customHeight="false" outlineLevel="0" collapsed="false">
      <c r="A78" s="4" t="s">
        <v>1350</v>
      </c>
      <c r="B78" s="122" t="s">
        <v>1351</v>
      </c>
      <c r="C78" s="31" t="n">
        <v>7000000</v>
      </c>
      <c r="H78" s="33" t="s">
        <v>1349</v>
      </c>
    </row>
    <row r="79" customFormat="false" ht="15" hidden="false" customHeight="false" outlineLevel="0" collapsed="false">
      <c r="A79" s="4" t="s">
        <v>1352</v>
      </c>
      <c r="B79" s="122" t="s">
        <v>1351</v>
      </c>
      <c r="C79" s="31" t="n">
        <v>18500000</v>
      </c>
      <c r="H79" s="33" t="s">
        <v>1353</v>
      </c>
    </row>
    <row r="80" customFormat="false" ht="15" hidden="false" customHeight="false" outlineLevel="0" collapsed="false">
      <c r="A80" s="4" t="s">
        <v>1354</v>
      </c>
      <c r="B80" s="122" t="s">
        <v>1322</v>
      </c>
      <c r="C80" s="31" t="n">
        <v>2600000</v>
      </c>
      <c r="H80" s="33" t="s">
        <v>1355</v>
      </c>
    </row>
    <row r="81" customFormat="false" ht="15" hidden="false" customHeight="false" outlineLevel="0" collapsed="false">
      <c r="A81" s="4" t="s">
        <v>1356</v>
      </c>
      <c r="C81" s="41" t="n">
        <v>0.2</v>
      </c>
    </row>
    <row r="82" customFormat="false" ht="15" hidden="false" customHeight="false" outlineLevel="0" collapsed="false">
      <c r="A82" s="4" t="s">
        <v>1357</v>
      </c>
      <c r="C82" s="99" t="n">
        <f aca="false">IFERROR($C$22/$C$81,0)</f>
        <v>3000000</v>
      </c>
    </row>
    <row r="83" customFormat="false" ht="15" hidden="false" customHeight="false" outlineLevel="0" collapsed="false">
      <c r="A83" s="13" t="s">
        <v>1358</v>
      </c>
      <c r="C83" s="100" t="n">
        <f aca="false">MAX(0,$C$82-$C$22)</f>
        <v>2400000</v>
      </c>
    </row>
    <row r="85" customFormat="false" ht="15" hidden="false" customHeight="false" outlineLevel="0" collapsed="false">
      <c r="A85" s="9" t="s">
        <v>1359</v>
      </c>
      <c r="B85" s="10"/>
      <c r="C85" s="10"/>
      <c r="D85" s="10"/>
      <c r="E85" s="10"/>
      <c r="F85" s="10"/>
      <c r="G85" s="10"/>
      <c r="H85" s="10"/>
    </row>
    <row r="86" customFormat="false" ht="15" hidden="false" customHeight="false" outlineLevel="0" collapsed="false">
      <c r="A86" s="11" t="s">
        <v>1360</v>
      </c>
      <c r="B86" s="12"/>
      <c r="C86" s="12" t="s">
        <v>1361</v>
      </c>
      <c r="D86" s="12" t="s">
        <v>1362</v>
      </c>
      <c r="E86" s="12" t="s">
        <v>1363</v>
      </c>
      <c r="F86" s="12"/>
      <c r="G86" s="12"/>
      <c r="H86" s="12" t="s">
        <v>1364</v>
      </c>
    </row>
    <row r="87" customFormat="false" ht="15" hidden="false" customHeight="false" outlineLevel="0" collapsed="false">
      <c r="A87" s="4" t="s">
        <v>1365</v>
      </c>
      <c r="C87" s="101" t="n">
        <f aca="false">$C$39</f>
        <v>1243744.62155178</v>
      </c>
      <c r="D87" s="41" t="n">
        <v>0.2</v>
      </c>
      <c r="E87" s="101" t="n">
        <f aca="false">C87*D87</f>
        <v>248748.924310356</v>
      </c>
      <c r="H87" s="33" t="s">
        <v>1366</v>
      </c>
    </row>
    <row r="88" customFormat="false" ht="15" hidden="false" customHeight="false" outlineLevel="0" collapsed="false">
      <c r="A88" s="4" t="s">
        <v>1367</v>
      </c>
      <c r="C88" s="101" t="n">
        <f aca="false">$C$47</f>
        <v>815805.681931128</v>
      </c>
      <c r="D88" s="41" t="n">
        <v>0.1</v>
      </c>
      <c r="E88" s="101" t="n">
        <f aca="false">C88*D88</f>
        <v>81580.5681931129</v>
      </c>
      <c r="H88" s="33" t="s">
        <v>1368</v>
      </c>
    </row>
    <row r="89" customFormat="false" ht="15" hidden="false" customHeight="false" outlineLevel="0" collapsed="false">
      <c r="A89" s="4" t="s">
        <v>1369</v>
      </c>
      <c r="C89" s="101" t="n">
        <f aca="false">$C$56</f>
        <v>1037711.53860534</v>
      </c>
      <c r="D89" s="41" t="n">
        <v>0.25</v>
      </c>
      <c r="E89" s="101" t="n">
        <f aca="false">C89*D89</f>
        <v>259427.884651335</v>
      </c>
      <c r="H89" s="33" t="s">
        <v>1370</v>
      </c>
    </row>
    <row r="90" customFormat="false" ht="15" hidden="false" customHeight="false" outlineLevel="0" collapsed="false">
      <c r="A90" s="4" t="s">
        <v>1371</v>
      </c>
      <c r="C90" s="101" t="n">
        <f aca="false">$C$70</f>
        <v>591176.195908524</v>
      </c>
      <c r="D90" s="41" t="n">
        <v>0.2</v>
      </c>
      <c r="E90" s="101" t="n">
        <f aca="false">C90*D90</f>
        <v>118235.239181705</v>
      </c>
      <c r="H90" s="33" t="s">
        <v>1372</v>
      </c>
    </row>
    <row r="91" customFormat="false" ht="15" hidden="false" customHeight="false" outlineLevel="0" collapsed="false">
      <c r="A91" s="4" t="s">
        <v>1373</v>
      </c>
      <c r="C91" s="101" t="n">
        <f aca="false">$C$83</f>
        <v>2400000</v>
      </c>
      <c r="D91" s="41" t="n">
        <v>0.25</v>
      </c>
      <c r="E91" s="101" t="n">
        <f aca="false">C91*D91</f>
        <v>600000</v>
      </c>
      <c r="H91" s="33" t="s">
        <v>1374</v>
      </c>
    </row>
    <row r="92" customFormat="false" ht="15" hidden="false" customHeight="false" outlineLevel="0" collapsed="false">
      <c r="A92" s="4" t="s">
        <v>1375</v>
      </c>
      <c r="D92" s="97" t="n">
        <f aca="false">SUM(D87:D91)</f>
        <v>1</v>
      </c>
    </row>
    <row r="93" customFormat="false" ht="15" hidden="false" customHeight="false" outlineLevel="0" collapsed="false">
      <c r="A93" s="13" t="s">
        <v>129</v>
      </c>
      <c r="C93" s="100" t="n">
        <f aca="false">SUM(E87:E91)</f>
        <v>1307992.61633651</v>
      </c>
    </row>
    <row r="94" customFormat="false" ht="15" hidden="false" customHeight="false" outlineLevel="0" collapsed="false">
      <c r="A94" s="4" t="s">
        <v>1376</v>
      </c>
      <c r="C94" s="99" t="n">
        <f aca="false">MIN(C87:C91)</f>
        <v>591176.195908524</v>
      </c>
    </row>
    <row r="95" customFormat="false" ht="15" hidden="false" customHeight="false" outlineLevel="0" collapsed="false">
      <c r="A95" s="4" t="s">
        <v>1377</v>
      </c>
      <c r="C95" s="99" t="n">
        <f aca="false">MAX(C87:C91)</f>
        <v>2400000</v>
      </c>
    </row>
    <row r="97" customFormat="false" ht="15" hidden="false" customHeight="false" outlineLevel="0" collapsed="false">
      <c r="A97" s="9" t="s">
        <v>1378</v>
      </c>
      <c r="B97" s="10"/>
      <c r="C97" s="10"/>
      <c r="D97" s="10"/>
      <c r="E97" s="10"/>
      <c r="F97" s="10"/>
      <c r="G97" s="10"/>
      <c r="H97" s="10"/>
    </row>
    <row r="98" customFormat="false" ht="15" hidden="false" customHeight="false" outlineLevel="0" collapsed="false">
      <c r="A98" s="13" t="s">
        <v>1379</v>
      </c>
      <c r="C98" s="100" t="n">
        <f aca="false">ROUND($C$93/50000,0)*50000</f>
        <v>1300000</v>
      </c>
      <c r="H98" s="33" t="s">
        <v>1380</v>
      </c>
    </row>
    <row r="99" customFormat="false" ht="15" hidden="false" customHeight="false" outlineLevel="0" collapsed="false">
      <c r="A99" s="4" t="s">
        <v>1226</v>
      </c>
      <c r="C99" s="99" t="n">
        <f aca="false">$C$98+$C$22</f>
        <v>1900000</v>
      </c>
    </row>
    <row r="100" customFormat="false" ht="15" hidden="false" customHeight="false" outlineLevel="0" collapsed="false">
      <c r="A100" s="13" t="s">
        <v>131</v>
      </c>
      <c r="C100" s="119" t="n">
        <f aca="false">IFERROR($C$22/$C$99,0)</f>
        <v>0.315789473684211</v>
      </c>
    </row>
    <row r="101" customFormat="false" ht="15" hidden="false" customHeight="false" outlineLevel="0" collapsed="false">
      <c r="A101" s="4" t="s">
        <v>1381</v>
      </c>
      <c r="C101" s="109" t="str">
        <f aca="false">IF(AND($C$100&gt;=0.15,$C$100&lt;=0.25),"Yes","No")</f>
        <v>No</v>
      </c>
    </row>
    <row r="102" customFormat="false" ht="15" hidden="false" customHeight="false" outlineLevel="0" collapsed="false">
      <c r="A102" s="4" t="s">
        <v>1382</v>
      </c>
      <c r="C102" s="123" t="n">
        <f aca="false">IFERROR($C$99/$D$27,0)</f>
        <v>4.84866414329572</v>
      </c>
      <c r="H102" s="33" t="s">
        <v>1383</v>
      </c>
    </row>
    <row r="103" customFormat="false" ht="15" hidden="false" customHeight="false" outlineLevel="0" collapsed="false">
      <c r="A103" s="4" t="s">
        <v>1384</v>
      </c>
      <c r="C103" s="99" t="n">
        <f aca="false">IFERROR($C$22/0.2-$C$22,0)</f>
        <v>2400000</v>
      </c>
      <c r="H103" s="33" t="s">
        <v>1385</v>
      </c>
    </row>
    <row r="104" customFormat="false" ht="15" hidden="false" customHeight="false" outlineLevel="0" collapsed="false">
      <c r="A104" s="4" t="s">
        <v>1386</v>
      </c>
      <c r="C104" s="99" t="n">
        <f aca="false">$C$103-$C$93</f>
        <v>1092007.38366349</v>
      </c>
      <c r="H104" s="33" t="s">
        <v>1387</v>
      </c>
    </row>
    <row r="106" customFormat="false" ht="15" hidden="false" customHeight="false" outlineLevel="0" collapsed="false">
      <c r="A106" s="29" t="s">
        <v>1388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2026-10-28T12:43:35Z</dcterms:created>
  <dc:creator>Coremerce financial model</dc:creator>
  <dc:description/>
  <dc:language>en-US</dc:language>
  <cp:lastModifiedBy/>
  <dcterms:modified xsi:type="dcterms:W3CDTF">2026-10-28T12:43:37Z</dcterms:modified>
  <cp:revision>0</cp:revision>
  <dc:subject/>
  <dc:title>Coremerce Operational Financial Model and Valuation, 2027 to 2031</dc:title>
</cp:coreProperties>
</file>

<file path=docProps/custom.xml><?xml version="1.0" encoding="utf-8"?>
<Properties xmlns="http://schemas.openxmlformats.org/officeDocument/2006/custom-properties" xmlns:vt="http://schemas.openxmlformats.org/officeDocument/2006/docPropsVTypes"/>
</file>